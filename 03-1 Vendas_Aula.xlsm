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/>
  <workbookPr hidePivotFieldList="1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cuments\"/>
    </mc:Choice>
  </mc:AlternateContent>
  <xr:revisionPtr revIDLastSave="0" documentId="13_ncr:1_{43272DC9-DC4D-4060-85B3-DE37A70E860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Vendas" sheetId="1" r:id="rId1"/>
    <sheet name="Cadastro Produtos" sheetId="4" r:id="rId2"/>
    <sheet name="Cadatro Clientes" sheetId="5" r:id="rId3"/>
    <sheet name="Cadastro Vendedores" sheetId="16" r:id="rId4"/>
  </sheets>
  <definedNames>
    <definedName name="_xlnm._FilterDatabase" localSheetId="3" hidden="1">'Cadastro Vendedores'!$B$1:$F$16</definedName>
    <definedName name="A">#REF!</definedName>
    <definedName name="B">#REF!</definedName>
    <definedName name="BB">#REF!</definedName>
    <definedName name="CC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localSheetId="2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" i="1"/>
  <c r="L2" i="1" l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" i="1"/>
  <c r="R1996" i="1" l="1"/>
  <c r="R1982" i="1"/>
  <c r="R1967" i="1"/>
  <c r="R1946" i="1"/>
  <c r="R1902" i="1"/>
  <c r="R1890" i="1"/>
  <c r="R1882" i="1"/>
  <c r="R1867" i="1"/>
  <c r="R1862" i="1"/>
  <c r="R1838" i="1"/>
  <c r="R1830" i="1"/>
  <c r="R1822" i="1"/>
  <c r="R1811" i="1"/>
  <c r="R1810" i="1"/>
  <c r="R1756" i="1"/>
  <c r="R1752" i="1"/>
  <c r="R1742" i="1"/>
  <c r="R1726" i="1"/>
  <c r="R1706" i="1"/>
  <c r="R1690" i="1"/>
  <c r="R1663" i="1"/>
  <c r="R1645" i="1"/>
  <c r="R1630" i="1"/>
  <c r="R1614" i="1"/>
  <c r="R1598" i="1"/>
  <c r="R1583" i="1"/>
  <c r="R1570" i="1"/>
  <c r="R1567" i="1"/>
  <c r="R1545" i="1"/>
  <c r="R1533" i="1"/>
  <c r="R1522" i="1"/>
  <c r="R1518" i="1"/>
  <c r="R1515" i="1"/>
  <c r="R1482" i="1"/>
  <c r="R1400" i="1"/>
  <c r="R1398" i="1"/>
  <c r="R1389" i="1"/>
  <c r="R1387" i="1"/>
  <c r="R1372" i="1"/>
  <c r="R1358" i="1"/>
  <c r="R1336" i="1"/>
  <c r="R1330" i="1"/>
  <c r="R1310" i="1"/>
  <c r="R1294" i="1"/>
  <c r="R1290" i="1"/>
  <c r="R1283" i="1"/>
  <c r="R1274" i="1"/>
  <c r="R1266" i="1"/>
  <c r="R1259" i="1"/>
  <c r="R1246" i="1"/>
  <c r="R1230" i="1"/>
  <c r="R1186" i="1"/>
  <c r="R1182" i="1"/>
  <c r="R1174" i="1"/>
  <c r="R1166" i="1"/>
  <c r="R1162" i="1"/>
  <c r="R1138" i="1"/>
  <c r="R1135" i="1"/>
  <c r="R1121" i="1"/>
  <c r="R1118" i="1"/>
  <c r="R1100" i="1"/>
  <c r="R1088" i="1"/>
  <c r="R1077" i="1"/>
  <c r="R1076" i="1"/>
  <c r="R1070" i="1"/>
  <c r="R1054" i="1"/>
  <c r="R1038" i="1"/>
  <c r="R1033" i="1"/>
  <c r="R1025" i="1"/>
  <c r="R1530" i="1"/>
  <c r="R1494" i="1"/>
  <c r="R1635" i="1"/>
  <c r="R1900" i="1"/>
  <c r="R1463" i="1"/>
  <c r="R1550" i="1"/>
  <c r="R1722" i="1"/>
  <c r="R1338" i="1"/>
  <c r="R1350" i="1"/>
  <c r="R1414" i="1"/>
  <c r="R1385" i="1"/>
  <c r="R1858" i="1"/>
  <c r="R1623" i="1"/>
  <c r="R1643" i="1"/>
  <c r="R1302" i="1"/>
  <c r="R1619" i="1"/>
  <c r="R1771" i="1"/>
  <c r="R1894" i="1"/>
  <c r="R1827" i="1"/>
  <c r="R1749" i="1"/>
  <c r="R1253" i="1"/>
  <c r="R1991" i="1"/>
  <c r="R1987" i="1"/>
  <c r="R1975" i="1"/>
  <c r="R1955" i="1"/>
  <c r="R1951" i="1"/>
  <c r="R1940" i="1"/>
  <c r="R1935" i="1"/>
  <c r="R1926" i="1"/>
  <c r="R1920" i="1"/>
  <c r="R1911" i="1"/>
  <c r="R1903" i="1"/>
  <c r="R1898" i="1"/>
  <c r="R1879" i="1"/>
  <c r="R1864" i="1"/>
  <c r="R1855" i="1"/>
  <c r="R1847" i="1"/>
  <c r="R1844" i="1"/>
  <c r="R1835" i="1"/>
  <c r="R1808" i="1"/>
  <c r="R1803" i="1"/>
  <c r="R1798" i="1"/>
  <c r="R1784" i="1"/>
  <c r="R1767" i="1"/>
  <c r="R1762" i="1"/>
  <c r="R1748" i="1"/>
  <c r="R1739" i="1"/>
  <c r="R1734" i="1"/>
  <c r="R1723" i="1"/>
  <c r="R1720" i="1"/>
  <c r="R1712" i="1"/>
  <c r="R1707" i="1"/>
  <c r="R1703" i="1"/>
  <c r="R1698" i="1"/>
  <c r="R1691" i="1"/>
  <c r="R1687" i="1"/>
  <c r="R1684" i="1"/>
  <c r="R1681" i="1"/>
  <c r="R1675" i="1"/>
  <c r="R1667" i="1"/>
  <c r="R1656" i="1"/>
  <c r="R1652" i="1"/>
  <c r="R1640" i="1"/>
  <c r="R1622" i="1"/>
  <c r="R1615" i="1"/>
  <c r="R1607" i="1"/>
  <c r="R1595" i="1"/>
  <c r="R1574" i="1"/>
  <c r="R1563" i="1"/>
  <c r="R1560" i="1"/>
  <c r="R1551" i="1"/>
  <c r="R1516" i="1"/>
  <c r="R1500" i="1"/>
  <c r="R1499" i="1"/>
  <c r="R1495" i="1"/>
  <c r="R1478" i="1"/>
  <c r="R1452" i="1"/>
  <c r="R1446" i="1"/>
  <c r="R1415" i="1"/>
  <c r="R1407" i="1"/>
  <c r="R1399" i="1"/>
  <c r="R1388" i="1"/>
  <c r="R1382" i="1"/>
  <c r="R1355" i="1"/>
  <c r="R1337" i="1"/>
  <c r="R1327" i="1"/>
  <c r="R1317" i="1"/>
  <c r="R1307" i="1"/>
  <c r="R1303" i="1"/>
  <c r="R1299" i="1"/>
  <c r="R1292" i="1"/>
  <c r="R1288" i="1"/>
  <c r="R1271" i="1"/>
  <c r="R1267" i="1"/>
  <c r="R1255" i="1"/>
  <c r="R1251" i="1"/>
  <c r="R1239" i="1"/>
  <c r="R1222" i="1"/>
  <c r="R1207" i="1"/>
  <c r="R1193" i="1"/>
  <c r="R1177" i="1"/>
  <c r="R1175" i="1"/>
  <c r="R1171" i="1"/>
  <c r="R1159" i="1"/>
  <c r="R1142" i="1"/>
  <c r="R1127" i="1"/>
  <c r="R1111" i="1"/>
  <c r="R1083" i="1"/>
  <c r="R1378" i="1"/>
  <c r="R1842" i="1"/>
  <c r="R1727" i="1"/>
  <c r="R1242" i="1"/>
  <c r="R1883" i="1"/>
  <c r="R2000" i="1"/>
  <c r="R1998" i="1"/>
  <c r="R1992" i="1"/>
  <c r="R1988" i="1"/>
  <c r="R1980" i="1"/>
  <c r="R1976" i="1"/>
  <c r="R1965" i="1"/>
  <c r="R1956" i="1"/>
  <c r="R1948" i="1"/>
  <c r="R1941" i="1"/>
  <c r="R1915" i="1"/>
  <c r="R1888" i="1"/>
  <c r="R1884" i="1"/>
  <c r="R1881" i="1"/>
  <c r="R1860" i="1"/>
  <c r="R1850" i="1"/>
  <c r="R1848" i="1"/>
  <c r="R1840" i="1"/>
  <c r="R1836" i="1"/>
  <c r="R1828" i="1"/>
  <c r="R1825" i="1"/>
  <c r="R1814" i="1"/>
  <c r="R1804" i="1"/>
  <c r="R1800" i="1"/>
  <c r="R1776" i="1"/>
  <c r="R1772" i="1"/>
  <c r="R1758" i="1"/>
  <c r="R1750" i="1"/>
  <c r="R1740" i="1"/>
  <c r="R1733" i="1"/>
  <c r="R1721" i="1"/>
  <c r="R1714" i="1"/>
  <c r="R1708" i="1"/>
  <c r="R1700" i="1"/>
  <c r="R1692" i="1"/>
  <c r="R1682" i="1"/>
  <c r="R1676" i="1"/>
  <c r="R1674" i="1"/>
  <c r="R1659" i="1"/>
  <c r="R1648" i="1"/>
  <c r="R1642" i="1"/>
  <c r="R1632" i="1"/>
  <c r="R1625" i="1"/>
  <c r="R1613" i="1"/>
  <c r="R1608" i="1"/>
  <c r="R1596" i="1"/>
  <c r="R1582" i="1"/>
  <c r="R1580" i="1"/>
  <c r="R1573" i="1"/>
  <c r="R1564" i="1"/>
  <c r="R1559" i="1"/>
  <c r="R1552" i="1"/>
  <c r="R1532" i="1"/>
  <c r="R1523" i="1"/>
  <c r="R1514" i="1"/>
  <c r="R1512" i="1"/>
  <c r="R1502" i="1"/>
  <c r="R1488" i="1"/>
  <c r="R1483" i="1"/>
  <c r="R1464" i="1"/>
  <c r="R1453" i="1"/>
  <c r="R1449" i="1"/>
  <c r="R1439" i="1"/>
  <c r="R1436" i="1"/>
  <c r="R1421" i="1"/>
  <c r="R1404" i="1"/>
  <c r="R1393" i="1"/>
  <c r="R1376" i="1"/>
  <c r="R1374" i="1"/>
  <c r="R1360" i="1"/>
  <c r="R1356" i="1"/>
  <c r="R1344" i="1"/>
  <c r="R1341" i="1"/>
  <c r="R1322" i="1"/>
  <c r="R1311" i="1"/>
  <c r="R1308" i="1"/>
  <c r="R1291" i="1"/>
  <c r="R1284" i="1"/>
  <c r="R1270" i="1"/>
  <c r="R1268" i="1"/>
  <c r="R1261" i="1"/>
  <c r="R1248" i="1"/>
  <c r="R1244" i="1"/>
  <c r="R1228" i="1"/>
  <c r="R1216" i="1"/>
  <c r="R1209" i="1"/>
  <c r="R1196" i="1"/>
  <c r="R1180" i="1"/>
  <c r="R1172" i="1"/>
  <c r="R1165" i="1"/>
  <c r="R1132" i="1"/>
  <c r="R1129" i="1"/>
  <c r="R1104" i="1"/>
  <c r="R1102" i="1"/>
  <c r="R1092" i="1"/>
  <c r="R1084" i="1"/>
  <c r="R1075" i="1"/>
  <c r="R1068" i="1"/>
  <c r="R1053" i="1"/>
  <c r="R1048" i="1"/>
  <c r="R1036" i="1"/>
  <c r="R1028" i="1"/>
  <c r="R1286" i="1"/>
  <c r="R1190" i="1"/>
  <c r="R1203" i="1"/>
  <c r="R1943" i="1"/>
  <c r="R1346" i="1"/>
  <c r="R1729" i="1"/>
  <c r="R1757" i="1"/>
  <c r="R1097" i="1"/>
  <c r="R1755" i="1"/>
  <c r="R1568" i="1"/>
  <c r="R1907" i="1"/>
  <c r="R1391" i="1"/>
  <c r="R1492" i="1"/>
  <c r="R1457" i="1"/>
  <c r="R1105" i="1"/>
  <c r="R1997" i="1"/>
  <c r="R1994" i="1"/>
  <c r="R1989" i="1"/>
  <c r="R1985" i="1"/>
  <c r="R1981" i="1"/>
  <c r="R1977" i="1"/>
  <c r="R1962" i="1"/>
  <c r="R1953" i="1"/>
  <c r="R1944" i="1"/>
  <c r="R1942" i="1"/>
  <c r="R1938" i="1"/>
  <c r="R1910" i="1"/>
  <c r="R1905" i="1"/>
  <c r="R1901" i="1"/>
  <c r="R1876" i="1"/>
  <c r="R1873" i="1"/>
  <c r="R1853" i="1"/>
  <c r="R1841" i="1"/>
  <c r="R1823" i="1"/>
  <c r="R1821" i="1"/>
  <c r="R1796" i="1"/>
  <c r="R1794" i="1"/>
  <c r="R1785" i="1"/>
  <c r="R1780" i="1"/>
  <c r="R1777" i="1"/>
  <c r="R1770" i="1"/>
  <c r="R1764" i="1"/>
  <c r="R1730" i="1"/>
  <c r="R1725" i="1"/>
  <c r="R1719" i="1"/>
  <c r="R1713" i="1"/>
  <c r="R1697" i="1"/>
  <c r="R1689" i="1"/>
  <c r="R1680" i="1"/>
  <c r="R1677" i="1"/>
  <c r="R1666" i="1"/>
  <c r="R1660" i="1"/>
  <c r="R1655" i="1"/>
  <c r="R1633" i="1"/>
  <c r="R1629" i="1"/>
  <c r="R1616" i="1"/>
  <c r="R1601" i="1"/>
  <c r="R1585" i="1"/>
  <c r="R1571" i="1"/>
  <c r="R1569" i="1"/>
  <c r="R1566" i="1"/>
  <c r="R1561" i="1"/>
  <c r="R1557" i="1"/>
  <c r="R1554" i="1"/>
  <c r="R1548" i="1"/>
  <c r="R1537" i="1"/>
  <c r="R1524" i="1"/>
  <c r="R1519" i="1"/>
  <c r="R1507" i="1"/>
  <c r="R1489" i="1"/>
  <c r="R1474" i="1"/>
  <c r="R1468" i="1"/>
  <c r="R1462" i="1"/>
  <c r="R1461" i="1"/>
  <c r="R1458" i="1"/>
  <c r="R1456" i="1"/>
  <c r="R1442" i="1"/>
  <c r="R1413" i="1"/>
  <c r="R1409" i="1"/>
  <c r="R1394" i="1"/>
  <c r="R1383" i="1"/>
  <c r="R1381" i="1"/>
  <c r="R1377" i="1"/>
  <c r="R1375" i="1"/>
  <c r="R1353" i="1"/>
  <c r="R1345" i="1"/>
  <c r="R1329" i="1"/>
  <c r="R1325" i="1"/>
  <c r="R1321" i="1"/>
  <c r="R1313" i="1"/>
  <c r="R1297" i="1"/>
  <c r="R1293" i="1"/>
  <c r="R1279" i="1"/>
  <c r="R1265" i="1"/>
  <c r="R1262" i="1"/>
  <c r="R1254" i="1"/>
  <c r="R1250" i="1"/>
  <c r="R1232" i="1"/>
  <c r="R1229" i="1"/>
  <c r="R1226" i="1"/>
  <c r="R1197" i="1"/>
  <c r="R1189" i="1"/>
  <c r="R1185" i="1"/>
  <c r="R1168" i="1"/>
  <c r="R1154" i="1"/>
  <c r="R1140" i="1"/>
  <c r="R1124" i="1"/>
  <c r="R1122" i="1"/>
  <c r="R1113" i="1"/>
  <c r="R1107" i="1"/>
  <c r="R1085" i="1"/>
  <c r="R1071" i="1"/>
  <c r="R1067" i="1"/>
  <c r="R1059" i="1"/>
  <c r="R1039" i="1"/>
  <c r="R1026" i="1"/>
  <c r="R1023" i="1"/>
  <c r="R1016" i="1"/>
  <c r="R1012" i="1"/>
  <c r="R1007" i="1"/>
  <c r="R1003" i="1"/>
  <c r="R987" i="1"/>
  <c r="R975" i="1"/>
  <c r="R957" i="1"/>
  <c r="R947" i="1"/>
  <c r="R943" i="1"/>
  <c r="R925" i="1"/>
  <c r="R920" i="1"/>
  <c r="R911" i="1"/>
  <c r="R903" i="1"/>
  <c r="R884" i="1"/>
  <c r="R878" i="1"/>
  <c r="R872" i="1"/>
  <c r="R867" i="1"/>
  <c r="R864" i="1"/>
  <c r="R854" i="1"/>
  <c r="R847" i="1"/>
  <c r="R843" i="1"/>
  <c r="R831" i="1"/>
  <c r="R827" i="1"/>
  <c r="R823" i="1"/>
  <c r="R815" i="1"/>
  <c r="R810" i="1"/>
  <c r="R798" i="1"/>
  <c r="R791" i="1"/>
  <c r="R783" i="1"/>
  <c r="R777" i="1"/>
  <c r="R766" i="1"/>
  <c r="R759" i="1"/>
  <c r="R755" i="1"/>
  <c r="R749" i="1"/>
  <c r="R739" i="1"/>
  <c r="R735" i="1"/>
  <c r="R730" i="1"/>
  <c r="R724" i="1"/>
  <c r="R720" i="1"/>
  <c r="R688" i="1"/>
  <c r="R676" i="1"/>
  <c r="R657" i="1"/>
  <c r="R646" i="1"/>
  <c r="R640" i="1"/>
  <c r="R631" i="1"/>
  <c r="R627" i="1"/>
  <c r="R609" i="1"/>
  <c r="R607" i="1"/>
  <c r="R599" i="1"/>
  <c r="R590" i="1"/>
  <c r="R575" i="1"/>
  <c r="R566" i="1"/>
  <c r="R546" i="1"/>
  <c r="R543" i="1"/>
  <c r="R527" i="1"/>
  <c r="R512" i="1"/>
  <c r="R505" i="1"/>
  <c r="R500" i="1"/>
  <c r="R498" i="1"/>
  <c r="R496" i="1"/>
  <c r="R479" i="1"/>
  <c r="R459" i="1"/>
  <c r="R445" i="1"/>
  <c r="R443" i="1"/>
  <c r="R431" i="1"/>
  <c r="R415" i="1"/>
  <c r="R404" i="1"/>
  <c r="R397" i="1"/>
  <c r="R396" i="1"/>
  <c r="R390" i="1"/>
  <c r="R381" i="1"/>
  <c r="R378" i="1"/>
  <c r="R373" i="1"/>
  <c r="R367" i="1"/>
  <c r="R358" i="1"/>
  <c r="R351" i="1"/>
  <c r="R336" i="1"/>
  <c r="R327" i="1"/>
  <c r="R319" i="1"/>
  <c r="R316" i="1"/>
  <c r="R303" i="1"/>
  <c r="R296" i="1"/>
  <c r="R287" i="1"/>
  <c r="R283" i="1"/>
  <c r="R269" i="1"/>
  <c r="R266" i="1"/>
  <c r="R256" i="1"/>
  <c r="R251" i="1"/>
  <c r="R239" i="1"/>
  <c r="R226" i="1"/>
  <c r="R215" i="1"/>
  <c r="R207" i="1"/>
  <c r="R199" i="1"/>
  <c r="R183" i="1"/>
  <c r="R175" i="1"/>
  <c r="R161" i="1"/>
  <c r="R151" i="1"/>
  <c r="R148" i="1"/>
  <c r="R142" i="1"/>
  <c r="R140" i="1"/>
  <c r="R131" i="1"/>
  <c r="R127" i="1"/>
  <c r="R110" i="1"/>
  <c r="R95" i="1"/>
  <c r="R91" i="1"/>
  <c r="R87" i="1"/>
  <c r="R79" i="1"/>
  <c r="R68" i="1"/>
  <c r="R63" i="1"/>
  <c r="R51" i="1"/>
  <c r="R45" i="1"/>
  <c r="R30" i="1"/>
  <c r="R15" i="1"/>
  <c r="R1021" i="1"/>
  <c r="R1008" i="1"/>
  <c r="R1004" i="1"/>
  <c r="R996" i="1"/>
  <c r="R992" i="1"/>
  <c r="R977" i="1"/>
  <c r="R971" i="1"/>
  <c r="R967" i="1"/>
  <c r="R962" i="1"/>
  <c r="R948" i="1"/>
  <c r="R936" i="1"/>
  <c r="R924" i="1"/>
  <c r="R916" i="1"/>
  <c r="R912" i="1"/>
  <c r="R904" i="1"/>
  <c r="R891" i="1"/>
  <c r="R893" i="1"/>
  <c r="R887" i="1"/>
  <c r="R881" i="1"/>
  <c r="R877" i="1"/>
  <c r="R865" i="1"/>
  <c r="R857" i="1"/>
  <c r="R848" i="1"/>
  <c r="R844" i="1"/>
  <c r="R836" i="1"/>
  <c r="R832" i="1"/>
  <c r="R828" i="1"/>
  <c r="R825" i="1"/>
  <c r="R820" i="1"/>
  <c r="R816" i="1"/>
  <c r="R811" i="1"/>
  <c r="R804" i="1"/>
  <c r="R801" i="1"/>
  <c r="R802" i="1"/>
  <c r="R792" i="1"/>
  <c r="R785" i="1"/>
  <c r="R778" i="1"/>
  <c r="R770" i="1"/>
  <c r="R765" i="1"/>
  <c r="R750" i="1"/>
  <c r="R748" i="1"/>
  <c r="R736" i="1"/>
  <c r="R731" i="1"/>
  <c r="R721" i="1"/>
  <c r="R712" i="1"/>
  <c r="R709" i="1"/>
  <c r="R704" i="1"/>
  <c r="R701" i="1"/>
  <c r="R697" i="1"/>
  <c r="R693" i="1"/>
  <c r="R689" i="1"/>
  <c r="R684" i="1"/>
  <c r="R681" i="1"/>
  <c r="R672" i="1"/>
  <c r="R667" i="1"/>
  <c r="R659" i="1"/>
  <c r="R638" i="1"/>
  <c r="R636" i="1"/>
  <c r="R628" i="1"/>
  <c r="R624" i="1"/>
  <c r="R620" i="1"/>
  <c r="R616" i="1"/>
  <c r="R608" i="1"/>
  <c r="R605" i="1"/>
  <c r="R601" i="1"/>
  <c r="R591" i="1"/>
  <c r="R580" i="1"/>
  <c r="R576" i="1"/>
  <c r="R560" i="1"/>
  <c r="R548" i="1"/>
  <c r="R536" i="1"/>
  <c r="R532" i="1"/>
  <c r="R528" i="1"/>
  <c r="R524" i="1"/>
  <c r="R520" i="1"/>
  <c r="R516" i="1"/>
  <c r="R511" i="1"/>
  <c r="R509" i="1"/>
  <c r="R501" i="1"/>
  <c r="R495" i="1"/>
  <c r="R494" i="1"/>
  <c r="R489" i="1"/>
  <c r="R480" i="1"/>
  <c r="R476" i="1"/>
  <c r="R468" i="1"/>
  <c r="R462" i="1"/>
  <c r="R452" i="1"/>
  <c r="R451" i="1"/>
  <c r="R436" i="1"/>
  <c r="R432" i="1"/>
  <c r="R428" i="1"/>
  <c r="R425" i="1"/>
  <c r="R418" i="1"/>
  <c r="R412" i="1"/>
  <c r="R401" i="1"/>
  <c r="R395" i="1"/>
  <c r="R384" i="1"/>
  <c r="R385" i="1"/>
  <c r="R371" i="1"/>
  <c r="R368" i="1"/>
  <c r="R364" i="1"/>
  <c r="R352" i="1"/>
  <c r="R335" i="1"/>
  <c r="R332" i="1"/>
  <c r="R328" i="1"/>
  <c r="R320" i="1"/>
  <c r="R317" i="1"/>
  <c r="R304" i="1"/>
  <c r="R300" i="1"/>
  <c r="R294" i="1"/>
  <c r="R288" i="1"/>
  <c r="R284" i="1"/>
  <c r="R276" i="1"/>
  <c r="R275" i="1"/>
  <c r="R267" i="1"/>
  <c r="R259" i="1"/>
  <c r="R260" i="1"/>
  <c r="R252" i="1"/>
  <c r="R240" i="1"/>
  <c r="R236" i="1"/>
  <c r="R224" i="1"/>
  <c r="R220" i="1"/>
  <c r="R216" i="1"/>
  <c r="R208" i="1"/>
  <c r="R192" i="1"/>
  <c r="R188" i="1"/>
  <c r="R176" i="1"/>
  <c r="R171" i="1"/>
  <c r="R167" i="1"/>
  <c r="R160" i="1"/>
  <c r="R158" i="1"/>
  <c r="R144" i="1"/>
  <c r="R143" i="1"/>
  <c r="R136" i="1"/>
  <c r="R128" i="1"/>
  <c r="R111" i="1"/>
  <c r="R106" i="1"/>
  <c r="R99" i="1"/>
  <c r="R100" i="1"/>
  <c r="R92" i="1"/>
  <c r="R88" i="1"/>
  <c r="R81" i="1"/>
  <c r="R76" i="1"/>
  <c r="R66" i="1"/>
  <c r="R64" i="1"/>
  <c r="R61" i="1"/>
  <c r="R56" i="1"/>
  <c r="R50" i="1"/>
  <c r="R43" i="1"/>
  <c r="R39" i="1"/>
  <c r="R37" i="1"/>
  <c r="R32" i="1"/>
  <c r="R28" i="1"/>
  <c r="R16" i="1"/>
  <c r="R12" i="1"/>
  <c r="R1073" i="1"/>
  <c r="R1069" i="1"/>
  <c r="R1057" i="1"/>
  <c r="R1052" i="1"/>
  <c r="R1041" i="1"/>
  <c r="R1037" i="1"/>
  <c r="R1024" i="1"/>
  <c r="R1020" i="1"/>
  <c r="R1017" i="1"/>
  <c r="R1006" i="1"/>
  <c r="R1002" i="1"/>
  <c r="R1000" i="1"/>
  <c r="R994" i="1"/>
  <c r="R988" i="1"/>
  <c r="R981" i="1"/>
  <c r="R976" i="1"/>
  <c r="R972" i="1"/>
  <c r="R969" i="1"/>
  <c r="R960" i="1"/>
  <c r="R958" i="1"/>
  <c r="R953" i="1"/>
  <c r="R945" i="1"/>
  <c r="R942" i="1"/>
  <c r="R929" i="1"/>
  <c r="R921" i="1"/>
  <c r="R914" i="1"/>
  <c r="R909" i="1"/>
  <c r="R905" i="1"/>
  <c r="R897" i="1"/>
  <c r="R894" i="1"/>
  <c r="R883" i="1"/>
  <c r="R880" i="1"/>
  <c r="R876" i="1"/>
  <c r="R873" i="1"/>
  <c r="R863" i="1"/>
  <c r="R860" i="1"/>
  <c r="R849" i="1"/>
  <c r="R845" i="1"/>
  <c r="R841" i="1"/>
  <c r="R833" i="1"/>
  <c r="R824" i="1"/>
  <c r="R821" i="1"/>
  <c r="R818" i="1"/>
  <c r="R813" i="1"/>
  <c r="R812" i="1"/>
  <c r="R805" i="1"/>
  <c r="R799" i="1"/>
  <c r="R796" i="1"/>
  <c r="R795" i="1"/>
  <c r="R790" i="1"/>
  <c r="R784" i="1"/>
  <c r="R779" i="1"/>
  <c r="R780" i="1"/>
  <c r="R767" i="1"/>
  <c r="R764" i="1"/>
  <c r="R761" i="1"/>
  <c r="R753" i="1"/>
  <c r="R751" i="1"/>
  <c r="R745" i="1"/>
  <c r="R737" i="1"/>
  <c r="R733" i="1"/>
  <c r="R729" i="1"/>
  <c r="R725" i="1"/>
  <c r="R722" i="1"/>
  <c r="R715" i="1"/>
  <c r="R714" i="1"/>
  <c r="R708" i="1"/>
  <c r="R705" i="1"/>
  <c r="R702" i="1"/>
  <c r="R696" i="1"/>
  <c r="R692" i="1"/>
  <c r="R690" i="1"/>
  <c r="R685" i="1"/>
  <c r="R680" i="1"/>
  <c r="R673" i="1"/>
  <c r="R668" i="1"/>
  <c r="R665" i="1"/>
  <c r="R658" i="1"/>
  <c r="R653" i="1"/>
  <c r="R649" i="1"/>
  <c r="R643" i="1"/>
  <c r="R637" i="1"/>
  <c r="R632" i="1"/>
  <c r="R625" i="1"/>
  <c r="R621" i="1"/>
  <c r="R617" i="1"/>
  <c r="R612" i="1"/>
  <c r="R604" i="1"/>
  <c r="R602" i="1"/>
  <c r="R598" i="1"/>
  <c r="R592" i="1"/>
  <c r="R585" i="1"/>
  <c r="R577" i="1"/>
  <c r="R572" i="1"/>
  <c r="R568" i="1"/>
  <c r="R567" i="1"/>
  <c r="R561" i="1"/>
  <c r="R557" i="1"/>
  <c r="R553" i="1"/>
  <c r="R544" i="1"/>
  <c r="R541" i="1"/>
  <c r="R531" i="1"/>
  <c r="R525" i="1"/>
  <c r="R521" i="1"/>
  <c r="R513" i="1"/>
  <c r="R508" i="1"/>
  <c r="R507" i="1"/>
  <c r="R497" i="1"/>
  <c r="R493" i="1"/>
  <c r="R488" i="1"/>
  <c r="R481" i="1"/>
  <c r="R477" i="1"/>
  <c r="R473" i="1"/>
  <c r="R464" i="1"/>
  <c r="R461" i="1"/>
  <c r="R449" i="1"/>
  <c r="R447" i="1"/>
  <c r="R437" i="1"/>
  <c r="R433" i="1"/>
  <c r="R430" i="1"/>
  <c r="R424" i="1"/>
  <c r="R416" i="1"/>
  <c r="R413" i="1"/>
  <c r="R409" i="1"/>
  <c r="R402" i="1"/>
  <c r="R398" i="1"/>
  <c r="R392" i="1"/>
  <c r="R391" i="1"/>
  <c r="R383" i="1"/>
  <c r="R377" i="1"/>
  <c r="R374" i="1"/>
  <c r="R369" i="1"/>
  <c r="R365" i="1"/>
  <c r="R361" i="1"/>
  <c r="R354" i="1"/>
  <c r="R348" i="1"/>
  <c r="R347" i="1"/>
  <c r="R338" i="1"/>
  <c r="R333" i="1"/>
  <c r="R329" i="1"/>
  <c r="R321" i="1"/>
  <c r="R315" i="1"/>
  <c r="R314" i="1"/>
  <c r="R308" i="1"/>
  <c r="R305" i="1"/>
  <c r="R301" i="1"/>
  <c r="R297" i="1"/>
  <c r="R293" i="1"/>
  <c r="R289" i="1"/>
  <c r="R285" i="1"/>
  <c r="R282" i="1"/>
  <c r="R273" i="1"/>
  <c r="R271" i="1"/>
  <c r="R270" i="1"/>
  <c r="R257" i="1"/>
  <c r="R253" i="1"/>
  <c r="R248" i="1"/>
  <c r="R245" i="1"/>
  <c r="R241" i="1"/>
  <c r="R238" i="1"/>
  <c r="R233" i="1"/>
  <c r="R225" i="1"/>
  <c r="R221" i="1"/>
  <c r="R217" i="1"/>
  <c r="R209" i="1"/>
  <c r="R206" i="1"/>
  <c r="R200" i="1"/>
  <c r="R193" i="1"/>
  <c r="R190" i="1"/>
  <c r="R184" i="1"/>
  <c r="R180" i="1"/>
  <c r="R173" i="1"/>
  <c r="R174" i="1"/>
  <c r="R169" i="1"/>
  <c r="R156" i="1"/>
  <c r="R159" i="1"/>
  <c r="R154" i="1"/>
  <c r="R145" i="1"/>
  <c r="R138" i="1"/>
  <c r="R137" i="1"/>
  <c r="R129" i="1"/>
  <c r="R125" i="1"/>
  <c r="R119" i="1"/>
  <c r="R117" i="1"/>
  <c r="R113" i="1"/>
  <c r="R109" i="1"/>
  <c r="R105" i="1"/>
  <c r="R97" i="1"/>
  <c r="R93" i="1"/>
  <c r="R89" i="1"/>
  <c r="R80" i="1"/>
  <c r="R77" i="1"/>
  <c r="R71" i="1"/>
  <c r="R67" i="1"/>
  <c r="R60" i="1"/>
  <c r="R59" i="1"/>
  <c r="R53" i="1"/>
  <c r="R48" i="1"/>
  <c r="R46" i="1"/>
  <c r="R44" i="1"/>
  <c r="R33" i="1"/>
  <c r="R29" i="1"/>
  <c r="R25" i="1"/>
  <c r="R17" i="1"/>
  <c r="R13" i="1"/>
  <c r="R1022" i="1"/>
  <c r="R1015" i="1"/>
  <c r="R1011" i="1"/>
  <c r="R1009" i="1"/>
  <c r="R1005" i="1"/>
  <c r="R998" i="1"/>
  <c r="R993" i="1"/>
  <c r="R990" i="1"/>
  <c r="R985" i="1"/>
  <c r="R982" i="1"/>
  <c r="R978" i="1"/>
  <c r="R973" i="1"/>
  <c r="R970" i="1"/>
  <c r="R965" i="1"/>
  <c r="R961" i="1"/>
  <c r="R959" i="1"/>
  <c r="R954" i="1"/>
  <c r="R951" i="1"/>
  <c r="R946" i="1"/>
  <c r="R941" i="1"/>
  <c r="R938" i="1"/>
  <c r="R934" i="1"/>
  <c r="R930" i="1"/>
  <c r="R927" i="1"/>
  <c r="R919" i="1"/>
  <c r="R913" i="1"/>
  <c r="R910" i="1"/>
  <c r="R906" i="1"/>
  <c r="R901" i="1"/>
  <c r="R898" i="1"/>
  <c r="R895" i="1"/>
  <c r="R886" i="1"/>
  <c r="R885" i="1"/>
  <c r="R879" i="1"/>
  <c r="R869" i="1"/>
  <c r="R866" i="1"/>
  <c r="R862" i="1"/>
  <c r="R853" i="1"/>
  <c r="R855" i="1"/>
  <c r="R846" i="1"/>
  <c r="R840" i="1"/>
  <c r="R834" i="1"/>
  <c r="R830" i="1"/>
  <c r="R826" i="1"/>
  <c r="R822" i="1"/>
  <c r="R819" i="1"/>
  <c r="R814" i="1"/>
  <c r="R809" i="1"/>
  <c r="R806" i="1"/>
  <c r="R800" i="1"/>
  <c r="R797" i="1"/>
  <c r="R793" i="1"/>
  <c r="R789" i="1"/>
  <c r="R786" i="1"/>
  <c r="R781" i="1"/>
  <c r="R776" i="1"/>
  <c r="R768" i="1"/>
  <c r="R771" i="1"/>
  <c r="R762" i="1"/>
  <c r="R758" i="1"/>
  <c r="R754" i="1"/>
  <c r="R752" i="1"/>
  <c r="R746" i="1"/>
  <c r="R742" i="1"/>
  <c r="R738" i="1"/>
  <c r="R734" i="1"/>
  <c r="R727" i="1"/>
  <c r="R718" i="1"/>
  <c r="R719" i="1"/>
  <c r="R713" i="1"/>
  <c r="R710" i="1"/>
  <c r="R707" i="1"/>
  <c r="R703" i="1"/>
  <c r="R698" i="1"/>
  <c r="R694" i="1"/>
  <c r="R686" i="1"/>
  <c r="R678" i="1"/>
  <c r="R674" i="1"/>
  <c r="R671" i="1"/>
  <c r="R666" i="1"/>
  <c r="R662" i="1"/>
  <c r="R654" i="1"/>
  <c r="R650" i="1"/>
  <c r="R648" i="1"/>
  <c r="R641" i="1"/>
  <c r="R639" i="1"/>
  <c r="R635" i="1"/>
  <c r="R630" i="1"/>
  <c r="R626" i="1"/>
  <c r="R622" i="1"/>
  <c r="R618" i="1"/>
  <c r="R614" i="1"/>
  <c r="R610" i="1"/>
  <c r="R606" i="1"/>
  <c r="R597" i="1"/>
  <c r="R594" i="1"/>
  <c r="R593" i="1"/>
  <c r="R586" i="1"/>
  <c r="R582" i="1"/>
  <c r="R578" i="1"/>
  <c r="R574" i="1"/>
  <c r="R570" i="1"/>
  <c r="R565" i="1"/>
  <c r="R562" i="1"/>
  <c r="R558" i="1"/>
  <c r="R550" i="1"/>
  <c r="R542" i="1"/>
  <c r="R539" i="1"/>
  <c r="R535" i="1"/>
  <c r="R526" i="1"/>
  <c r="R523" i="1"/>
  <c r="R519" i="1"/>
  <c r="R510" i="1"/>
  <c r="R506" i="1"/>
  <c r="R503" i="1"/>
  <c r="R499" i="1"/>
  <c r="R492" i="1"/>
  <c r="R484" i="1"/>
  <c r="R482" i="1"/>
  <c r="R478" i="1"/>
  <c r="R474" i="1"/>
  <c r="R470" i="1"/>
  <c r="R465" i="1"/>
  <c r="R458" i="1"/>
  <c r="R454" i="1"/>
  <c r="R450" i="1"/>
  <c r="R446" i="1"/>
  <c r="R438" i="1"/>
  <c r="R434" i="1"/>
  <c r="R429" i="1"/>
  <c r="R426" i="1"/>
  <c r="R422" i="1"/>
  <c r="R417" i="1"/>
  <c r="R414" i="1"/>
  <c r="R410" i="1"/>
  <c r="R406" i="1"/>
  <c r="R400" i="1"/>
  <c r="R399" i="1"/>
  <c r="R394" i="1"/>
  <c r="R389" i="1"/>
  <c r="R386" i="1"/>
  <c r="R380" i="1"/>
  <c r="R370" i="1"/>
  <c r="R372" i="1"/>
  <c r="R366" i="1"/>
  <c r="R362" i="1"/>
  <c r="R359" i="1"/>
  <c r="R355" i="1"/>
  <c r="R350" i="1"/>
  <c r="R345" i="1"/>
  <c r="R344" i="1"/>
  <c r="R339" i="1"/>
  <c r="R334" i="1"/>
  <c r="R330" i="1"/>
  <c r="R325" i="1"/>
  <c r="R318" i="1"/>
  <c r="R313" i="1"/>
  <c r="R310" i="1"/>
  <c r="R307" i="1"/>
  <c r="R302" i="1"/>
  <c r="R298" i="1"/>
  <c r="R295" i="1"/>
  <c r="R291" i="1"/>
  <c r="R286" i="1"/>
  <c r="R281" i="1"/>
  <c r="R279" i="1"/>
  <c r="R272" i="1"/>
  <c r="R268" i="1"/>
  <c r="R265" i="1"/>
  <c r="R264" i="1"/>
  <c r="R258" i="1"/>
  <c r="R255" i="1"/>
  <c r="R246" i="1"/>
  <c r="R242" i="1"/>
  <c r="R237" i="1"/>
  <c r="R234" i="1"/>
  <c r="R227" i="1"/>
  <c r="R223" i="1"/>
  <c r="R222" i="1"/>
  <c r="R219" i="1"/>
  <c r="R210" i="1"/>
  <c r="R213" i="1"/>
  <c r="R205" i="1"/>
  <c r="R202" i="1"/>
  <c r="R198" i="1"/>
  <c r="R194" i="1"/>
  <c r="R191" i="1"/>
  <c r="R187" i="1"/>
  <c r="R182" i="1"/>
  <c r="R177" i="1"/>
  <c r="R178" i="1"/>
  <c r="R170" i="1"/>
  <c r="R162" i="1"/>
  <c r="R155" i="1"/>
  <c r="R152" i="1"/>
  <c r="R147" i="1"/>
  <c r="R146" i="1"/>
  <c r="R141" i="1"/>
  <c r="R139" i="1"/>
  <c r="R133" i="1"/>
  <c r="R130" i="1"/>
  <c r="R126" i="1"/>
  <c r="R120" i="1"/>
  <c r="R118" i="1"/>
  <c r="R116" i="1"/>
  <c r="R107" i="1"/>
  <c r="R108" i="1"/>
  <c r="R102" i="1"/>
  <c r="R96" i="1"/>
  <c r="R94" i="1"/>
  <c r="R90" i="1"/>
  <c r="R86" i="1"/>
  <c r="R85" i="1"/>
  <c r="R78" i="1"/>
  <c r="R75" i="1"/>
  <c r="R70" i="1"/>
  <c r="R65" i="1"/>
  <c r="R62" i="1"/>
  <c r="R57" i="1"/>
  <c r="R54" i="1"/>
  <c r="R49" i="1"/>
  <c r="R47" i="1"/>
  <c r="R41" i="1"/>
  <c r="R38" i="1"/>
  <c r="R34" i="1"/>
  <c r="R31" i="1"/>
  <c r="R26" i="1"/>
  <c r="R22" i="1"/>
  <c r="R18" i="1"/>
  <c r="R14" i="1"/>
  <c r="R10" i="1"/>
  <c r="R5" i="1"/>
  <c r="R7" i="1"/>
  <c r="R11" i="1"/>
  <c r="R6" i="1"/>
  <c r="R2" i="1"/>
  <c r="R9" i="1"/>
  <c r="R4" i="1"/>
  <c r="R1937" i="1"/>
  <c r="R218" i="1"/>
  <c r="R1628" i="1"/>
  <c r="R596" i="1"/>
  <c r="R337" i="1"/>
  <c r="R1412" i="1"/>
  <c r="R1235" i="1"/>
  <c r="R1651" i="1"/>
  <c r="R1606" i="1"/>
  <c r="R1158" i="1"/>
  <c r="R907" i="1"/>
  <c r="R1513" i="1"/>
  <c r="R949" i="1"/>
  <c r="R655" i="1"/>
  <c r="R1086" i="1"/>
  <c r="R1872" i="1"/>
  <c r="R1351" i="1"/>
  <c r="R122" i="1"/>
  <c r="R581" i="1"/>
  <c r="R661" i="1"/>
  <c r="R995" i="1"/>
  <c r="R1365" i="1"/>
  <c r="R1095" i="1"/>
  <c r="R623" i="1"/>
  <c r="R1618" i="1"/>
  <c r="R1763" i="1"/>
  <c r="R1335" i="1"/>
  <c r="R963" i="1"/>
  <c r="R1578" i="1"/>
  <c r="R1646" i="1"/>
  <c r="R463" i="1"/>
  <c r="R1678" i="1"/>
  <c r="R1593" i="1"/>
  <c r="R1245" i="1"/>
  <c r="R1572" i="1"/>
  <c r="R1959" i="1"/>
  <c r="R134" i="1"/>
  <c r="R989" i="1"/>
  <c r="R1081" i="1"/>
  <c r="R772" i="1"/>
  <c r="R1224" i="1"/>
  <c r="R980" i="1"/>
  <c r="R342" i="1"/>
  <c r="R743" i="1"/>
  <c r="R1234" i="1"/>
  <c r="R1223" i="1"/>
  <c r="R1233" i="1"/>
  <c r="R1420" i="1"/>
  <c r="R1820" i="1"/>
  <c r="R1781" i="1"/>
  <c r="R1812" i="1"/>
  <c r="R966" i="1"/>
  <c r="R615" i="1"/>
  <c r="R1699" i="1"/>
  <c r="R1657" i="1"/>
  <c r="R1815" i="1"/>
  <c r="R522" i="1"/>
  <c r="R964" i="1"/>
  <c r="R1056" i="1"/>
  <c r="R1579" i="1"/>
  <c r="R670" i="1"/>
  <c r="R1782" i="1"/>
  <c r="R1484" i="1"/>
  <c r="R1605" i="1"/>
  <c r="R1807" i="1"/>
  <c r="R165" i="1"/>
  <c r="R1531" i="1"/>
  <c r="R595" i="1"/>
  <c r="R1751" i="1"/>
  <c r="R435" i="1"/>
  <c r="R1856" i="1"/>
  <c r="R1753" i="1"/>
  <c r="R1672" i="1"/>
  <c r="R888" i="1"/>
  <c r="R1759" i="1"/>
  <c r="R1816" i="1"/>
  <c r="R1638" i="1"/>
  <c r="R1055" i="1"/>
  <c r="R1269" i="1"/>
  <c r="R1126" i="1"/>
  <c r="R1348" i="1"/>
  <c r="R1425" i="1"/>
  <c r="R852" i="1"/>
  <c r="R1508" i="1"/>
  <c r="R1543" i="1"/>
  <c r="R1592" i="1"/>
  <c r="R1783" i="1"/>
  <c r="R1219" i="1"/>
  <c r="R1717" i="1"/>
  <c r="R1314" i="1"/>
  <c r="R277" i="1"/>
  <c r="R955" i="1"/>
  <c r="R1145" i="1"/>
  <c r="R664" i="1"/>
  <c r="R1575" i="1"/>
  <c r="R1954" i="1"/>
  <c r="R1272" i="1"/>
  <c r="R691" i="1"/>
  <c r="R82" i="1"/>
  <c r="R1731" i="1"/>
  <c r="R896" i="1"/>
  <c r="R1793" i="1"/>
  <c r="R1192" i="1"/>
  <c r="R900" i="1"/>
  <c r="R573" i="1"/>
  <c r="R923" i="1"/>
  <c r="R861" i="1"/>
  <c r="R839" i="1"/>
  <c r="R1701" i="1"/>
  <c r="R1671" i="1"/>
  <c r="R1349" i="1"/>
  <c r="R740" i="1"/>
  <c r="R1170" i="1"/>
  <c r="R699" i="1"/>
  <c r="R870" i="1"/>
  <c r="R421" i="1"/>
  <c r="R1087" i="1"/>
  <c r="R1964" i="1"/>
  <c r="R249" i="1"/>
  <c r="R644" i="1"/>
  <c r="R1899" i="1"/>
  <c r="R1082" i="1"/>
  <c r="R1741" i="1"/>
  <c r="R1110" i="1"/>
  <c r="R545" i="1"/>
  <c r="R928" i="1"/>
  <c r="R647" i="1"/>
  <c r="R837" i="1"/>
  <c r="R1296" i="1"/>
  <c r="R323" i="1"/>
  <c r="R1150" i="1"/>
  <c r="R1875" i="1"/>
  <c r="R460" i="1"/>
  <c r="R1788" i="1"/>
  <c r="R760" i="1"/>
  <c r="R1624" i="1"/>
  <c r="R1079" i="1"/>
  <c r="R1683" i="1"/>
  <c r="R1371" i="1"/>
  <c r="R1732" i="1"/>
  <c r="R1063" i="1"/>
  <c r="R817" i="1"/>
  <c r="R1999" i="1"/>
  <c r="R1761" i="1"/>
  <c r="R211" i="1"/>
  <c r="R587" i="1"/>
  <c r="R1511" i="1"/>
  <c r="R1304" i="1"/>
  <c r="R1521" i="1"/>
  <c r="R1397" i="1"/>
  <c r="R124" i="1"/>
  <c r="R1743" i="1"/>
  <c r="R1669" i="1"/>
  <c r="R1173" i="1"/>
  <c r="R1049" i="1"/>
  <c r="R1451" i="1"/>
  <c r="R1917" i="1"/>
  <c r="R1443" i="1"/>
  <c r="R1130" i="1"/>
  <c r="R1621" i="1"/>
  <c r="R1908" i="1"/>
  <c r="R83" i="1"/>
  <c r="R1188" i="1"/>
  <c r="R1402" i="1"/>
  <c r="R1485" i="1"/>
  <c r="R1200" i="1"/>
  <c r="R1990" i="1"/>
  <c r="R1060" i="1"/>
  <c r="R55" i="1"/>
  <c r="R1957" i="1"/>
  <c r="R1204" i="1"/>
  <c r="R899" i="1"/>
  <c r="R1448" i="1"/>
  <c r="R1737" i="1"/>
  <c r="R1923" i="1"/>
  <c r="R1728" i="1"/>
  <c r="R195" i="1"/>
  <c r="R353" i="1"/>
  <c r="R1865" i="1"/>
  <c r="R346" i="1"/>
  <c r="R1247" i="1"/>
  <c r="R1978" i="1"/>
  <c r="R1610" i="1"/>
  <c r="R1735" i="1"/>
  <c r="R1030" i="1"/>
  <c r="R456" i="1"/>
  <c r="R1447" i="1"/>
  <c r="R1368" i="1"/>
  <c r="R1664" i="1"/>
  <c r="R856" i="1"/>
  <c r="R1897" i="1"/>
  <c r="R1278" i="1"/>
  <c r="R775" i="1"/>
  <c r="R559" i="1"/>
  <c r="R926" i="1"/>
  <c r="R1805" i="1"/>
  <c r="R1661" i="1"/>
  <c r="R1019" i="1"/>
  <c r="R1647" i="1"/>
  <c r="R1027" i="1"/>
  <c r="R121" i="1"/>
  <c r="R1035" i="1"/>
  <c r="R1746" i="1"/>
  <c r="R1384" i="1"/>
  <c r="R1320" i="1"/>
  <c r="R1597" i="1"/>
  <c r="R1332" i="1"/>
  <c r="R455" i="1"/>
  <c r="R1503" i="1"/>
  <c r="R1363" i="1"/>
  <c r="R1918" i="1"/>
  <c r="R1709" i="1"/>
  <c r="R1704" i="1"/>
  <c r="R1641" i="1"/>
  <c r="R112" i="1"/>
  <c r="R1837" i="1"/>
  <c r="R1473" i="1"/>
  <c r="R1520" i="1"/>
  <c r="R243" i="1"/>
  <c r="R485" i="1"/>
  <c r="R1577" i="1"/>
  <c r="R1408" i="1"/>
  <c r="R1465" i="1"/>
  <c r="R1163" i="1"/>
  <c r="R999" i="1"/>
  <c r="R530" i="1"/>
  <c r="R1256" i="1"/>
  <c r="R1971" i="1"/>
  <c r="R1779" i="1"/>
  <c r="R1961" i="1"/>
  <c r="R1857" i="1"/>
  <c r="R1773" i="1"/>
  <c r="R1603" i="1"/>
  <c r="R341" i="1"/>
  <c r="R1668" i="1"/>
  <c r="R263" i="1"/>
  <c r="R27" i="1"/>
  <c r="R1108" i="1"/>
  <c r="R1995" i="1"/>
  <c r="R679" i="1"/>
  <c r="R555" i="1"/>
  <c r="R1323" i="1"/>
  <c r="R838" i="1"/>
  <c r="R1428" i="1"/>
  <c r="R1679" i="1"/>
  <c r="R1833" i="1"/>
  <c r="R538" i="1"/>
  <c r="R1047" i="1"/>
  <c r="R1588" i="1"/>
  <c r="R1183" i="1"/>
  <c r="R1423" i="1"/>
  <c r="R1191" i="1"/>
  <c r="R1438" i="1"/>
  <c r="R1257" i="1"/>
  <c r="R889" i="1"/>
  <c r="R1370" i="1"/>
  <c r="R1043" i="1"/>
  <c r="R115" i="1"/>
  <c r="R1147" i="1"/>
  <c r="R1133" i="1"/>
  <c r="R229" i="1"/>
  <c r="R583" i="1"/>
  <c r="R1775" i="1"/>
  <c r="R1952" i="1"/>
  <c r="R656" i="1"/>
  <c r="R1141" i="1"/>
  <c r="R1319" i="1"/>
  <c r="R1396" i="1"/>
  <c r="R123" i="1"/>
  <c r="R747" i="1"/>
  <c r="R114" i="1"/>
  <c r="R1199" i="1"/>
  <c r="R1702" i="1"/>
  <c r="R939" i="1"/>
  <c r="R1120" i="1"/>
  <c r="R1695" i="1"/>
  <c r="R882" i="1"/>
  <c r="R23" i="1"/>
  <c r="R1839" i="1"/>
  <c r="R72" i="1"/>
  <c r="R787" i="1"/>
  <c r="R153" i="1"/>
  <c r="R1315" i="1"/>
  <c r="R101" i="1"/>
  <c r="R1169" i="1"/>
  <c r="R1906" i="1"/>
  <c r="R514" i="1"/>
  <c r="R471" i="1"/>
  <c r="R1469" i="1"/>
  <c r="R1969" i="1"/>
  <c r="R1324" i="1"/>
  <c r="R1273" i="1"/>
  <c r="R1562" i="1"/>
  <c r="R1797" i="1"/>
  <c r="R1467" i="1"/>
  <c r="R1405" i="1"/>
  <c r="R1411" i="1"/>
  <c r="R933" i="1"/>
  <c r="R1359" i="1"/>
  <c r="R1586" i="1"/>
  <c r="R1091" i="1"/>
  <c r="R1249" i="1"/>
  <c r="R1528" i="1"/>
  <c r="R326" i="1"/>
  <c r="R1539" i="1"/>
  <c r="R472" i="1"/>
  <c r="R1487" i="1"/>
  <c r="R1064" i="1"/>
  <c r="R1845" i="1"/>
  <c r="R1916" i="1"/>
  <c r="R1318" i="1"/>
  <c r="R1843" i="1"/>
  <c r="R1654" i="1"/>
  <c r="R363" i="1"/>
  <c r="R1106" i="1"/>
  <c r="R807" i="1"/>
  <c r="R1688" i="1"/>
  <c r="R157" i="1"/>
  <c r="R1418" i="1"/>
  <c r="R1497" i="1"/>
  <c r="R388" i="1"/>
  <c r="R1258" i="1"/>
  <c r="R1931" i="1"/>
  <c r="R1362" i="1"/>
  <c r="R1386" i="1"/>
  <c r="R1153" i="1"/>
  <c r="R1877" i="1"/>
  <c r="R309" i="1"/>
  <c r="R1128" i="1"/>
  <c r="R1103" i="1"/>
  <c r="R42" i="1"/>
  <c r="R1454" i="1"/>
  <c r="R1287" i="1"/>
  <c r="R757" i="1"/>
  <c r="R1887" i="1"/>
  <c r="R563" i="1"/>
  <c r="R1117" i="1"/>
  <c r="R1871" i="1"/>
  <c r="R1949" i="1"/>
  <c r="R149" i="1"/>
  <c r="R1490" i="1"/>
  <c r="R892" i="1"/>
  <c r="R1051" i="1"/>
  <c r="R423" i="1"/>
  <c r="R1326" i="1"/>
  <c r="R1014" i="1"/>
  <c r="R875" i="1"/>
  <c r="R1029" i="1"/>
  <c r="R1328" i="1"/>
  <c r="R1795" i="1"/>
  <c r="R695" i="1"/>
  <c r="R1581" i="1"/>
  <c r="R483" i="1"/>
  <c r="R1240" i="1"/>
  <c r="R663" i="1"/>
  <c r="R991" i="1"/>
  <c r="R932" i="1"/>
  <c r="R376" i="1"/>
  <c r="R1826" i="1"/>
  <c r="R908" i="1"/>
  <c r="R1379" i="1"/>
  <c r="R1149" i="1"/>
  <c r="R21" i="1"/>
  <c r="R1653" i="1"/>
  <c r="R1527" i="1"/>
  <c r="R1983" i="1"/>
  <c r="R1534" i="1"/>
  <c r="R711" i="1"/>
  <c r="R1544" i="1"/>
  <c r="R1476" i="1"/>
  <c r="R1403" i="1"/>
  <c r="R1789" i="1"/>
  <c r="R829" i="1"/>
  <c r="R1176" i="1"/>
  <c r="R968" i="1"/>
  <c r="R1218" i="1"/>
  <c r="R1205" i="1"/>
  <c r="R1896" i="1"/>
  <c r="R1806" i="1"/>
  <c r="R1963" i="1"/>
  <c r="R1220" i="1"/>
  <c r="R850" i="1"/>
  <c r="R1854" i="1"/>
  <c r="R1018" i="1"/>
  <c r="R1289" i="1"/>
  <c r="R1966" i="1"/>
  <c r="R1109" i="1"/>
  <c r="R1924" i="1"/>
  <c r="R556" i="1"/>
  <c r="R1366" i="1"/>
  <c r="R763" i="1"/>
  <c r="R551" i="1"/>
  <c r="R322" i="1"/>
  <c r="R1340" i="1"/>
  <c r="R952" i="1"/>
  <c r="R1352" i="1"/>
  <c r="R1434" i="1"/>
  <c r="R1558" i="1"/>
  <c r="R1631" i="1"/>
  <c r="R1602" i="1"/>
  <c r="R1919" i="1"/>
  <c r="R1832" i="1"/>
  <c r="R589" i="1"/>
  <c r="R931" i="1"/>
  <c r="R1799" i="1"/>
  <c r="R1760" i="1"/>
  <c r="R851" i="1"/>
  <c r="R835" i="1"/>
  <c r="R1932" i="1"/>
  <c r="R420" i="1"/>
  <c r="R1790" i="1"/>
  <c r="R1031" i="1"/>
  <c r="R502" i="1"/>
  <c r="R1984" i="1"/>
  <c r="R716" i="1"/>
  <c r="R8" i="1"/>
  <c r="R1505" i="1"/>
  <c r="R1435" i="1"/>
  <c r="R1184" i="1"/>
  <c r="R1529" i="1"/>
  <c r="R1604" i="1"/>
  <c r="R1044" i="1"/>
  <c r="R1227" i="1"/>
  <c r="R1710" i="1"/>
  <c r="R1333" i="1"/>
  <c r="R1950" i="1"/>
  <c r="R547" i="1"/>
  <c r="R1504" i="1"/>
  <c r="R1156" i="1"/>
  <c r="R1620" i="1"/>
  <c r="R1913" i="1"/>
  <c r="R1264" i="1"/>
  <c r="R427" i="1"/>
  <c r="R1445" i="1"/>
  <c r="R1416" i="1"/>
  <c r="R1295" i="1"/>
  <c r="R448" i="1"/>
  <c r="R403" i="1"/>
  <c r="R453" i="1"/>
  <c r="R552" i="1"/>
  <c r="R1933" i="1"/>
  <c r="R1972" i="1"/>
  <c r="R1650" i="1"/>
  <c r="R803" i="1"/>
  <c r="R1774" i="1"/>
  <c r="R1791" i="1"/>
  <c r="R1696" i="1"/>
  <c r="R74" i="1"/>
  <c r="R189" i="1"/>
  <c r="R782" i="1"/>
  <c r="R1555" i="1"/>
  <c r="R1160" i="1"/>
  <c r="R1711" i="1"/>
  <c r="R1617" i="1"/>
  <c r="R1437" i="1"/>
  <c r="R915" i="1"/>
  <c r="R1922" i="1"/>
  <c r="R467" i="1"/>
  <c r="R1367" i="1"/>
  <c r="R1818" i="1"/>
  <c r="R517" i="1"/>
  <c r="R1644" i="1"/>
  <c r="R1178" i="1"/>
  <c r="R407" i="1"/>
  <c r="R340" i="1"/>
  <c r="R1098" i="1"/>
  <c r="R1904" i="1"/>
  <c r="R1058" i="1"/>
  <c r="R1802" i="1"/>
  <c r="R1238" i="1"/>
  <c r="R299" i="1"/>
  <c r="R1934" i="1"/>
  <c r="R1930" i="1"/>
  <c r="R1754" i="1"/>
  <c r="R1479" i="1"/>
  <c r="R1096" i="1"/>
  <c r="R1927" i="1"/>
  <c r="R937" i="1"/>
  <c r="R890" i="1"/>
  <c r="R1061" i="1"/>
  <c r="R1885" i="1"/>
  <c r="R1131" i="1"/>
  <c r="R1231" i="1"/>
  <c r="R444" i="1"/>
  <c r="R774" i="1"/>
  <c r="R1380" i="1"/>
  <c r="R360" i="1"/>
  <c r="R1342" i="1"/>
  <c r="R1275" i="1"/>
  <c r="R1787" i="1"/>
  <c r="R1945" i="1"/>
  <c r="R1939" i="1"/>
  <c r="R1510" i="1"/>
  <c r="R387" i="1"/>
  <c r="R1123" i="1"/>
  <c r="R1491" i="1"/>
  <c r="R1813" i="1"/>
  <c r="R534" i="1"/>
  <c r="R1716" i="1"/>
  <c r="R274" i="1"/>
  <c r="R984" i="1"/>
  <c r="R1526" i="1"/>
  <c r="R475" i="1"/>
  <c r="R1914" i="1"/>
  <c r="R1546" i="1"/>
  <c r="R1430" i="1"/>
  <c r="R306" i="1"/>
  <c r="R1065" i="1"/>
  <c r="R564" i="1"/>
  <c r="R1072" i="1"/>
  <c r="R1547" i="1"/>
  <c r="R408" i="1"/>
  <c r="R1217" i="1"/>
  <c r="R1863" i="1"/>
  <c r="R1861" i="1"/>
  <c r="R1390" i="1"/>
  <c r="R235" i="1"/>
  <c r="R1144" i="1"/>
  <c r="R186" i="1"/>
  <c r="R1509" i="1"/>
  <c r="R84" i="1"/>
  <c r="R1868" i="1"/>
  <c r="R1401" i="1"/>
  <c r="R1306" i="1"/>
  <c r="R902" i="1"/>
  <c r="R1252" i="1"/>
  <c r="R1116" i="1"/>
  <c r="R172" i="1"/>
  <c r="R540" i="1"/>
  <c r="R1892" i="1"/>
  <c r="R1305" i="1"/>
  <c r="R292" i="1"/>
  <c r="R1792" i="1"/>
  <c r="R1880" i="1"/>
  <c r="R549" i="1"/>
  <c r="R613" i="1"/>
  <c r="R290" i="1"/>
  <c r="R1277" i="1"/>
  <c r="R1471" i="1"/>
  <c r="R1747" i="1"/>
  <c r="R19" i="1"/>
  <c r="R518" i="1"/>
  <c r="R411" i="1"/>
  <c r="R1587" i="1"/>
  <c r="R487" i="1"/>
  <c r="R1553" i="1"/>
  <c r="R168" i="1"/>
  <c r="R986" i="1"/>
  <c r="R677" i="1"/>
  <c r="R1298" i="1"/>
  <c r="R1886" i="1"/>
  <c r="R569" i="1"/>
  <c r="R1309" i="1"/>
  <c r="R944" i="1"/>
  <c r="R1187" i="1"/>
  <c r="R1637" i="1"/>
  <c r="R1045" i="1"/>
  <c r="R1738" i="1"/>
  <c r="R382" i="1"/>
  <c r="R1215" i="1"/>
  <c r="R728" i="1"/>
  <c r="R1878" i="1"/>
  <c r="R1080" i="1"/>
  <c r="R1161" i="1"/>
  <c r="R280" i="1"/>
  <c r="R1542" i="1"/>
  <c r="R629" i="1"/>
  <c r="R196" i="1"/>
  <c r="R756" i="1"/>
  <c r="R1493" i="1"/>
  <c r="R1179" i="1"/>
  <c r="R1801" i="1"/>
  <c r="R1237" i="1"/>
  <c r="R357" i="1"/>
  <c r="R1316" i="1"/>
  <c r="R1928" i="1"/>
  <c r="R1475" i="1"/>
  <c r="R533" i="1"/>
  <c r="R1590" i="1"/>
  <c r="R611" i="1"/>
  <c r="R1334" i="1"/>
  <c r="R1979" i="1"/>
  <c r="R1417" i="1"/>
  <c r="R1066" i="1"/>
  <c r="R683" i="1"/>
  <c r="R1768" i="1"/>
  <c r="R204" i="1"/>
  <c r="R1745" i="1"/>
  <c r="R349" i="1"/>
  <c r="R1151" i="1"/>
  <c r="R1724" i="1"/>
  <c r="R1540" i="1"/>
  <c r="R1460" i="1"/>
  <c r="R1693" i="1"/>
  <c r="R669" i="1"/>
  <c r="R1870" i="1"/>
  <c r="R1658" i="1"/>
  <c r="R773" i="1"/>
  <c r="R212" i="1"/>
  <c r="R935" i="1"/>
  <c r="R1866" i="1"/>
  <c r="R1501" i="1"/>
  <c r="R1481" i="1"/>
  <c r="R36" i="1"/>
  <c r="R1276" i="1"/>
  <c r="R732" i="1"/>
  <c r="R1210" i="1"/>
  <c r="R1736" i="1"/>
  <c r="R1506" i="1"/>
  <c r="R1591" i="1"/>
  <c r="R1432" i="1"/>
  <c r="R1565" i="1"/>
  <c r="R491" i="1"/>
  <c r="R1074" i="1"/>
  <c r="R974" i="1"/>
  <c r="R584" i="1"/>
  <c r="R1164" i="1"/>
  <c r="R1968" i="1"/>
  <c r="R660" i="1"/>
  <c r="R1769" i="1"/>
  <c r="R1549" i="1"/>
  <c r="R603" i="1"/>
  <c r="R1694" i="1"/>
  <c r="R529" i="1"/>
  <c r="R675" i="1"/>
  <c r="R1157" i="1"/>
  <c r="R1849" i="1"/>
  <c r="R1909" i="1"/>
  <c r="R439" i="1"/>
  <c r="R1612" i="1"/>
  <c r="R1960" i="1"/>
  <c r="R1089" i="1"/>
  <c r="R537" i="1"/>
  <c r="R579" i="1"/>
  <c r="R1778" i="1"/>
  <c r="R515" i="1"/>
  <c r="R203" i="1"/>
  <c r="R244" i="1"/>
  <c r="R1535" i="1"/>
  <c r="R1974" i="1"/>
  <c r="R788" i="1"/>
  <c r="R1496" i="1"/>
  <c r="R956" i="1"/>
  <c r="R1136" i="1"/>
  <c r="R1042" i="1"/>
  <c r="R250" i="1"/>
  <c r="R1440" i="1"/>
  <c r="R1361" i="1"/>
  <c r="R950" i="1"/>
  <c r="R1094" i="1"/>
  <c r="R1050" i="1"/>
  <c r="R871" i="1"/>
  <c r="R1001" i="1"/>
  <c r="R1472" i="1"/>
  <c r="R1406" i="1"/>
  <c r="R1765" i="1"/>
  <c r="R1869" i="1"/>
  <c r="R405" i="1"/>
  <c r="R1594" i="1"/>
  <c r="R1589" i="1"/>
  <c r="R1627" i="1"/>
  <c r="R1921" i="1"/>
  <c r="R343" i="1"/>
  <c r="R874" i="1"/>
  <c r="R1208" i="1"/>
  <c r="R1936" i="1"/>
  <c r="R179" i="1"/>
  <c r="R232" i="1"/>
  <c r="R1973" i="1"/>
  <c r="R486" i="1"/>
  <c r="R1090" i="1"/>
  <c r="R979" i="1"/>
  <c r="R135" i="1"/>
  <c r="R419" i="1"/>
  <c r="R1834" i="1"/>
  <c r="R440" i="1"/>
  <c r="R504" i="1"/>
  <c r="R331" i="1"/>
  <c r="R1195" i="1"/>
  <c r="R1536" i="1"/>
  <c r="R1357" i="1"/>
  <c r="R1285" i="1"/>
  <c r="R645" i="1"/>
  <c r="R1649" i="1"/>
  <c r="R181" i="1"/>
  <c r="R69" i="1"/>
  <c r="R230" i="1"/>
  <c r="R1115" i="1"/>
  <c r="R682" i="1"/>
  <c r="R619" i="1"/>
  <c r="R35" i="1"/>
  <c r="R1817" i="1"/>
  <c r="R1410" i="1"/>
  <c r="R1786" i="1"/>
  <c r="R1639" i="1"/>
  <c r="R466" i="1"/>
  <c r="R1137" i="1"/>
  <c r="R1576" i="1"/>
  <c r="R163" i="1"/>
  <c r="R1013" i="1"/>
  <c r="R633" i="1"/>
  <c r="R1486" i="1"/>
  <c r="R1300" i="1"/>
  <c r="R1718" i="1"/>
  <c r="R1046" i="1"/>
  <c r="R1891" i="1"/>
  <c r="R1538" i="1"/>
  <c r="R918" i="1"/>
  <c r="R1705" i="1"/>
  <c r="R1517" i="1"/>
  <c r="R571" i="1"/>
  <c r="R150" i="1"/>
  <c r="R201" i="1"/>
  <c r="R1874" i="1"/>
  <c r="R1395" i="1"/>
  <c r="R1685" i="1"/>
  <c r="R1609" i="1"/>
  <c r="R1715" i="1"/>
  <c r="R808" i="1"/>
  <c r="R1101" i="1"/>
  <c r="R1429" i="1"/>
  <c r="R1260" i="1"/>
  <c r="R1112" i="1"/>
  <c r="R1194" i="1"/>
  <c r="R1312" i="1"/>
  <c r="R1263" i="1"/>
  <c r="R1556" i="1"/>
  <c r="R1431" i="1"/>
  <c r="R917" i="1"/>
  <c r="R1599" i="1"/>
  <c r="R940" i="1"/>
  <c r="R1181" i="1"/>
  <c r="R1339" i="1"/>
  <c r="R1670" i="1"/>
  <c r="R1282" i="1"/>
  <c r="R58" i="1"/>
  <c r="R3" i="1"/>
  <c r="R1062" i="1"/>
  <c r="R132" i="1"/>
  <c r="R1202" i="1"/>
  <c r="R1148" i="1"/>
  <c r="R356" i="1"/>
  <c r="R1986" i="1"/>
  <c r="R600" i="1"/>
  <c r="R40" i="1"/>
  <c r="R1665" i="1"/>
  <c r="R1167" i="1"/>
  <c r="R1852" i="1"/>
  <c r="R1958" i="1"/>
  <c r="R1829" i="1"/>
  <c r="R1243" i="1"/>
  <c r="R1441" i="1"/>
  <c r="R983" i="1"/>
  <c r="R859" i="1"/>
  <c r="R1636" i="1"/>
  <c r="R1032" i="1"/>
  <c r="R1364" i="1"/>
  <c r="R1626" i="1"/>
  <c r="R700" i="1"/>
  <c r="R214" i="1"/>
  <c r="R858" i="1"/>
  <c r="R1673" i="1"/>
  <c r="R1925" i="1"/>
  <c r="R1419" i="1"/>
  <c r="R1450" i="1"/>
  <c r="R262" i="1"/>
  <c r="R1459" i="1"/>
  <c r="R1947" i="1"/>
  <c r="R1206" i="1"/>
  <c r="R1214" i="1"/>
  <c r="R741" i="1"/>
  <c r="R1213" i="1"/>
  <c r="R1819" i="1"/>
  <c r="R228" i="1"/>
  <c r="R393" i="1"/>
  <c r="R1201" i="1"/>
  <c r="R1851" i="1"/>
  <c r="R1846" i="1"/>
  <c r="R1824" i="1"/>
  <c r="R52" i="1"/>
  <c r="R1093" i="1"/>
  <c r="R997" i="1"/>
  <c r="R185" i="1"/>
  <c r="R1912" i="1"/>
  <c r="R642" i="1"/>
  <c r="R1584" i="1"/>
  <c r="R1236" i="1"/>
  <c r="R1600" i="1"/>
  <c r="R247" i="1"/>
  <c r="R1198" i="1"/>
  <c r="R1477" i="1"/>
  <c r="R1343" i="1"/>
  <c r="R1541" i="1"/>
  <c r="R1301" i="1"/>
  <c r="R1470" i="1"/>
  <c r="R312" i="1"/>
  <c r="R687" i="1"/>
  <c r="R744" i="1"/>
  <c r="R1859" i="1"/>
  <c r="R1152" i="1"/>
  <c r="R1424" i="1"/>
  <c r="R1281" i="1"/>
  <c r="R98" i="1"/>
  <c r="R278" i="1"/>
  <c r="R1034" i="1"/>
  <c r="R1893" i="1"/>
  <c r="R1662" i="1"/>
  <c r="R1422" i="1"/>
  <c r="R634" i="1"/>
  <c r="R1354" i="1"/>
  <c r="R651" i="1"/>
  <c r="R442" i="1"/>
  <c r="R1744" i="1"/>
  <c r="R1040" i="1"/>
  <c r="R1433" i="1"/>
  <c r="R311" i="1"/>
  <c r="R490" i="1"/>
  <c r="R469" i="1"/>
  <c r="R197" i="1"/>
  <c r="R103" i="1"/>
  <c r="R1455" i="1"/>
  <c r="R1970" i="1"/>
  <c r="R1134" i="1"/>
  <c r="R1993" i="1"/>
  <c r="R1119" i="1"/>
  <c r="R652" i="1"/>
  <c r="R1212" i="1"/>
  <c r="R1347" i="1"/>
  <c r="R1125" i="1"/>
  <c r="R379" i="1"/>
  <c r="R1889" i="1"/>
  <c r="R324" i="1"/>
  <c r="R1392" i="1"/>
  <c r="R166" i="1"/>
  <c r="R1634" i="1"/>
  <c r="R922" i="1"/>
  <c r="R769" i="1"/>
  <c r="R1139" i="1"/>
  <c r="R1426" i="1"/>
  <c r="R1466" i="1"/>
  <c r="R1280" i="1"/>
  <c r="R441" i="1"/>
  <c r="R2001" i="1"/>
  <c r="R726" i="1"/>
  <c r="R588" i="1"/>
  <c r="R1686" i="1"/>
  <c r="R1369" i="1"/>
  <c r="R1331" i="1"/>
  <c r="R1373" i="1"/>
  <c r="R868" i="1"/>
  <c r="R1480" i="1"/>
  <c r="R24" i="1"/>
  <c r="R1146" i="1"/>
  <c r="R1010" i="1"/>
  <c r="R554" i="1"/>
  <c r="R1766" i="1"/>
  <c r="R73" i="1"/>
  <c r="R1225" i="1"/>
  <c r="R1444" i="1"/>
  <c r="R457" i="1"/>
  <c r="R717" i="1"/>
  <c r="R1831" i="1"/>
  <c r="R104" i="1"/>
  <c r="R1809" i="1"/>
  <c r="R1895" i="1"/>
  <c r="R261" i="1"/>
  <c r="R164" i="1"/>
  <c r="R794" i="1"/>
  <c r="R1525" i="1"/>
  <c r="R254" i="1"/>
  <c r="R1143" i="1"/>
  <c r="R231" i="1"/>
  <c r="R1221" i="1"/>
  <c r="R20" i="1"/>
  <c r="R1427" i="1"/>
  <c r="R1241" i="1"/>
  <c r="R1114" i="1"/>
  <c r="R706" i="1"/>
  <c r="R1078" i="1"/>
  <c r="R1099" i="1"/>
  <c r="R1929" i="1"/>
  <c r="R375" i="1"/>
  <c r="R1498" i="1"/>
  <c r="R842" i="1"/>
  <c r="R1611" i="1"/>
  <c r="R1155" i="1"/>
  <c r="R723" i="1"/>
  <c r="R121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Sandro Wiggers</author>
  </authors>
  <commentList>
    <comment ref="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Sandro Wiggers:</t>
        </r>
        <r>
          <rPr>
            <sz val="9"/>
            <color indexed="81"/>
            <rFont val="Tahoma"/>
            <family val="2"/>
          </rPr>
          <t xml:space="preserve">
Será baseado no Roteiro de Fabricação
</t>
        </r>
      </text>
    </comment>
  </commentList>
</comments>
</file>

<file path=xl/sharedStrings.xml><?xml version="1.0" encoding="utf-8"?>
<sst xmlns="http://schemas.openxmlformats.org/spreadsheetml/2006/main" count="271" uniqueCount="205">
  <si>
    <t>id</t>
  </si>
  <si>
    <t>id Produto</t>
  </si>
  <si>
    <t>Produto</t>
  </si>
  <si>
    <t>id Cliente</t>
  </si>
  <si>
    <t>Cliente</t>
  </si>
  <si>
    <t>Região</t>
  </si>
  <si>
    <t>Data de Venda</t>
  </si>
  <si>
    <t>Vendedor</t>
  </si>
  <si>
    <t>Unidades Vendidas</t>
  </si>
  <si>
    <t>Preço Unitário</t>
  </si>
  <si>
    <t>Total da Venda</t>
  </si>
  <si>
    <t>Custo do Produto</t>
  </si>
  <si>
    <t>Lucro</t>
  </si>
  <si>
    <t>Preço Venda</t>
  </si>
  <si>
    <t>Ativo</t>
  </si>
  <si>
    <t>Limonada Alfa com Açúcar 500 ml</t>
  </si>
  <si>
    <t>Sim</t>
  </si>
  <si>
    <t>Limonada Beta com Açúcar 500 ml</t>
  </si>
  <si>
    <t>Limonada Alfa Zero 500 ml</t>
  </si>
  <si>
    <t>Limonada Beta Zero 500 ml</t>
  </si>
  <si>
    <t>Limonada Alfa com Açúcar 1 L</t>
  </si>
  <si>
    <t>Limonada Beta com Açúcar 1 L</t>
  </si>
  <si>
    <t>Limonada Alfa Zero 1 L</t>
  </si>
  <si>
    <t>Limonada Beta Zero 1 L</t>
  </si>
  <si>
    <t>Limonada Alfa com Hortelã e Açúcar 1 L</t>
  </si>
  <si>
    <t>Limonada Alfa com Hortelã Zero 1 L</t>
  </si>
  <si>
    <t>ID</t>
  </si>
  <si>
    <t>CEP</t>
  </si>
  <si>
    <t>Endereço</t>
  </si>
  <si>
    <t>Número</t>
  </si>
  <si>
    <t>Cidade</t>
  </si>
  <si>
    <t>Estado</t>
  </si>
  <si>
    <t>País</t>
  </si>
  <si>
    <t>Data do Cadastro</t>
  </si>
  <si>
    <t>DDD</t>
  </si>
  <si>
    <t>Telefone</t>
  </si>
  <si>
    <t>Telefone+DDD</t>
  </si>
  <si>
    <t>E-mail</t>
  </si>
  <si>
    <t>Pessoa de Contato</t>
  </si>
  <si>
    <t>Meu Suco de Limão</t>
  </si>
  <si>
    <t>Brasil</t>
  </si>
  <si>
    <t>meusuco@limao.com.br</t>
  </si>
  <si>
    <t>Francisco Cardoso</t>
  </si>
  <si>
    <t>Limão S/A</t>
  </si>
  <si>
    <t>limao@limaosa.com.br</t>
  </si>
  <si>
    <t>Joaquim Costa</t>
  </si>
  <si>
    <t>Limonada Suíça Ltda</t>
  </si>
  <si>
    <t>suica@limonada.com.br</t>
  </si>
  <si>
    <t>Márcio Mendes</t>
  </si>
  <si>
    <t>Limão Carioca e Cia</t>
  </si>
  <si>
    <t>limao.carioca@limaocarioca.com.br</t>
  </si>
  <si>
    <t>Antônio Pereira</t>
  </si>
  <si>
    <t>Axé com Limão</t>
  </si>
  <si>
    <t>axe.limao@axelimao.com.br</t>
  </si>
  <si>
    <t>Fernando Freitas</t>
  </si>
  <si>
    <t>Lemonade</t>
  </si>
  <si>
    <t>australian.lemonade@australianlemonade.au</t>
  </si>
  <si>
    <t>Fabio Barros</t>
  </si>
  <si>
    <t>Limo</t>
  </si>
  <si>
    <t>chucklead@chuckelad.com</t>
  </si>
  <si>
    <t>Sônia Gomes</t>
  </si>
  <si>
    <t>Refresko</t>
  </si>
  <si>
    <t>compras@refresko.com.br</t>
  </si>
  <si>
    <t>Edson Campos</t>
  </si>
  <si>
    <t>Fresh Lemon</t>
  </si>
  <si>
    <t>fresh@lemon.com.br</t>
  </si>
  <si>
    <t>Rafael Monteiro</t>
  </si>
  <si>
    <t>Lemon Gator</t>
  </si>
  <si>
    <t>gator@gator.com.br</t>
  </si>
  <si>
    <t>Vera Lima</t>
  </si>
  <si>
    <t>Red Lemon</t>
  </si>
  <si>
    <t>redlemon@redlemon.com.br</t>
  </si>
  <si>
    <t>Leandro Campos</t>
  </si>
  <si>
    <t>Limão da Ilha</t>
  </si>
  <si>
    <t>limao.ilha@limaodailha.com.br</t>
  </si>
  <si>
    <t>Rodrigo Barros</t>
  </si>
  <si>
    <t>Monster Lemon</t>
  </si>
  <si>
    <t>lemon@irishlemon.con</t>
  </si>
  <si>
    <t>Benedito Silva</t>
  </si>
  <si>
    <t>Sprite</t>
  </si>
  <si>
    <t>sprite@sprite.com.br</t>
  </si>
  <si>
    <t>Pedro Campos</t>
  </si>
  <si>
    <t>Limão do Mané</t>
  </si>
  <si>
    <t>lemonuk@lemonuk.uk</t>
  </si>
  <si>
    <t>Leandro Castro</t>
  </si>
  <si>
    <t>Norte Suco</t>
  </si>
  <si>
    <t>nortesuco@nortesuco.com.br</t>
  </si>
  <si>
    <t>Rafael Gomes</t>
  </si>
  <si>
    <t>Aracasuco</t>
  </si>
  <si>
    <t>aracasuco@aracasuco.com.br</t>
  </si>
  <si>
    <t>Raimunda Barros</t>
  </si>
  <si>
    <t>Rio Branco Limonada Ltda</t>
  </si>
  <si>
    <t>nylemonade@nylemonade.com</t>
  </si>
  <si>
    <t>Fernando Dias</t>
  </si>
  <si>
    <t>Lima Limão</t>
  </si>
  <si>
    <t>lima.limao@limalimao.com.br</t>
  </si>
  <si>
    <t>Joaquim Cavalcanti</t>
  </si>
  <si>
    <t>Brasil Saúde</t>
  </si>
  <si>
    <t>brasilsaude@brasilsaude.com.br</t>
  </si>
  <si>
    <t>Raimunda Martins</t>
  </si>
  <si>
    <t>Alameda A (Cond A Neves)</t>
  </si>
  <si>
    <t>Manaus</t>
  </si>
  <si>
    <t>AM</t>
  </si>
  <si>
    <t>Norte</t>
  </si>
  <si>
    <t>Alameda A</t>
  </si>
  <si>
    <t>Cuiaba</t>
  </si>
  <si>
    <t>MT</t>
  </si>
  <si>
    <t>Centro-Oeste</t>
  </si>
  <si>
    <t>Rua do Comércio</t>
  </si>
  <si>
    <t>Belem</t>
  </si>
  <si>
    <t>AL</t>
  </si>
  <si>
    <t>Nordeste</t>
  </si>
  <si>
    <t>Avenida Augusto Severo</t>
  </si>
  <si>
    <t>Rio de Janeiro</t>
  </si>
  <si>
    <t>RJ</t>
  </si>
  <si>
    <t>Sudeste</t>
  </si>
  <si>
    <t>10ª Travessa 24 de Junho</t>
  </si>
  <si>
    <t>Salvador</t>
  </si>
  <si>
    <t>BA</t>
  </si>
  <si>
    <t>Avenida Boa Vista</t>
  </si>
  <si>
    <t>Sao Luiz</t>
  </si>
  <si>
    <t>RR</t>
  </si>
  <si>
    <t>Praça Doutor Brasil Caiado</t>
  </si>
  <si>
    <t>Goias</t>
  </si>
  <si>
    <t>GO</t>
  </si>
  <si>
    <t>Rua Tobias da Silva</t>
  </si>
  <si>
    <t>Porto Alegre</t>
  </si>
  <si>
    <t>RS</t>
  </si>
  <si>
    <t>Sul</t>
  </si>
  <si>
    <t>Alameda Ayrton Senna</t>
  </si>
  <si>
    <t>Vitoria</t>
  </si>
  <si>
    <t>ES</t>
  </si>
  <si>
    <t>Rua Severino B. Cabral</t>
  </si>
  <si>
    <t>Boa Vista</t>
  </si>
  <si>
    <t>PB</t>
  </si>
  <si>
    <t>Alameda Augusto Stellfeld - até 844/845</t>
  </si>
  <si>
    <t>Curitiba</t>
  </si>
  <si>
    <t>PR</t>
  </si>
  <si>
    <t>Largo Fagundes</t>
  </si>
  <si>
    <t>Florianopolis</t>
  </si>
  <si>
    <t>SC</t>
  </si>
  <si>
    <t>10ª Travessa João XXIII</t>
  </si>
  <si>
    <t>Natal</t>
  </si>
  <si>
    <t>RN</t>
  </si>
  <si>
    <t>Acampamento A</t>
  </si>
  <si>
    <t>Porto Velho</t>
  </si>
  <si>
    <t>RO</t>
  </si>
  <si>
    <t>Alameda Adolfo Konder</t>
  </si>
  <si>
    <t>Rua Riachuelo</t>
  </si>
  <si>
    <t>Joao Pessoa</t>
  </si>
  <si>
    <t>Aracaju</t>
  </si>
  <si>
    <t>SE</t>
  </si>
  <si>
    <t>Alameda Açaí</t>
  </si>
  <si>
    <t>Rio Branco</t>
  </si>
  <si>
    <t>AC</t>
  </si>
  <si>
    <t>Rua Benjamin Constant</t>
  </si>
  <si>
    <t>Sao Paulo</t>
  </si>
  <si>
    <t>SP</t>
  </si>
  <si>
    <t>Rua Senador Jaguaribe</t>
  </si>
  <si>
    <t>Fortaleza</t>
  </si>
  <si>
    <t>CE</t>
  </si>
  <si>
    <t>id Vendedor</t>
  </si>
  <si>
    <t>Ano</t>
  </si>
  <si>
    <t>Semana</t>
  </si>
  <si>
    <t>Mês</t>
  </si>
  <si>
    <t>Dia</t>
  </si>
  <si>
    <t>Nome</t>
  </si>
  <si>
    <t>Sobrenome</t>
  </si>
  <si>
    <t>Data de Início</t>
  </si>
  <si>
    <t>Nascimento</t>
  </si>
  <si>
    <t>Rodrigues</t>
  </si>
  <si>
    <t>Paulo</t>
  </si>
  <si>
    <t>Adriana</t>
  </si>
  <si>
    <t>José</t>
  </si>
  <si>
    <t>Cardoso</t>
  </si>
  <si>
    <t>Castro</t>
  </si>
  <si>
    <t>Antônia</t>
  </si>
  <si>
    <t>Lima</t>
  </si>
  <si>
    <t>Luis</t>
  </si>
  <si>
    <t>Almeida</t>
  </si>
  <si>
    <t>Rocha</t>
  </si>
  <si>
    <t>Sérgio</t>
  </si>
  <si>
    <t>Souza</t>
  </si>
  <si>
    <t>Moura</t>
  </si>
  <si>
    <t>Alves</t>
  </si>
  <si>
    <t>Benedito</t>
  </si>
  <si>
    <t>Araujo</t>
  </si>
  <si>
    <t>Andre</t>
  </si>
  <si>
    <t>Jose</t>
  </si>
  <si>
    <t>Matrícula</t>
  </si>
  <si>
    <t>Cargo</t>
  </si>
  <si>
    <t>Salário</t>
  </si>
  <si>
    <t>luis.almeida@bancalimonada.com.br</t>
  </si>
  <si>
    <t>antônia.cardoso@bancalimonada.com.br</t>
  </si>
  <si>
    <t>josé.alves@bancalimonada.com.br</t>
  </si>
  <si>
    <t>antônia.moura@bancalimonada.com.br</t>
  </si>
  <si>
    <t>benedito.lima@bancalimonada.com.br</t>
  </si>
  <si>
    <t>sérgio.souza@bancalimonada.com.br</t>
  </si>
  <si>
    <t>adriana.rodrigues@bancalimonada.com.br</t>
  </si>
  <si>
    <t>paulo.araujo@bancalimonada.com.br</t>
  </si>
  <si>
    <t>andre.castro@bancalimonada.com.br</t>
  </si>
  <si>
    <t>luis.rocha@bancalimonada.com.br</t>
  </si>
  <si>
    <t>jose.cardoso@bancalimonada.com.br</t>
  </si>
  <si>
    <t>Mês/Ano</t>
  </si>
  <si>
    <t>Comissão (1% do total)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</si>
</sst>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(* #,##0.00_);_(* \(#,##0.00\);_(* &quot;-&quot;??_);_(@_)"/>
    <numFmt numFmtId="165" formatCode="&quot;R$&quot;#,##0_);[Red]\(&quot;R$&quot;#,##0\)"/>
    <numFmt numFmtId="166" formatCode="_(&quot;R$&quot;* #,##0.00_);_(&quot;R$&quot;* \(#,##0.00\);_(&quot;R$&quot;* &quot;-&quot;??_);_(@_)"/>
    <numFmt numFmtId="167" formatCode="00000\-000"/>
    <numFmt numFmtId="168" formatCode="\(00\)\ 0000\-0000"/>
    <numFmt numFmtId="169" formatCode="_(* #,##0_);_(* \(#,##0\);_(* &quot;-&quot;??_);_(@_)"/>
    <numFmt numFmtId="170" formatCode="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6" fillId="0" borderId="0" applyNumberFormat="0" applyFill="0" applyBorder="0" applyAlignment="0" applyProtection="0">
      <alignment vertical="top"/>
      <protection locked="0"/>
    </xf>
  </cellStyleXfs>
  <cellXfs count="30"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166" fontId="0" fillId="0" borderId="0" xfId="2" applyFont="1"/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167" fontId="0" fillId="0" borderId="0" xfId="0" applyNumberFormat="1" applyAlignment="1">
      <alignment horizontal="center"/>
    </xf>
    <xf numFmtId="14" fontId="0" fillId="0" borderId="0" xfId="1" applyNumberFormat="1" applyFont="1"/>
    <xf numFmtId="1" fontId="0" fillId="0" borderId="0" xfId="1" applyNumberFormat="1" applyFont="1" applyAlignment="1">
      <alignment horizontal="center"/>
    </xf>
    <xf numFmtId="1" fontId="0" fillId="0" borderId="0" xfId="1" applyNumberFormat="1" applyFont="1"/>
    <xf numFmtId="168" fontId="0" fillId="0" borderId="0" xfId="0" applyNumberFormat="1"/>
    <xf numFmtId="0" fontId="6" fillId="0" borderId="0" xfId="3" applyAlignment="1" applyProtection="1"/>
    <xf numFmtId="0" fontId="2" fillId="2" borderId="0" xfId="0" applyFont="1" applyFill="1"/>
    <xf numFmtId="166" fontId="0" fillId="0" borderId="0" xfId="0" applyNumberFormat="1"/>
    <xf numFmtId="14" fontId="0" fillId="0" borderId="0" xfId="0" applyNumberFormat="1"/>
    <xf numFmtId="169" fontId="0" fillId="0" borderId="0" xfId="1" applyNumberFormat="1" applyFont="1"/>
    <xf numFmtId="165" fontId="0" fillId="0" borderId="0" xfId="0" applyNumberFormat="1"/>
    <xf numFmtId="170" fontId="0" fillId="0" borderId="0" xfId="0" applyNumberFormat="1"/>
    <xf numFmtId="170" fontId="2" fillId="2" borderId="0" xfId="0" applyNumberFormat="1" applyFont="1" applyFill="1"/>
    <xf numFmtId="0" fontId="2" fillId="2" borderId="2" xfId="0" applyFont="1" applyFill="1" applyBorder="1" applyAlignment="1">
      <alignment horizontal="center"/>
    </xf>
    <xf numFmtId="0" fontId="2" fillId="2" borderId="2" xfId="0" applyFont="1" applyFill="1" applyBorder="1"/>
    <xf numFmtId="0" fontId="0" fillId="0" borderId="1" xfId="0" applyBorder="1" applyAlignment="1">
      <alignment horizontal="center"/>
    </xf>
    <xf numFmtId="0" fontId="0" fillId="0" borderId="1" xfId="0" applyBorder="1"/>
    <xf numFmtId="167" fontId="0" fillId="0" borderId="1" xfId="0" applyNumberFormat="1" applyBorder="1" applyAlignment="1">
      <alignment horizontal="center"/>
    </xf>
    <xf numFmtId="14" fontId="0" fillId="0" borderId="1" xfId="1" applyNumberFormat="1" applyFont="1" applyBorder="1"/>
    <xf numFmtId="1" fontId="0" fillId="0" borderId="1" xfId="1" applyNumberFormat="1" applyFont="1" applyBorder="1" applyAlignment="1">
      <alignment horizontal="center"/>
    </xf>
    <xf numFmtId="1" fontId="0" fillId="0" borderId="1" xfId="1" applyNumberFormat="1" applyFont="1" applyBorder="1"/>
    <xf numFmtId="168" fontId="0" fillId="0" borderId="1" xfId="0" applyNumberFormat="1" applyBorder="1"/>
    <xf numFmtId="0" fontId="6" fillId="0" borderId="1" xfId="3" applyBorder="1" applyAlignment="1" applyProtection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lima.limao@limalimao.com.br" TargetMode="External"/><Relationship Id="rId13" Type="http://schemas.openxmlformats.org/officeDocument/2006/relationships/hyperlink" Target="mailto:limao@limaosa.com.br" TargetMode="External"/><Relationship Id="rId18" Type="http://schemas.openxmlformats.org/officeDocument/2006/relationships/hyperlink" Target="mailto:sprite@sprite.com.br" TargetMode="External"/><Relationship Id="rId3" Type="http://schemas.openxmlformats.org/officeDocument/2006/relationships/hyperlink" Target="mailto:compras@refresko.com.br" TargetMode="External"/><Relationship Id="rId7" Type="http://schemas.openxmlformats.org/officeDocument/2006/relationships/hyperlink" Target="mailto:nylemonade@nylemonade.com" TargetMode="External"/><Relationship Id="rId12" Type="http://schemas.openxmlformats.org/officeDocument/2006/relationships/hyperlink" Target="mailto:meusuco@limao.com.br" TargetMode="External"/><Relationship Id="rId17" Type="http://schemas.openxmlformats.org/officeDocument/2006/relationships/hyperlink" Target="mailto:redlemon@redlemon.com.br" TargetMode="External"/><Relationship Id="rId2" Type="http://schemas.openxmlformats.org/officeDocument/2006/relationships/hyperlink" Target="mailto:axe.limao@axelimao.com.br" TargetMode="External"/><Relationship Id="rId16" Type="http://schemas.openxmlformats.org/officeDocument/2006/relationships/hyperlink" Target="mailto:gator@gator.com.br" TargetMode="External"/><Relationship Id="rId20" Type="http://schemas.openxmlformats.org/officeDocument/2006/relationships/hyperlink" Target="mailto:aracasuco@aracasuco.com.br" TargetMode="External"/><Relationship Id="rId1" Type="http://schemas.openxmlformats.org/officeDocument/2006/relationships/hyperlink" Target="mailto:limao.carioca@limaocarioca.com.br" TargetMode="External"/><Relationship Id="rId6" Type="http://schemas.openxmlformats.org/officeDocument/2006/relationships/hyperlink" Target="mailto:lemonuk@lemonuk.uk" TargetMode="External"/><Relationship Id="rId11" Type="http://schemas.openxmlformats.org/officeDocument/2006/relationships/hyperlink" Target="mailto:australian.lemonade@australianlemonade.au" TargetMode="External"/><Relationship Id="rId5" Type="http://schemas.openxmlformats.org/officeDocument/2006/relationships/hyperlink" Target="mailto:lemon@irishlemon.con" TargetMode="External"/><Relationship Id="rId15" Type="http://schemas.openxmlformats.org/officeDocument/2006/relationships/hyperlink" Target="mailto:fresh@lemon.com.br" TargetMode="External"/><Relationship Id="rId10" Type="http://schemas.openxmlformats.org/officeDocument/2006/relationships/hyperlink" Target="mailto:chucklead@chuckelad.com" TargetMode="External"/><Relationship Id="rId19" Type="http://schemas.openxmlformats.org/officeDocument/2006/relationships/hyperlink" Target="mailto:nortesuco@nortesuco.com.br" TargetMode="External"/><Relationship Id="rId4" Type="http://schemas.openxmlformats.org/officeDocument/2006/relationships/hyperlink" Target="mailto:limao.ilha@limaodailha.com.br" TargetMode="External"/><Relationship Id="rId9" Type="http://schemas.openxmlformats.org/officeDocument/2006/relationships/hyperlink" Target="mailto:brasilsaude@brasilsaude.com.br" TargetMode="External"/><Relationship Id="rId14" Type="http://schemas.openxmlformats.org/officeDocument/2006/relationships/hyperlink" Target="mailto:suica@limonada.com.br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2001"/>
  <sheetViews>
    <sheetView tabSelected="1" topLeftCell="D1" workbookViewId="0">
      <selection activeCell="O11" sqref="O11"/>
    </sheetView>
  </sheetViews>
  <sheetFormatPr defaultRowHeight="15" x14ac:dyDescent="0.25"/>
  <cols>
    <col min="1" max="1" width="5" bestFit="1" customWidth="1"/>
    <col min="2" max="2" width="12.5703125" bestFit="1" customWidth="1"/>
    <col min="3" max="3" width="32.5703125" bestFit="1" customWidth="1"/>
    <col min="4" max="4" width="11.7109375" customWidth="1"/>
    <col min="5" max="5" width="18.28515625" bestFit="1" customWidth="1"/>
    <col min="6" max="6" width="9.140625" customWidth="1"/>
    <col min="7" max="7" width="16" customWidth="1"/>
    <col min="8" max="10" width="8.140625" customWidth="1"/>
    <col min="11" max="11" width="6.85546875" bestFit="1" customWidth="1"/>
    <col min="12" max="12" width="11.5703125" style="18" bestFit="1" customWidth="1"/>
    <col min="13" max="13" width="12" customWidth="1"/>
    <col min="14" max="14" width="17.42578125" bestFit="1" customWidth="1"/>
    <col min="15" max="15" width="20.42578125" bestFit="1" customWidth="1"/>
    <col min="16" max="16" width="16.140625" bestFit="1" customWidth="1"/>
    <col min="17" max="17" width="16.28515625" customWidth="1"/>
    <col min="18" max="18" width="16.5703125" bestFit="1" customWidth="1"/>
  </cols>
  <sheetData>
    <row r="1" spans="1:21" x14ac:dyDescent="0.25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163</v>
      </c>
      <c r="I1" s="13" t="s">
        <v>165</v>
      </c>
      <c r="J1" s="13" t="s">
        <v>164</v>
      </c>
      <c r="K1" s="13" t="s">
        <v>162</v>
      </c>
      <c r="L1" s="19" t="s">
        <v>203</v>
      </c>
      <c r="M1" s="13" t="s">
        <v>161</v>
      </c>
      <c r="N1" s="13" t="s">
        <v>7</v>
      </c>
      <c r="O1" s="13" t="s">
        <v>204</v>
      </c>
      <c r="P1" s="13" t="s">
        <v>8</v>
      </c>
      <c r="Q1" s="13" t="s">
        <v>9</v>
      </c>
      <c r="R1" s="13" t="s">
        <v>10</v>
      </c>
      <c r="U1" s="4"/>
    </row>
    <row r="2" spans="1:21" x14ac:dyDescent="0.25">
      <c r="A2">
        <v>1</v>
      </c>
      <c r="B2">
        <v>10</v>
      </c>
      <c r="C2" t="str">
        <f>VLOOKUP(B2,'Cadastro Produtos'!A:E,2,2)</f>
        <v>Limonada Alfa com Hortelã Zero 1 L</v>
      </c>
      <c r="D2">
        <v>14</v>
      </c>
      <c r="E2" t="str">
        <f>VLOOKUP(D2,'Cadatro Clientes'!A:O,2,2)</f>
        <v>Sprite</v>
      </c>
      <c r="F2" t="str">
        <f>VLOOKUP(D2,'Cadatro Clientes'!A:O,9,2)</f>
        <v>Norte</v>
      </c>
      <c r="G2" s="15">
        <v>41640</v>
      </c>
      <c r="H2">
        <f>WEEKDAY(G2)</f>
        <v>4</v>
      </c>
      <c r="I2">
        <f>DAY(G2)</f>
        <v>1</v>
      </c>
      <c r="J2">
        <f>MONTH(G2)</f>
        <v>1</v>
      </c>
      <c r="K2">
        <f>YEAR(G2)</f>
        <v>2014</v>
      </c>
      <c r="L2" s="18">
        <f>MONTH(G2)/YEAR(G2)</f>
        <v>4.965243296921549E-4</v>
      </c>
      <c r="M2">
        <v>2</v>
      </c>
      <c r="N2" t="str">
        <f>VLOOKUP(M2,'Cadastro Vendedores'!A:H,2,2)</f>
        <v>Luis</v>
      </c>
      <c r="O2" s="2"/>
      <c r="P2" s="16">
        <v>2400</v>
      </c>
      <c r="Q2" s="2">
        <f>VLOOKUP(B2,'Cadastro Produtos'!A:F,5,2)</f>
        <v>21</v>
      </c>
      <c r="R2" s="14">
        <f t="shared" ref="R2:R65" si="0">Q2*P2</f>
        <v>50400</v>
      </c>
      <c r="U2" s="4"/>
    </row>
    <row r="3" spans="1:21" x14ac:dyDescent="0.25">
      <c r="A3">
        <v>2</v>
      </c>
      <c r="B3">
        <v>1</v>
      </c>
      <c r="C3" t="str">
        <f>VLOOKUP(B3,'Cadastro Produtos'!A:E,2,2)</f>
        <v>Limonada Alfa com Açúcar 500 ml</v>
      </c>
      <c r="D3">
        <v>20</v>
      </c>
      <c r="E3" t="str">
        <f>VLOOKUP(D3,'Cadatro Clientes'!A:O,2,2)</f>
        <v>Brasil Saúde</v>
      </c>
      <c r="F3" t="str">
        <f>VLOOKUP(D3,'Cadatro Clientes'!A:O,9,2)</f>
        <v>Nordeste</v>
      </c>
      <c r="G3" s="15">
        <v>41640</v>
      </c>
      <c r="H3">
        <f t="shared" ref="H3:H66" si="1">WEEKDAY(G3)</f>
        <v>4</v>
      </c>
      <c r="I3">
        <f t="shared" ref="I3:I66" si="2">DAY(G3)</f>
        <v>1</v>
      </c>
      <c r="J3">
        <f t="shared" ref="J3:J66" si="3">MONTH(G3)</f>
        <v>1</v>
      </c>
      <c r="K3">
        <f t="shared" ref="K3:K66" si="4">YEAR(G3)</f>
        <v>2014</v>
      </c>
      <c r="M3">
        <v>9</v>
      </c>
      <c r="N3" t="str">
        <f>VLOOKUP(M3,'Cadastro Vendedores'!A:H,2,2)</f>
        <v>Adriana</v>
      </c>
      <c r="O3" s="2"/>
      <c r="P3" s="16">
        <v>7800</v>
      </c>
      <c r="Q3" s="2">
        <f>VLOOKUP(B3,'Cadastro Produtos'!A:F,5,2)</f>
        <v>8.5</v>
      </c>
      <c r="R3" s="14">
        <f t="shared" si="0"/>
        <v>66300</v>
      </c>
      <c r="U3" s="4"/>
    </row>
    <row r="4" spans="1:21" x14ac:dyDescent="0.25">
      <c r="A4">
        <v>3</v>
      </c>
      <c r="B4">
        <v>10</v>
      </c>
      <c r="C4" t="str">
        <f>VLOOKUP(B4,'Cadastro Produtos'!A:E,2,2)</f>
        <v>Limonada Alfa com Hortelã Zero 1 L</v>
      </c>
      <c r="D4">
        <v>6</v>
      </c>
      <c r="E4" t="str">
        <f>VLOOKUP(D4,'Cadatro Clientes'!A:O,2,2)</f>
        <v>Lemonade</v>
      </c>
      <c r="F4" t="str">
        <f>VLOOKUP(D4,'Cadatro Clientes'!A:O,9,2)</f>
        <v>Norte</v>
      </c>
      <c r="G4" s="15">
        <v>41640</v>
      </c>
      <c r="H4">
        <f t="shared" si="1"/>
        <v>4</v>
      </c>
      <c r="I4">
        <f t="shared" si="2"/>
        <v>1</v>
      </c>
      <c r="J4">
        <f t="shared" si="3"/>
        <v>1</v>
      </c>
      <c r="K4">
        <f t="shared" si="4"/>
        <v>2014</v>
      </c>
      <c r="M4">
        <v>2</v>
      </c>
      <c r="N4" t="str">
        <f>VLOOKUP(M4,'Cadastro Vendedores'!A:H,2,2)</f>
        <v>Luis</v>
      </c>
      <c r="O4" s="2"/>
      <c r="P4" s="16">
        <v>1800</v>
      </c>
      <c r="Q4" s="2">
        <f>VLOOKUP(B4,'Cadastro Produtos'!A:F,5,2)</f>
        <v>21</v>
      </c>
      <c r="R4" s="14">
        <f t="shared" si="0"/>
        <v>37800</v>
      </c>
      <c r="U4" s="4"/>
    </row>
    <row r="5" spans="1:21" x14ac:dyDescent="0.25">
      <c r="A5">
        <v>4</v>
      </c>
      <c r="B5">
        <v>3</v>
      </c>
      <c r="C5" t="str">
        <f>VLOOKUP(B5,'Cadastro Produtos'!A:E,2,2)</f>
        <v>Limonada Alfa Zero 500 ml</v>
      </c>
      <c r="D5">
        <v>9</v>
      </c>
      <c r="E5" t="str">
        <f>VLOOKUP(D5,'Cadatro Clientes'!A:O,2,2)</f>
        <v>Fresh Lemon</v>
      </c>
      <c r="F5" t="str">
        <f>VLOOKUP(D5,'Cadatro Clientes'!A:O,9,2)</f>
        <v>Sudeste</v>
      </c>
      <c r="G5" s="15">
        <v>41640</v>
      </c>
      <c r="H5">
        <f t="shared" si="1"/>
        <v>4</v>
      </c>
      <c r="I5">
        <f t="shared" si="2"/>
        <v>1</v>
      </c>
      <c r="J5">
        <f t="shared" si="3"/>
        <v>1</v>
      </c>
      <c r="K5">
        <f t="shared" si="4"/>
        <v>2014</v>
      </c>
      <c r="M5">
        <v>9</v>
      </c>
      <c r="N5" t="str">
        <f>VLOOKUP(M5,'Cadastro Vendedores'!A:H,2,2)</f>
        <v>Adriana</v>
      </c>
      <c r="O5" s="2"/>
      <c r="P5" s="16">
        <v>2500</v>
      </c>
      <c r="Q5" s="2">
        <f>VLOOKUP(B5,'Cadastro Produtos'!A:F,5,2)</f>
        <v>9</v>
      </c>
      <c r="R5" s="14">
        <f t="shared" si="0"/>
        <v>22500</v>
      </c>
      <c r="U5" s="4"/>
    </row>
    <row r="6" spans="1:21" x14ac:dyDescent="0.25">
      <c r="A6">
        <v>5</v>
      </c>
      <c r="B6">
        <v>3</v>
      </c>
      <c r="C6" t="str">
        <f>VLOOKUP(B6,'Cadastro Produtos'!A:E,2,2)</f>
        <v>Limonada Alfa Zero 500 ml</v>
      </c>
      <c r="D6">
        <v>20</v>
      </c>
      <c r="E6" t="str">
        <f>VLOOKUP(D6,'Cadatro Clientes'!A:O,2,2)</f>
        <v>Brasil Saúde</v>
      </c>
      <c r="F6" t="str">
        <f>VLOOKUP(D6,'Cadatro Clientes'!A:O,9,2)</f>
        <v>Nordeste</v>
      </c>
      <c r="G6" s="15">
        <v>41640</v>
      </c>
      <c r="H6">
        <f t="shared" si="1"/>
        <v>4</v>
      </c>
      <c r="I6">
        <f t="shared" si="2"/>
        <v>1</v>
      </c>
      <c r="J6">
        <f t="shared" si="3"/>
        <v>1</v>
      </c>
      <c r="K6">
        <f t="shared" si="4"/>
        <v>2014</v>
      </c>
      <c r="M6">
        <v>8</v>
      </c>
      <c r="N6" t="str">
        <f>VLOOKUP(M6,'Cadastro Vendedores'!A:H,2,2)</f>
        <v>Sérgio</v>
      </c>
      <c r="O6" s="2"/>
      <c r="P6" s="16">
        <v>3300</v>
      </c>
      <c r="Q6" s="2">
        <f>VLOOKUP(B6,'Cadastro Produtos'!A:F,5,2)</f>
        <v>9</v>
      </c>
      <c r="R6" s="14">
        <f t="shared" si="0"/>
        <v>29700</v>
      </c>
      <c r="U6" s="4"/>
    </row>
    <row r="7" spans="1:21" x14ac:dyDescent="0.25">
      <c r="A7">
        <v>6</v>
      </c>
      <c r="B7">
        <v>5</v>
      </c>
      <c r="C7" t="str">
        <f>VLOOKUP(B7,'Cadastro Produtos'!A:E,2,2)</f>
        <v>Limonada Alfa com Açúcar 1 L</v>
      </c>
      <c r="D7">
        <v>11</v>
      </c>
      <c r="E7" t="str">
        <f>VLOOKUP(D7,'Cadatro Clientes'!A:O,2,2)</f>
        <v>Red Lemon</v>
      </c>
      <c r="F7" t="str">
        <f>VLOOKUP(D7,'Cadatro Clientes'!A:O,9,2)</f>
        <v>Sul</v>
      </c>
      <c r="G7" s="15">
        <v>41640</v>
      </c>
      <c r="H7">
        <f t="shared" si="1"/>
        <v>4</v>
      </c>
      <c r="I7">
        <f t="shared" si="2"/>
        <v>1</v>
      </c>
      <c r="J7">
        <f t="shared" si="3"/>
        <v>1</v>
      </c>
      <c r="K7">
        <f t="shared" si="4"/>
        <v>2014</v>
      </c>
      <c r="M7">
        <v>7</v>
      </c>
      <c r="N7" t="str">
        <f>VLOOKUP(M7,'Cadastro Vendedores'!A:H,2,2)</f>
        <v>Benedito</v>
      </c>
      <c r="O7" s="2"/>
      <c r="P7" s="16">
        <v>2800</v>
      </c>
      <c r="Q7" s="2">
        <f>VLOOKUP(B7,'Cadastro Produtos'!A:F,5,2)</f>
        <v>15</v>
      </c>
      <c r="R7" s="14">
        <f t="shared" si="0"/>
        <v>42000</v>
      </c>
      <c r="U7" s="4"/>
    </row>
    <row r="8" spans="1:21" x14ac:dyDescent="0.25">
      <c r="A8">
        <v>7</v>
      </c>
      <c r="B8">
        <v>5</v>
      </c>
      <c r="C8" t="str">
        <f>VLOOKUP(B8,'Cadastro Produtos'!A:E,2,2)</f>
        <v>Limonada Alfa com Açúcar 1 L</v>
      </c>
      <c r="D8">
        <v>7</v>
      </c>
      <c r="E8" t="str">
        <f>VLOOKUP(D8,'Cadatro Clientes'!A:O,2,2)</f>
        <v>Limo</v>
      </c>
      <c r="F8" t="str">
        <f>VLOOKUP(D8,'Cadatro Clientes'!A:O,9,2)</f>
        <v>Centro-Oeste</v>
      </c>
      <c r="G8" s="15">
        <v>41641</v>
      </c>
      <c r="H8">
        <f t="shared" si="1"/>
        <v>5</v>
      </c>
      <c r="I8">
        <f t="shared" si="2"/>
        <v>2</v>
      </c>
      <c r="J8">
        <f t="shared" si="3"/>
        <v>1</v>
      </c>
      <c r="K8">
        <f t="shared" si="4"/>
        <v>2014</v>
      </c>
      <c r="M8">
        <v>2</v>
      </c>
      <c r="N8" t="str">
        <f>VLOOKUP(M8,'Cadastro Vendedores'!A:H,2,2)</f>
        <v>Luis</v>
      </c>
      <c r="O8" s="2"/>
      <c r="P8" s="16">
        <v>2200</v>
      </c>
      <c r="Q8" s="2">
        <f>VLOOKUP(B8,'Cadastro Produtos'!A:F,5,2)</f>
        <v>15</v>
      </c>
      <c r="R8" s="14">
        <f t="shared" si="0"/>
        <v>33000</v>
      </c>
      <c r="U8" s="4"/>
    </row>
    <row r="9" spans="1:21" x14ac:dyDescent="0.25">
      <c r="A9">
        <v>8</v>
      </c>
      <c r="B9">
        <v>5</v>
      </c>
      <c r="C9" t="str">
        <f>VLOOKUP(B9,'Cadastro Produtos'!A:E,2,2)</f>
        <v>Limonada Alfa com Açúcar 1 L</v>
      </c>
      <c r="D9">
        <v>1</v>
      </c>
      <c r="E9" t="str">
        <f>VLOOKUP(D9,'Cadatro Clientes'!A:O,2,2)</f>
        <v>Meu Suco de Limão</v>
      </c>
      <c r="F9" t="str">
        <f>VLOOKUP(D9,'Cadatro Clientes'!A:O,9,2)</f>
        <v>Norte</v>
      </c>
      <c r="G9" s="15">
        <v>41642</v>
      </c>
      <c r="H9">
        <f t="shared" si="1"/>
        <v>6</v>
      </c>
      <c r="I9">
        <f t="shared" si="2"/>
        <v>3</v>
      </c>
      <c r="J9">
        <f t="shared" si="3"/>
        <v>1</v>
      </c>
      <c r="K9">
        <f t="shared" si="4"/>
        <v>2014</v>
      </c>
      <c r="M9">
        <v>2</v>
      </c>
      <c r="N9" t="str">
        <f>VLOOKUP(M9,'Cadastro Vendedores'!A:H,2,2)</f>
        <v>Luis</v>
      </c>
      <c r="O9" s="2"/>
      <c r="P9" s="16">
        <v>1900</v>
      </c>
      <c r="Q9" s="2">
        <f>VLOOKUP(B9,'Cadastro Produtos'!A:F,5,2)</f>
        <v>15</v>
      </c>
      <c r="R9" s="14">
        <f t="shared" si="0"/>
        <v>28500</v>
      </c>
      <c r="U9" s="4"/>
    </row>
    <row r="10" spans="1:21" x14ac:dyDescent="0.25">
      <c r="A10">
        <v>9</v>
      </c>
      <c r="B10">
        <v>2</v>
      </c>
      <c r="C10" t="str">
        <f>VLOOKUP(B10,'Cadastro Produtos'!A:E,2,2)</f>
        <v>Limonada Beta com Açúcar 500 ml</v>
      </c>
      <c r="D10">
        <v>6</v>
      </c>
      <c r="E10" t="str">
        <f>VLOOKUP(D10,'Cadatro Clientes'!A:O,2,2)</f>
        <v>Lemonade</v>
      </c>
      <c r="F10" t="str">
        <f>VLOOKUP(D10,'Cadatro Clientes'!A:O,9,2)</f>
        <v>Norte</v>
      </c>
      <c r="G10" s="15">
        <v>41643</v>
      </c>
      <c r="H10">
        <f t="shared" si="1"/>
        <v>7</v>
      </c>
      <c r="I10">
        <f t="shared" si="2"/>
        <v>4</v>
      </c>
      <c r="J10">
        <f t="shared" si="3"/>
        <v>1</v>
      </c>
      <c r="K10">
        <f t="shared" si="4"/>
        <v>2014</v>
      </c>
      <c r="M10">
        <v>2</v>
      </c>
      <c r="N10" t="str">
        <f>VLOOKUP(M10,'Cadastro Vendedores'!A:H,2,2)</f>
        <v>Luis</v>
      </c>
      <c r="O10" s="2"/>
      <c r="P10" s="16">
        <v>4200</v>
      </c>
      <c r="Q10" s="2">
        <f>VLOOKUP(B10,'Cadastro Produtos'!A:F,5,2)</f>
        <v>6.5</v>
      </c>
      <c r="R10" s="14">
        <f t="shared" si="0"/>
        <v>27300</v>
      </c>
      <c r="U10" s="4"/>
    </row>
    <row r="11" spans="1:21" x14ac:dyDescent="0.25">
      <c r="A11">
        <v>10</v>
      </c>
      <c r="B11">
        <v>3</v>
      </c>
      <c r="C11" t="str">
        <f>VLOOKUP(B11,'Cadastro Produtos'!A:E,2,2)</f>
        <v>Limonada Alfa Zero 500 ml</v>
      </c>
      <c r="D11">
        <v>17</v>
      </c>
      <c r="E11" t="str">
        <f>VLOOKUP(D11,'Cadatro Clientes'!A:O,2,2)</f>
        <v>Aracasuco</v>
      </c>
      <c r="F11" t="str">
        <f>VLOOKUP(D11,'Cadatro Clientes'!A:O,9,2)</f>
        <v>Nordeste</v>
      </c>
      <c r="G11" s="15">
        <v>41643</v>
      </c>
      <c r="H11">
        <f t="shared" si="1"/>
        <v>7</v>
      </c>
      <c r="I11">
        <f t="shared" si="2"/>
        <v>4</v>
      </c>
      <c r="J11">
        <f t="shared" si="3"/>
        <v>1</v>
      </c>
      <c r="K11">
        <f t="shared" si="4"/>
        <v>2014</v>
      </c>
      <c r="M11">
        <v>9</v>
      </c>
      <c r="N11" t="str">
        <f>VLOOKUP(M11,'Cadastro Vendedores'!A:H,2,2)</f>
        <v>Adriana</v>
      </c>
      <c r="O11" s="2"/>
      <c r="P11" s="16">
        <v>5900</v>
      </c>
      <c r="Q11" s="2">
        <f>VLOOKUP(B11,'Cadastro Produtos'!A:F,5,2)</f>
        <v>9</v>
      </c>
      <c r="R11" s="14">
        <f t="shared" si="0"/>
        <v>53100</v>
      </c>
      <c r="U11" s="4"/>
    </row>
    <row r="12" spans="1:21" x14ac:dyDescent="0.25">
      <c r="A12">
        <v>11</v>
      </c>
      <c r="B12">
        <v>1</v>
      </c>
      <c r="C12" t="str">
        <f>VLOOKUP(B12,'Cadastro Produtos'!A:E,2,2)</f>
        <v>Limonada Alfa com Açúcar 500 ml</v>
      </c>
      <c r="D12">
        <v>5</v>
      </c>
      <c r="E12" t="str">
        <f>VLOOKUP(D12,'Cadatro Clientes'!A:O,2,2)</f>
        <v>Axé com Limão</v>
      </c>
      <c r="F12" t="str">
        <f>VLOOKUP(D12,'Cadatro Clientes'!A:O,9,2)</f>
        <v>Nordeste</v>
      </c>
      <c r="G12" s="15">
        <v>41643</v>
      </c>
      <c r="H12">
        <f t="shared" si="1"/>
        <v>7</v>
      </c>
      <c r="I12">
        <f t="shared" si="2"/>
        <v>4</v>
      </c>
      <c r="J12">
        <f t="shared" si="3"/>
        <v>1</v>
      </c>
      <c r="K12">
        <f t="shared" si="4"/>
        <v>2014</v>
      </c>
      <c r="M12">
        <v>9</v>
      </c>
      <c r="N12" t="str">
        <f>VLOOKUP(M12,'Cadastro Vendedores'!A:H,2,2)</f>
        <v>Adriana</v>
      </c>
      <c r="O12" s="2"/>
      <c r="P12" s="16">
        <v>3700</v>
      </c>
      <c r="Q12" s="2">
        <f>VLOOKUP(B12,'Cadastro Produtos'!A:F,5,2)</f>
        <v>8.5</v>
      </c>
      <c r="R12" s="14">
        <f t="shared" si="0"/>
        <v>31450</v>
      </c>
    </row>
    <row r="13" spans="1:21" x14ac:dyDescent="0.25">
      <c r="A13">
        <v>12</v>
      </c>
      <c r="B13">
        <v>9</v>
      </c>
      <c r="C13" t="str">
        <f>VLOOKUP(B13,'Cadastro Produtos'!A:E,2,2)</f>
        <v>Limonada Alfa com Hortelã e Açúcar 1 L</v>
      </c>
      <c r="D13">
        <v>6</v>
      </c>
      <c r="E13" t="str">
        <f>VLOOKUP(D13,'Cadatro Clientes'!A:O,2,2)</f>
        <v>Lemonade</v>
      </c>
      <c r="F13" t="str">
        <f>VLOOKUP(D13,'Cadatro Clientes'!A:O,9,2)</f>
        <v>Norte</v>
      </c>
      <c r="G13" s="15">
        <v>41644</v>
      </c>
      <c r="H13">
        <f t="shared" si="1"/>
        <v>1</v>
      </c>
      <c r="I13">
        <f t="shared" si="2"/>
        <v>5</v>
      </c>
      <c r="J13">
        <f t="shared" si="3"/>
        <v>1</v>
      </c>
      <c r="K13">
        <f t="shared" si="4"/>
        <v>2014</v>
      </c>
      <c r="M13">
        <v>2</v>
      </c>
      <c r="N13" t="str">
        <f>VLOOKUP(M13,'Cadastro Vendedores'!A:H,2,2)</f>
        <v>Luis</v>
      </c>
      <c r="O13" s="2"/>
      <c r="P13" s="16">
        <v>1400</v>
      </c>
      <c r="Q13" s="2">
        <f>VLOOKUP(B13,'Cadastro Produtos'!A:F,5,2)</f>
        <v>17.5</v>
      </c>
      <c r="R13" s="14">
        <f t="shared" si="0"/>
        <v>24500</v>
      </c>
    </row>
    <row r="14" spans="1:21" x14ac:dyDescent="0.25">
      <c r="A14">
        <v>13</v>
      </c>
      <c r="B14">
        <v>9</v>
      </c>
      <c r="C14" t="str">
        <f>VLOOKUP(B14,'Cadastro Produtos'!A:E,2,2)</f>
        <v>Limonada Alfa com Hortelã e Açúcar 1 L</v>
      </c>
      <c r="D14">
        <v>13</v>
      </c>
      <c r="E14" t="str">
        <f>VLOOKUP(D14,'Cadatro Clientes'!A:O,2,2)</f>
        <v>Monster Lemon</v>
      </c>
      <c r="F14" t="str">
        <f>VLOOKUP(D14,'Cadatro Clientes'!A:O,9,2)</f>
        <v>Nordeste</v>
      </c>
      <c r="G14" s="15">
        <v>41644</v>
      </c>
      <c r="H14">
        <f t="shared" si="1"/>
        <v>1</v>
      </c>
      <c r="I14">
        <f t="shared" si="2"/>
        <v>5</v>
      </c>
      <c r="J14">
        <f t="shared" si="3"/>
        <v>1</v>
      </c>
      <c r="K14">
        <f t="shared" si="4"/>
        <v>2014</v>
      </c>
      <c r="M14">
        <v>4</v>
      </c>
      <c r="N14" t="str">
        <f>VLOOKUP(M14,'Cadastro Vendedores'!A:H,2,2)</f>
        <v>José</v>
      </c>
      <c r="O14" s="2"/>
      <c r="P14" s="16">
        <v>2800</v>
      </c>
      <c r="Q14" s="2">
        <f>VLOOKUP(B14,'Cadastro Produtos'!A:F,5,2)</f>
        <v>17.5</v>
      </c>
      <c r="R14" s="14">
        <f t="shared" si="0"/>
        <v>49000</v>
      </c>
    </row>
    <row r="15" spans="1:21" x14ac:dyDescent="0.25">
      <c r="A15">
        <v>14</v>
      </c>
      <c r="B15">
        <v>5</v>
      </c>
      <c r="C15" t="str">
        <f>VLOOKUP(B15,'Cadastro Produtos'!A:E,2,2)</f>
        <v>Limonada Alfa com Açúcar 1 L</v>
      </c>
      <c r="D15">
        <v>2</v>
      </c>
      <c r="E15" t="str">
        <f>VLOOKUP(D15,'Cadatro Clientes'!A:O,2,2)</f>
        <v>Limão S/A</v>
      </c>
      <c r="F15" t="str">
        <f>VLOOKUP(D15,'Cadatro Clientes'!A:O,9,2)</f>
        <v>Centro-Oeste</v>
      </c>
      <c r="G15" s="15">
        <v>41644</v>
      </c>
      <c r="H15">
        <f t="shared" si="1"/>
        <v>1</v>
      </c>
      <c r="I15">
        <f t="shared" si="2"/>
        <v>5</v>
      </c>
      <c r="J15">
        <f t="shared" si="3"/>
        <v>1</v>
      </c>
      <c r="K15">
        <f t="shared" si="4"/>
        <v>2014</v>
      </c>
      <c r="M15">
        <v>2</v>
      </c>
      <c r="N15" t="str">
        <f>VLOOKUP(M15,'Cadastro Vendedores'!A:H,2,2)</f>
        <v>Luis</v>
      </c>
      <c r="O15" s="2"/>
      <c r="P15" s="16">
        <v>1400</v>
      </c>
      <c r="Q15" s="2">
        <f>VLOOKUP(B15,'Cadastro Produtos'!A:F,5,2)</f>
        <v>15</v>
      </c>
      <c r="R15" s="14">
        <f t="shared" si="0"/>
        <v>21000</v>
      </c>
    </row>
    <row r="16" spans="1:21" x14ac:dyDescent="0.25">
      <c r="A16">
        <v>15</v>
      </c>
      <c r="B16">
        <v>7</v>
      </c>
      <c r="C16" t="str">
        <f>VLOOKUP(B16,'Cadastro Produtos'!A:E,2,2)</f>
        <v>Limonada Alfa Zero 1 L</v>
      </c>
      <c r="D16">
        <v>2</v>
      </c>
      <c r="E16" t="str">
        <f>VLOOKUP(D16,'Cadatro Clientes'!A:O,2,2)</f>
        <v>Limão S/A</v>
      </c>
      <c r="F16" t="str">
        <f>VLOOKUP(D16,'Cadatro Clientes'!A:O,9,2)</f>
        <v>Centro-Oeste</v>
      </c>
      <c r="G16" s="15">
        <v>41644</v>
      </c>
      <c r="H16">
        <f t="shared" si="1"/>
        <v>1</v>
      </c>
      <c r="I16">
        <f t="shared" si="2"/>
        <v>5</v>
      </c>
      <c r="J16">
        <f t="shared" si="3"/>
        <v>1</v>
      </c>
      <c r="K16">
        <f t="shared" si="4"/>
        <v>2014</v>
      </c>
      <c r="M16">
        <v>2</v>
      </c>
      <c r="N16" t="str">
        <f>VLOOKUP(M16,'Cadastro Vendedores'!A:H,2,2)</f>
        <v>Luis</v>
      </c>
      <c r="O16" s="2"/>
      <c r="P16" s="16">
        <v>1800</v>
      </c>
      <c r="Q16" s="2">
        <f>VLOOKUP(B16,'Cadastro Produtos'!A:F,5,2)</f>
        <v>15</v>
      </c>
      <c r="R16" s="14">
        <f t="shared" si="0"/>
        <v>27000</v>
      </c>
    </row>
    <row r="17" spans="1:18" x14ac:dyDescent="0.25">
      <c r="A17">
        <v>16</v>
      </c>
      <c r="B17">
        <v>7</v>
      </c>
      <c r="C17" t="str">
        <f>VLOOKUP(B17,'Cadastro Produtos'!A:E,2,2)</f>
        <v>Limonada Alfa Zero 1 L</v>
      </c>
      <c r="D17">
        <v>19</v>
      </c>
      <c r="E17" t="str">
        <f>VLOOKUP(D17,'Cadatro Clientes'!A:O,2,2)</f>
        <v>Lima Limão</v>
      </c>
      <c r="F17" t="str">
        <f>VLOOKUP(D17,'Cadatro Clientes'!A:O,9,2)</f>
        <v>Sudeste</v>
      </c>
      <c r="G17" s="15">
        <v>41644</v>
      </c>
      <c r="H17">
        <f t="shared" si="1"/>
        <v>1</v>
      </c>
      <c r="I17">
        <f t="shared" si="2"/>
        <v>5</v>
      </c>
      <c r="J17">
        <f t="shared" si="3"/>
        <v>1</v>
      </c>
      <c r="K17">
        <f t="shared" si="4"/>
        <v>2014</v>
      </c>
      <c r="M17">
        <v>6</v>
      </c>
      <c r="N17" t="str">
        <f>VLOOKUP(M17,'Cadastro Vendedores'!A:H,2,2)</f>
        <v>Antônia</v>
      </c>
      <c r="O17" s="2"/>
      <c r="P17" s="16">
        <v>1700</v>
      </c>
      <c r="Q17" s="2">
        <f>VLOOKUP(B17,'Cadastro Produtos'!A:F,5,2)</f>
        <v>15</v>
      </c>
      <c r="R17" s="14">
        <f t="shared" si="0"/>
        <v>25500</v>
      </c>
    </row>
    <row r="18" spans="1:18" x14ac:dyDescent="0.25">
      <c r="A18">
        <v>17</v>
      </c>
      <c r="B18">
        <v>1</v>
      </c>
      <c r="C18" t="str">
        <f>VLOOKUP(B18,'Cadastro Produtos'!A:E,2,2)</f>
        <v>Limonada Alfa com Açúcar 500 ml</v>
      </c>
      <c r="D18">
        <v>7</v>
      </c>
      <c r="E18" t="str">
        <f>VLOOKUP(D18,'Cadatro Clientes'!A:O,2,2)</f>
        <v>Limo</v>
      </c>
      <c r="F18" t="str">
        <f>VLOOKUP(D18,'Cadatro Clientes'!A:O,9,2)</f>
        <v>Centro-Oeste</v>
      </c>
      <c r="G18" s="15">
        <v>41645</v>
      </c>
      <c r="H18">
        <f t="shared" si="1"/>
        <v>2</v>
      </c>
      <c r="I18">
        <f t="shared" si="2"/>
        <v>6</v>
      </c>
      <c r="J18">
        <f t="shared" si="3"/>
        <v>1</v>
      </c>
      <c r="K18">
        <f t="shared" si="4"/>
        <v>2014</v>
      </c>
      <c r="M18">
        <v>7</v>
      </c>
      <c r="N18" t="str">
        <f>VLOOKUP(M18,'Cadastro Vendedores'!A:H,2,2)</f>
        <v>Benedito</v>
      </c>
      <c r="O18" s="2"/>
      <c r="P18" s="16">
        <v>8100</v>
      </c>
      <c r="Q18" s="2">
        <f>VLOOKUP(B18,'Cadastro Produtos'!A:F,5,2)</f>
        <v>8.5</v>
      </c>
      <c r="R18" s="14">
        <f t="shared" si="0"/>
        <v>68850</v>
      </c>
    </row>
    <row r="19" spans="1:18" x14ac:dyDescent="0.25">
      <c r="A19">
        <v>18</v>
      </c>
      <c r="B19">
        <v>4</v>
      </c>
      <c r="C19" t="str">
        <f>VLOOKUP(B19,'Cadastro Produtos'!A:E,2,2)</f>
        <v>Limonada Beta Zero 500 ml</v>
      </c>
      <c r="D19">
        <v>19</v>
      </c>
      <c r="E19" t="str">
        <f>VLOOKUP(D19,'Cadatro Clientes'!A:O,2,2)</f>
        <v>Lima Limão</v>
      </c>
      <c r="F19" t="str">
        <f>VLOOKUP(D19,'Cadatro Clientes'!A:O,9,2)</f>
        <v>Sudeste</v>
      </c>
      <c r="G19" s="15">
        <v>41645</v>
      </c>
      <c r="H19">
        <f t="shared" si="1"/>
        <v>2</v>
      </c>
      <c r="I19">
        <f t="shared" si="2"/>
        <v>6</v>
      </c>
      <c r="J19">
        <f t="shared" si="3"/>
        <v>1</v>
      </c>
      <c r="K19">
        <f t="shared" si="4"/>
        <v>2014</v>
      </c>
      <c r="M19">
        <v>7</v>
      </c>
      <c r="N19" t="str">
        <f>VLOOKUP(M19,'Cadastro Vendedores'!A:H,2,2)</f>
        <v>Benedito</v>
      </c>
      <c r="O19" s="2"/>
      <c r="P19" s="16">
        <v>8000</v>
      </c>
      <c r="Q19" s="2">
        <f>VLOOKUP(B19,'Cadastro Produtos'!A:F,5,2)</f>
        <v>7</v>
      </c>
      <c r="R19" s="14">
        <f t="shared" si="0"/>
        <v>56000</v>
      </c>
    </row>
    <row r="20" spans="1:18" x14ac:dyDescent="0.25">
      <c r="A20">
        <v>19</v>
      </c>
      <c r="B20">
        <v>9</v>
      </c>
      <c r="C20" t="str">
        <f>VLOOKUP(B20,'Cadastro Produtos'!A:E,2,2)</f>
        <v>Limonada Alfa com Hortelã e Açúcar 1 L</v>
      </c>
      <c r="D20">
        <v>19</v>
      </c>
      <c r="E20" t="str">
        <f>VLOOKUP(D20,'Cadatro Clientes'!A:O,2,2)</f>
        <v>Lima Limão</v>
      </c>
      <c r="F20" t="str">
        <f>VLOOKUP(D20,'Cadatro Clientes'!A:O,9,2)</f>
        <v>Sudeste</v>
      </c>
      <c r="G20" s="15">
        <v>41645</v>
      </c>
      <c r="H20">
        <f t="shared" si="1"/>
        <v>2</v>
      </c>
      <c r="I20">
        <f t="shared" si="2"/>
        <v>6</v>
      </c>
      <c r="J20">
        <f t="shared" si="3"/>
        <v>1</v>
      </c>
      <c r="K20">
        <f t="shared" si="4"/>
        <v>2014</v>
      </c>
      <c r="M20">
        <v>9</v>
      </c>
      <c r="N20" t="str">
        <f>VLOOKUP(M20,'Cadastro Vendedores'!A:H,2,2)</f>
        <v>Adriana</v>
      </c>
      <c r="O20" s="2"/>
      <c r="P20" s="16">
        <v>900</v>
      </c>
      <c r="Q20" s="2">
        <f>VLOOKUP(B20,'Cadastro Produtos'!A:F,5,2)</f>
        <v>17.5</v>
      </c>
      <c r="R20" s="14">
        <f t="shared" si="0"/>
        <v>15750</v>
      </c>
    </row>
    <row r="21" spans="1:18" x14ac:dyDescent="0.25">
      <c r="A21">
        <v>20</v>
      </c>
      <c r="B21">
        <v>6</v>
      </c>
      <c r="C21" t="str">
        <f>VLOOKUP(B21,'Cadastro Produtos'!A:E,2,2)</f>
        <v>Limonada Beta com Açúcar 1 L</v>
      </c>
      <c r="D21">
        <v>8</v>
      </c>
      <c r="E21" t="str">
        <f>VLOOKUP(D21,'Cadatro Clientes'!A:O,2,2)</f>
        <v>Refresko</v>
      </c>
      <c r="F21" t="str">
        <f>VLOOKUP(D21,'Cadatro Clientes'!A:O,9,2)</f>
        <v>Sul</v>
      </c>
      <c r="G21" s="15">
        <v>41646</v>
      </c>
      <c r="H21">
        <f t="shared" si="1"/>
        <v>3</v>
      </c>
      <c r="I21">
        <f t="shared" si="2"/>
        <v>7</v>
      </c>
      <c r="J21">
        <f t="shared" si="3"/>
        <v>1</v>
      </c>
      <c r="K21">
        <f t="shared" si="4"/>
        <v>2014</v>
      </c>
      <c r="M21">
        <v>9</v>
      </c>
      <c r="N21" t="str">
        <f>VLOOKUP(M21,'Cadastro Vendedores'!A:H,2,2)</f>
        <v>Adriana</v>
      </c>
      <c r="O21" s="2"/>
      <c r="P21" s="16">
        <v>1800</v>
      </c>
      <c r="Q21" s="2">
        <f>VLOOKUP(B21,'Cadastro Produtos'!A:F,5,2)</f>
        <v>12</v>
      </c>
      <c r="R21" s="14">
        <f t="shared" si="0"/>
        <v>21600</v>
      </c>
    </row>
    <row r="22" spans="1:18" x14ac:dyDescent="0.25">
      <c r="A22">
        <v>21</v>
      </c>
      <c r="B22">
        <v>6</v>
      </c>
      <c r="C22" t="str">
        <f>VLOOKUP(B22,'Cadastro Produtos'!A:E,2,2)</f>
        <v>Limonada Beta com Açúcar 1 L</v>
      </c>
      <c r="D22">
        <v>16</v>
      </c>
      <c r="E22" t="str">
        <f>VLOOKUP(D22,'Cadatro Clientes'!A:O,2,2)</f>
        <v>Norte Suco</v>
      </c>
      <c r="F22" t="str">
        <f>VLOOKUP(D22,'Cadatro Clientes'!A:O,9,2)</f>
        <v>Nordeste</v>
      </c>
      <c r="G22" s="15">
        <v>41647</v>
      </c>
      <c r="H22">
        <f t="shared" si="1"/>
        <v>4</v>
      </c>
      <c r="I22">
        <f t="shared" si="2"/>
        <v>8</v>
      </c>
      <c r="J22">
        <f t="shared" si="3"/>
        <v>1</v>
      </c>
      <c r="K22">
        <f t="shared" si="4"/>
        <v>2014</v>
      </c>
      <c r="M22">
        <v>2</v>
      </c>
      <c r="N22" t="str">
        <f>VLOOKUP(M22,'Cadastro Vendedores'!A:H,2,2)</f>
        <v>Luis</v>
      </c>
      <c r="O22" s="2"/>
      <c r="P22" s="16">
        <v>4700</v>
      </c>
      <c r="Q22" s="2">
        <f>VLOOKUP(B22,'Cadastro Produtos'!A:F,5,2)</f>
        <v>12</v>
      </c>
      <c r="R22" s="14">
        <f t="shared" si="0"/>
        <v>56400</v>
      </c>
    </row>
    <row r="23" spans="1:18" x14ac:dyDescent="0.25">
      <c r="A23">
        <v>22</v>
      </c>
      <c r="B23">
        <v>4</v>
      </c>
      <c r="C23" t="str">
        <f>VLOOKUP(B23,'Cadastro Produtos'!A:E,2,2)</f>
        <v>Limonada Beta Zero 500 ml</v>
      </c>
      <c r="D23">
        <v>9</v>
      </c>
      <c r="E23" t="str">
        <f>VLOOKUP(D23,'Cadatro Clientes'!A:O,2,2)</f>
        <v>Fresh Lemon</v>
      </c>
      <c r="F23" t="str">
        <f>VLOOKUP(D23,'Cadatro Clientes'!A:O,9,2)</f>
        <v>Sudeste</v>
      </c>
      <c r="G23" s="15">
        <v>41647</v>
      </c>
      <c r="H23">
        <f t="shared" si="1"/>
        <v>4</v>
      </c>
      <c r="I23">
        <f t="shared" si="2"/>
        <v>8</v>
      </c>
      <c r="J23">
        <f t="shared" si="3"/>
        <v>1</v>
      </c>
      <c r="K23">
        <f t="shared" si="4"/>
        <v>2014</v>
      </c>
      <c r="M23">
        <v>2</v>
      </c>
      <c r="N23" t="str">
        <f>VLOOKUP(M23,'Cadastro Vendedores'!A:H,2,2)</f>
        <v>Luis</v>
      </c>
      <c r="O23" s="2"/>
      <c r="P23" s="16">
        <v>8600</v>
      </c>
      <c r="Q23" s="2">
        <f>VLOOKUP(B23,'Cadastro Produtos'!A:F,5,2)</f>
        <v>7</v>
      </c>
      <c r="R23" s="14">
        <f t="shared" si="0"/>
        <v>60200</v>
      </c>
    </row>
    <row r="24" spans="1:18" x14ac:dyDescent="0.25">
      <c r="A24">
        <v>23</v>
      </c>
      <c r="B24">
        <v>8</v>
      </c>
      <c r="C24" t="str">
        <f>VLOOKUP(B24,'Cadastro Produtos'!A:E,2,2)</f>
        <v>Limonada Beta Zero 1 L</v>
      </c>
      <c r="D24">
        <v>6</v>
      </c>
      <c r="E24" t="str">
        <f>VLOOKUP(D24,'Cadatro Clientes'!A:O,2,2)</f>
        <v>Lemonade</v>
      </c>
      <c r="F24" t="str">
        <f>VLOOKUP(D24,'Cadatro Clientes'!A:O,9,2)</f>
        <v>Norte</v>
      </c>
      <c r="G24" s="15">
        <v>41647</v>
      </c>
      <c r="H24">
        <f t="shared" si="1"/>
        <v>4</v>
      </c>
      <c r="I24">
        <f t="shared" si="2"/>
        <v>8</v>
      </c>
      <c r="J24">
        <f t="shared" si="3"/>
        <v>1</v>
      </c>
      <c r="K24">
        <f t="shared" si="4"/>
        <v>2014</v>
      </c>
      <c r="M24">
        <v>6</v>
      </c>
      <c r="N24" t="str">
        <f>VLOOKUP(M24,'Cadastro Vendedores'!A:H,2,2)</f>
        <v>Antônia</v>
      </c>
      <c r="O24" s="2"/>
      <c r="P24" s="16">
        <v>5200</v>
      </c>
      <c r="Q24" s="2">
        <f>VLOOKUP(B24,'Cadastro Produtos'!A:F,5,2)</f>
        <v>12</v>
      </c>
      <c r="R24" s="14">
        <f t="shared" si="0"/>
        <v>62400</v>
      </c>
    </row>
    <row r="25" spans="1:18" x14ac:dyDescent="0.25">
      <c r="A25">
        <v>24</v>
      </c>
      <c r="B25">
        <v>4</v>
      </c>
      <c r="C25" t="str">
        <f>VLOOKUP(B25,'Cadastro Produtos'!A:E,2,2)</f>
        <v>Limonada Beta Zero 500 ml</v>
      </c>
      <c r="D25">
        <v>17</v>
      </c>
      <c r="E25" t="str">
        <f>VLOOKUP(D25,'Cadatro Clientes'!A:O,2,2)</f>
        <v>Aracasuco</v>
      </c>
      <c r="F25" t="str">
        <f>VLOOKUP(D25,'Cadatro Clientes'!A:O,9,2)</f>
        <v>Nordeste</v>
      </c>
      <c r="G25" s="15">
        <v>41648</v>
      </c>
      <c r="H25">
        <f t="shared" si="1"/>
        <v>5</v>
      </c>
      <c r="I25">
        <f t="shared" si="2"/>
        <v>9</v>
      </c>
      <c r="J25">
        <f t="shared" si="3"/>
        <v>1</v>
      </c>
      <c r="K25">
        <f t="shared" si="4"/>
        <v>2014</v>
      </c>
      <c r="M25">
        <v>2</v>
      </c>
      <c r="N25" t="str">
        <f>VLOOKUP(M25,'Cadastro Vendedores'!A:H,2,2)</f>
        <v>Luis</v>
      </c>
      <c r="O25" s="2"/>
      <c r="P25" s="16">
        <v>4100</v>
      </c>
      <c r="Q25" s="2">
        <f>VLOOKUP(B25,'Cadastro Produtos'!A:F,5,2)</f>
        <v>7</v>
      </c>
      <c r="R25" s="14">
        <f t="shared" si="0"/>
        <v>28700</v>
      </c>
    </row>
    <row r="26" spans="1:18" x14ac:dyDescent="0.25">
      <c r="A26">
        <v>25</v>
      </c>
      <c r="B26">
        <v>8</v>
      </c>
      <c r="C26" t="str">
        <f>VLOOKUP(B26,'Cadastro Produtos'!A:E,2,2)</f>
        <v>Limonada Beta Zero 1 L</v>
      </c>
      <c r="D26">
        <v>9</v>
      </c>
      <c r="E26" t="str">
        <f>VLOOKUP(D26,'Cadatro Clientes'!A:O,2,2)</f>
        <v>Fresh Lemon</v>
      </c>
      <c r="F26" t="str">
        <f>VLOOKUP(D26,'Cadatro Clientes'!A:O,9,2)</f>
        <v>Sudeste</v>
      </c>
      <c r="G26" s="15">
        <v>41649</v>
      </c>
      <c r="H26">
        <f t="shared" si="1"/>
        <v>6</v>
      </c>
      <c r="I26">
        <f t="shared" si="2"/>
        <v>10</v>
      </c>
      <c r="J26">
        <f t="shared" si="3"/>
        <v>1</v>
      </c>
      <c r="K26">
        <f t="shared" si="4"/>
        <v>2014</v>
      </c>
      <c r="M26">
        <v>2</v>
      </c>
      <c r="N26" t="str">
        <f>VLOOKUP(M26,'Cadastro Vendedores'!A:H,2,2)</f>
        <v>Luis</v>
      </c>
      <c r="O26" s="2"/>
      <c r="P26" s="16">
        <v>3900</v>
      </c>
      <c r="Q26" s="2">
        <f>VLOOKUP(B26,'Cadastro Produtos'!A:F,5,2)</f>
        <v>12</v>
      </c>
      <c r="R26" s="14">
        <f t="shared" si="0"/>
        <v>46800</v>
      </c>
    </row>
    <row r="27" spans="1:18" x14ac:dyDescent="0.25">
      <c r="A27">
        <v>26</v>
      </c>
      <c r="B27">
        <v>7</v>
      </c>
      <c r="C27" t="str">
        <f>VLOOKUP(B27,'Cadastro Produtos'!A:E,2,2)</f>
        <v>Limonada Alfa Zero 1 L</v>
      </c>
      <c r="D27">
        <v>17</v>
      </c>
      <c r="E27" t="str">
        <f>VLOOKUP(D27,'Cadatro Clientes'!A:O,2,2)</f>
        <v>Aracasuco</v>
      </c>
      <c r="F27" t="str">
        <f>VLOOKUP(D27,'Cadatro Clientes'!A:O,9,2)</f>
        <v>Nordeste</v>
      </c>
      <c r="G27" s="15">
        <v>41649</v>
      </c>
      <c r="H27">
        <f t="shared" si="1"/>
        <v>6</v>
      </c>
      <c r="I27">
        <f t="shared" si="2"/>
        <v>10</v>
      </c>
      <c r="J27">
        <f t="shared" si="3"/>
        <v>1</v>
      </c>
      <c r="K27">
        <f t="shared" si="4"/>
        <v>2014</v>
      </c>
      <c r="M27">
        <v>9</v>
      </c>
      <c r="N27" t="str">
        <f>VLOOKUP(M27,'Cadastro Vendedores'!A:H,2,2)</f>
        <v>Adriana</v>
      </c>
      <c r="O27" s="2"/>
      <c r="P27" s="16">
        <v>3300</v>
      </c>
      <c r="Q27" s="2">
        <f>VLOOKUP(B27,'Cadastro Produtos'!A:F,5,2)</f>
        <v>15</v>
      </c>
      <c r="R27" s="14">
        <f t="shared" si="0"/>
        <v>49500</v>
      </c>
    </row>
    <row r="28" spans="1:18" x14ac:dyDescent="0.25">
      <c r="A28">
        <v>27</v>
      </c>
      <c r="B28">
        <v>9</v>
      </c>
      <c r="C28" t="str">
        <f>VLOOKUP(B28,'Cadastro Produtos'!A:E,2,2)</f>
        <v>Limonada Alfa com Hortelã e Açúcar 1 L</v>
      </c>
      <c r="D28">
        <v>9</v>
      </c>
      <c r="E28" t="str">
        <f>VLOOKUP(D28,'Cadatro Clientes'!A:O,2,2)</f>
        <v>Fresh Lemon</v>
      </c>
      <c r="F28" t="str">
        <f>VLOOKUP(D28,'Cadatro Clientes'!A:O,9,2)</f>
        <v>Sudeste</v>
      </c>
      <c r="G28" s="15">
        <v>41649</v>
      </c>
      <c r="H28">
        <f t="shared" si="1"/>
        <v>6</v>
      </c>
      <c r="I28">
        <f t="shared" si="2"/>
        <v>10</v>
      </c>
      <c r="J28">
        <f t="shared" si="3"/>
        <v>1</v>
      </c>
      <c r="K28">
        <f t="shared" si="4"/>
        <v>2014</v>
      </c>
      <c r="M28">
        <v>2</v>
      </c>
      <c r="N28" t="str">
        <f>VLOOKUP(M28,'Cadastro Vendedores'!A:H,2,2)</f>
        <v>Luis</v>
      </c>
      <c r="O28" s="2"/>
      <c r="P28" s="16">
        <v>3500</v>
      </c>
      <c r="Q28" s="2">
        <f>VLOOKUP(B28,'Cadastro Produtos'!A:F,5,2)</f>
        <v>17.5</v>
      </c>
      <c r="R28" s="14">
        <f t="shared" si="0"/>
        <v>61250</v>
      </c>
    </row>
    <row r="29" spans="1:18" x14ac:dyDescent="0.25">
      <c r="A29">
        <v>28</v>
      </c>
      <c r="B29">
        <v>5</v>
      </c>
      <c r="C29" t="str">
        <f>VLOOKUP(B29,'Cadastro Produtos'!A:E,2,2)</f>
        <v>Limonada Alfa com Açúcar 1 L</v>
      </c>
      <c r="D29">
        <v>1</v>
      </c>
      <c r="E29" t="str">
        <f>VLOOKUP(D29,'Cadatro Clientes'!A:O,2,2)</f>
        <v>Meu Suco de Limão</v>
      </c>
      <c r="F29" t="str">
        <f>VLOOKUP(D29,'Cadatro Clientes'!A:O,9,2)</f>
        <v>Norte</v>
      </c>
      <c r="G29" s="15">
        <v>41649</v>
      </c>
      <c r="H29">
        <f t="shared" si="1"/>
        <v>6</v>
      </c>
      <c r="I29">
        <f t="shared" si="2"/>
        <v>10</v>
      </c>
      <c r="J29">
        <f t="shared" si="3"/>
        <v>1</v>
      </c>
      <c r="K29">
        <f t="shared" si="4"/>
        <v>2014</v>
      </c>
      <c r="M29">
        <v>2</v>
      </c>
      <c r="N29" t="str">
        <f>VLOOKUP(M29,'Cadastro Vendedores'!A:H,2,2)</f>
        <v>Luis</v>
      </c>
      <c r="O29" s="2"/>
      <c r="P29" s="16">
        <v>3500</v>
      </c>
      <c r="Q29" s="2">
        <f>VLOOKUP(B29,'Cadastro Produtos'!A:F,5,2)</f>
        <v>15</v>
      </c>
      <c r="R29" s="14">
        <f t="shared" si="0"/>
        <v>52500</v>
      </c>
    </row>
    <row r="30" spans="1:18" x14ac:dyDescent="0.25">
      <c r="A30">
        <v>29</v>
      </c>
      <c r="B30">
        <v>9</v>
      </c>
      <c r="C30" t="str">
        <f>VLOOKUP(B30,'Cadastro Produtos'!A:E,2,2)</f>
        <v>Limonada Alfa com Hortelã e Açúcar 1 L</v>
      </c>
      <c r="D30">
        <v>8</v>
      </c>
      <c r="E30" t="str">
        <f>VLOOKUP(D30,'Cadatro Clientes'!A:O,2,2)</f>
        <v>Refresko</v>
      </c>
      <c r="F30" t="str">
        <f>VLOOKUP(D30,'Cadatro Clientes'!A:O,9,2)</f>
        <v>Sul</v>
      </c>
      <c r="G30" s="15">
        <v>41650</v>
      </c>
      <c r="H30">
        <f t="shared" si="1"/>
        <v>7</v>
      </c>
      <c r="I30">
        <f t="shared" si="2"/>
        <v>11</v>
      </c>
      <c r="J30">
        <f t="shared" si="3"/>
        <v>1</v>
      </c>
      <c r="K30">
        <f t="shared" si="4"/>
        <v>2014</v>
      </c>
      <c r="M30">
        <v>2</v>
      </c>
      <c r="N30" t="str">
        <f>VLOOKUP(M30,'Cadastro Vendedores'!A:H,2,2)</f>
        <v>Luis</v>
      </c>
      <c r="O30" s="2"/>
      <c r="P30" s="16">
        <v>1100</v>
      </c>
      <c r="Q30" s="2">
        <f>VLOOKUP(B30,'Cadastro Produtos'!A:F,5,2)</f>
        <v>17.5</v>
      </c>
      <c r="R30" s="14">
        <f t="shared" si="0"/>
        <v>19250</v>
      </c>
    </row>
    <row r="31" spans="1:18" x14ac:dyDescent="0.25">
      <c r="A31">
        <v>30</v>
      </c>
      <c r="B31">
        <v>7</v>
      </c>
      <c r="C31" t="str">
        <f>VLOOKUP(B31,'Cadastro Produtos'!A:E,2,2)</f>
        <v>Limonada Alfa Zero 1 L</v>
      </c>
      <c r="D31">
        <v>16</v>
      </c>
      <c r="E31" t="str">
        <f>VLOOKUP(D31,'Cadatro Clientes'!A:O,2,2)</f>
        <v>Norte Suco</v>
      </c>
      <c r="F31" t="str">
        <f>VLOOKUP(D31,'Cadatro Clientes'!A:O,9,2)</f>
        <v>Nordeste</v>
      </c>
      <c r="G31" s="15">
        <v>41650</v>
      </c>
      <c r="H31">
        <f t="shared" si="1"/>
        <v>7</v>
      </c>
      <c r="I31">
        <f t="shared" si="2"/>
        <v>11</v>
      </c>
      <c r="J31">
        <f t="shared" si="3"/>
        <v>1</v>
      </c>
      <c r="K31">
        <f t="shared" si="4"/>
        <v>2014</v>
      </c>
      <c r="M31">
        <v>2</v>
      </c>
      <c r="N31" t="str">
        <f>VLOOKUP(M31,'Cadastro Vendedores'!A:H,2,2)</f>
        <v>Luis</v>
      </c>
      <c r="O31" s="2"/>
      <c r="P31" s="16">
        <v>3600</v>
      </c>
      <c r="Q31" s="2">
        <f>VLOOKUP(B31,'Cadastro Produtos'!A:F,5,2)</f>
        <v>15</v>
      </c>
      <c r="R31" s="14">
        <f t="shared" si="0"/>
        <v>54000</v>
      </c>
    </row>
    <row r="32" spans="1:18" x14ac:dyDescent="0.25">
      <c r="A32">
        <v>31</v>
      </c>
      <c r="B32">
        <v>10</v>
      </c>
      <c r="C32" t="str">
        <f>VLOOKUP(B32,'Cadastro Produtos'!A:E,2,2)</f>
        <v>Limonada Alfa com Hortelã Zero 1 L</v>
      </c>
      <c r="D32">
        <v>17</v>
      </c>
      <c r="E32" t="str">
        <f>VLOOKUP(D32,'Cadatro Clientes'!A:O,2,2)</f>
        <v>Aracasuco</v>
      </c>
      <c r="F32" t="str">
        <f>VLOOKUP(D32,'Cadatro Clientes'!A:O,9,2)</f>
        <v>Nordeste</v>
      </c>
      <c r="G32" s="15">
        <v>41650</v>
      </c>
      <c r="H32">
        <f t="shared" si="1"/>
        <v>7</v>
      </c>
      <c r="I32">
        <f t="shared" si="2"/>
        <v>11</v>
      </c>
      <c r="J32">
        <f t="shared" si="3"/>
        <v>1</v>
      </c>
      <c r="K32">
        <f t="shared" si="4"/>
        <v>2014</v>
      </c>
      <c r="M32">
        <v>2</v>
      </c>
      <c r="N32" t="str">
        <f>VLOOKUP(M32,'Cadastro Vendedores'!A:H,2,2)</f>
        <v>Luis</v>
      </c>
      <c r="O32" s="2"/>
      <c r="P32" s="16">
        <v>800</v>
      </c>
      <c r="Q32" s="2">
        <f>VLOOKUP(B32,'Cadastro Produtos'!A:F,5,2)</f>
        <v>21</v>
      </c>
      <c r="R32" s="14">
        <f t="shared" si="0"/>
        <v>16800</v>
      </c>
    </row>
    <row r="33" spans="1:18" x14ac:dyDescent="0.25">
      <c r="A33">
        <v>32</v>
      </c>
      <c r="B33">
        <v>2</v>
      </c>
      <c r="C33" t="str">
        <f>VLOOKUP(B33,'Cadastro Produtos'!A:E,2,2)</f>
        <v>Limonada Beta com Açúcar 500 ml</v>
      </c>
      <c r="D33">
        <v>20</v>
      </c>
      <c r="E33" t="str">
        <f>VLOOKUP(D33,'Cadatro Clientes'!A:O,2,2)</f>
        <v>Brasil Saúde</v>
      </c>
      <c r="F33" t="str">
        <f>VLOOKUP(D33,'Cadatro Clientes'!A:O,9,2)</f>
        <v>Nordeste</v>
      </c>
      <c r="G33" s="15">
        <v>41650</v>
      </c>
      <c r="H33">
        <f t="shared" si="1"/>
        <v>7</v>
      </c>
      <c r="I33">
        <f t="shared" si="2"/>
        <v>11</v>
      </c>
      <c r="J33">
        <f t="shared" si="3"/>
        <v>1</v>
      </c>
      <c r="K33">
        <f t="shared" si="4"/>
        <v>2014</v>
      </c>
      <c r="M33">
        <v>9</v>
      </c>
      <c r="N33" t="str">
        <f>VLOOKUP(M33,'Cadastro Vendedores'!A:H,2,2)</f>
        <v>Adriana</v>
      </c>
      <c r="O33" s="2"/>
      <c r="P33" s="16">
        <v>5100</v>
      </c>
      <c r="Q33" s="2">
        <f>VLOOKUP(B33,'Cadastro Produtos'!A:F,5,2)</f>
        <v>6.5</v>
      </c>
      <c r="R33" s="14">
        <f t="shared" si="0"/>
        <v>33150</v>
      </c>
    </row>
    <row r="34" spans="1:18" x14ac:dyDescent="0.25">
      <c r="A34">
        <v>33</v>
      </c>
      <c r="B34">
        <v>7</v>
      </c>
      <c r="C34" t="str">
        <f>VLOOKUP(B34,'Cadastro Produtos'!A:E,2,2)</f>
        <v>Limonada Alfa Zero 1 L</v>
      </c>
      <c r="D34">
        <v>1</v>
      </c>
      <c r="E34" t="str">
        <f>VLOOKUP(D34,'Cadatro Clientes'!A:O,2,2)</f>
        <v>Meu Suco de Limão</v>
      </c>
      <c r="F34" t="str">
        <f>VLOOKUP(D34,'Cadatro Clientes'!A:O,9,2)</f>
        <v>Norte</v>
      </c>
      <c r="G34" s="15">
        <v>41650</v>
      </c>
      <c r="H34">
        <f t="shared" si="1"/>
        <v>7</v>
      </c>
      <c r="I34">
        <f t="shared" si="2"/>
        <v>11</v>
      </c>
      <c r="J34">
        <f t="shared" si="3"/>
        <v>1</v>
      </c>
      <c r="K34">
        <f t="shared" si="4"/>
        <v>2014</v>
      </c>
      <c r="M34">
        <v>2</v>
      </c>
      <c r="N34" t="str">
        <f>VLOOKUP(M34,'Cadastro Vendedores'!A:H,2,2)</f>
        <v>Luis</v>
      </c>
      <c r="O34" s="2"/>
      <c r="P34" s="16">
        <v>2900</v>
      </c>
      <c r="Q34" s="2">
        <f>VLOOKUP(B34,'Cadastro Produtos'!A:F,5,2)</f>
        <v>15</v>
      </c>
      <c r="R34" s="14">
        <f t="shared" si="0"/>
        <v>43500</v>
      </c>
    </row>
    <row r="35" spans="1:18" x14ac:dyDescent="0.25">
      <c r="A35">
        <v>34</v>
      </c>
      <c r="B35">
        <v>4</v>
      </c>
      <c r="C35" t="str">
        <f>VLOOKUP(B35,'Cadastro Produtos'!A:E,2,2)</f>
        <v>Limonada Beta Zero 500 ml</v>
      </c>
      <c r="D35">
        <v>19</v>
      </c>
      <c r="E35" t="str">
        <f>VLOOKUP(D35,'Cadatro Clientes'!A:O,2,2)</f>
        <v>Lima Limão</v>
      </c>
      <c r="F35" t="str">
        <f>VLOOKUP(D35,'Cadatro Clientes'!A:O,9,2)</f>
        <v>Sudeste</v>
      </c>
      <c r="G35" s="15">
        <v>41651</v>
      </c>
      <c r="H35">
        <f t="shared" si="1"/>
        <v>1</v>
      </c>
      <c r="I35">
        <f t="shared" si="2"/>
        <v>12</v>
      </c>
      <c r="J35">
        <f t="shared" si="3"/>
        <v>1</v>
      </c>
      <c r="K35">
        <f t="shared" si="4"/>
        <v>2014</v>
      </c>
      <c r="M35">
        <v>8</v>
      </c>
      <c r="N35" t="str">
        <f>VLOOKUP(M35,'Cadastro Vendedores'!A:H,2,2)</f>
        <v>Sérgio</v>
      </c>
      <c r="O35" s="2"/>
      <c r="P35" s="16">
        <v>2600</v>
      </c>
      <c r="Q35" s="2">
        <f>VLOOKUP(B35,'Cadastro Produtos'!A:F,5,2)</f>
        <v>7</v>
      </c>
      <c r="R35" s="14">
        <f t="shared" si="0"/>
        <v>18200</v>
      </c>
    </row>
    <row r="36" spans="1:18" x14ac:dyDescent="0.25">
      <c r="A36">
        <v>35</v>
      </c>
      <c r="B36">
        <v>10</v>
      </c>
      <c r="C36" t="str">
        <f>VLOOKUP(B36,'Cadastro Produtos'!A:E,2,2)</f>
        <v>Limonada Alfa com Hortelã Zero 1 L</v>
      </c>
      <c r="D36">
        <v>20</v>
      </c>
      <c r="E36" t="str">
        <f>VLOOKUP(D36,'Cadatro Clientes'!A:O,2,2)</f>
        <v>Brasil Saúde</v>
      </c>
      <c r="F36" t="str">
        <f>VLOOKUP(D36,'Cadatro Clientes'!A:O,9,2)</f>
        <v>Nordeste</v>
      </c>
      <c r="G36" s="15">
        <v>41651</v>
      </c>
      <c r="H36">
        <f t="shared" si="1"/>
        <v>1</v>
      </c>
      <c r="I36">
        <f t="shared" si="2"/>
        <v>12</v>
      </c>
      <c r="J36">
        <f t="shared" si="3"/>
        <v>1</v>
      </c>
      <c r="K36">
        <f t="shared" si="4"/>
        <v>2014</v>
      </c>
      <c r="M36">
        <v>2</v>
      </c>
      <c r="N36" t="str">
        <f>VLOOKUP(M36,'Cadastro Vendedores'!A:H,2,2)</f>
        <v>Luis</v>
      </c>
      <c r="O36" s="2"/>
      <c r="P36" s="16">
        <v>1400</v>
      </c>
      <c r="Q36" s="2">
        <f>VLOOKUP(B36,'Cadastro Produtos'!A:F,5,2)</f>
        <v>21</v>
      </c>
      <c r="R36" s="14">
        <f t="shared" si="0"/>
        <v>29400</v>
      </c>
    </row>
    <row r="37" spans="1:18" x14ac:dyDescent="0.25">
      <c r="A37">
        <v>36</v>
      </c>
      <c r="B37">
        <v>8</v>
      </c>
      <c r="C37" t="str">
        <f>VLOOKUP(B37,'Cadastro Produtos'!A:E,2,2)</f>
        <v>Limonada Beta Zero 1 L</v>
      </c>
      <c r="D37">
        <v>1</v>
      </c>
      <c r="E37" t="str">
        <f>VLOOKUP(D37,'Cadatro Clientes'!A:O,2,2)</f>
        <v>Meu Suco de Limão</v>
      </c>
      <c r="F37" t="str">
        <f>VLOOKUP(D37,'Cadatro Clientes'!A:O,9,2)</f>
        <v>Norte</v>
      </c>
      <c r="G37" s="15">
        <v>41651</v>
      </c>
      <c r="H37">
        <f t="shared" si="1"/>
        <v>1</v>
      </c>
      <c r="I37">
        <f t="shared" si="2"/>
        <v>12</v>
      </c>
      <c r="J37">
        <f t="shared" si="3"/>
        <v>1</v>
      </c>
      <c r="K37">
        <f t="shared" si="4"/>
        <v>2014</v>
      </c>
      <c r="M37">
        <v>7</v>
      </c>
      <c r="N37" t="str">
        <f>VLOOKUP(M37,'Cadastro Vendedores'!A:H,2,2)</f>
        <v>Benedito</v>
      </c>
      <c r="O37" s="2"/>
      <c r="P37" s="16">
        <v>3700</v>
      </c>
      <c r="Q37" s="2">
        <f>VLOOKUP(B37,'Cadastro Produtos'!A:F,5,2)</f>
        <v>12</v>
      </c>
      <c r="R37" s="14">
        <f t="shared" si="0"/>
        <v>44400</v>
      </c>
    </row>
    <row r="38" spans="1:18" x14ac:dyDescent="0.25">
      <c r="A38">
        <v>37</v>
      </c>
      <c r="B38">
        <v>10</v>
      </c>
      <c r="C38" t="str">
        <f>VLOOKUP(B38,'Cadastro Produtos'!A:E,2,2)</f>
        <v>Limonada Alfa com Hortelã Zero 1 L</v>
      </c>
      <c r="D38">
        <v>6</v>
      </c>
      <c r="E38" t="str">
        <f>VLOOKUP(D38,'Cadatro Clientes'!A:O,2,2)</f>
        <v>Lemonade</v>
      </c>
      <c r="F38" t="str">
        <f>VLOOKUP(D38,'Cadatro Clientes'!A:O,9,2)</f>
        <v>Norte</v>
      </c>
      <c r="G38" s="15">
        <v>41652</v>
      </c>
      <c r="H38">
        <f t="shared" si="1"/>
        <v>2</v>
      </c>
      <c r="I38">
        <f t="shared" si="2"/>
        <v>13</v>
      </c>
      <c r="J38">
        <f t="shared" si="3"/>
        <v>1</v>
      </c>
      <c r="K38">
        <f t="shared" si="4"/>
        <v>2014</v>
      </c>
      <c r="M38">
        <v>2</v>
      </c>
      <c r="N38" t="str">
        <f>VLOOKUP(M38,'Cadastro Vendedores'!A:H,2,2)</f>
        <v>Luis</v>
      </c>
      <c r="O38" s="2"/>
      <c r="P38" s="16">
        <v>1300</v>
      </c>
      <c r="Q38" s="2">
        <f>VLOOKUP(B38,'Cadastro Produtos'!A:F,5,2)</f>
        <v>21</v>
      </c>
      <c r="R38" s="14">
        <f t="shared" si="0"/>
        <v>27300</v>
      </c>
    </row>
    <row r="39" spans="1:18" x14ac:dyDescent="0.25">
      <c r="A39">
        <v>38</v>
      </c>
      <c r="B39">
        <v>6</v>
      </c>
      <c r="C39" t="str">
        <f>VLOOKUP(B39,'Cadastro Produtos'!A:E,2,2)</f>
        <v>Limonada Beta com Açúcar 1 L</v>
      </c>
      <c r="D39">
        <v>5</v>
      </c>
      <c r="E39" t="str">
        <f>VLOOKUP(D39,'Cadatro Clientes'!A:O,2,2)</f>
        <v>Axé com Limão</v>
      </c>
      <c r="F39" t="str">
        <f>VLOOKUP(D39,'Cadatro Clientes'!A:O,9,2)</f>
        <v>Nordeste</v>
      </c>
      <c r="G39" s="15">
        <v>41653</v>
      </c>
      <c r="H39">
        <f t="shared" si="1"/>
        <v>3</v>
      </c>
      <c r="I39">
        <f t="shared" si="2"/>
        <v>14</v>
      </c>
      <c r="J39">
        <f t="shared" si="3"/>
        <v>1</v>
      </c>
      <c r="K39">
        <f t="shared" si="4"/>
        <v>2014</v>
      </c>
      <c r="M39">
        <v>4</v>
      </c>
      <c r="N39" t="str">
        <f>VLOOKUP(M39,'Cadastro Vendedores'!A:H,2,2)</f>
        <v>José</v>
      </c>
      <c r="O39" s="2"/>
      <c r="P39" s="16">
        <v>1700</v>
      </c>
      <c r="Q39" s="2">
        <f>VLOOKUP(B39,'Cadastro Produtos'!A:F,5,2)</f>
        <v>12</v>
      </c>
      <c r="R39" s="14">
        <f t="shared" si="0"/>
        <v>20400</v>
      </c>
    </row>
    <row r="40" spans="1:18" x14ac:dyDescent="0.25">
      <c r="A40">
        <v>39</v>
      </c>
      <c r="B40">
        <v>3</v>
      </c>
      <c r="C40" t="str">
        <f>VLOOKUP(B40,'Cadastro Produtos'!A:E,2,2)</f>
        <v>Limonada Alfa Zero 500 ml</v>
      </c>
      <c r="D40">
        <v>2</v>
      </c>
      <c r="E40" t="str">
        <f>VLOOKUP(D40,'Cadatro Clientes'!A:O,2,2)</f>
        <v>Limão S/A</v>
      </c>
      <c r="F40" t="str">
        <f>VLOOKUP(D40,'Cadatro Clientes'!A:O,9,2)</f>
        <v>Centro-Oeste</v>
      </c>
      <c r="G40" s="15">
        <v>41653</v>
      </c>
      <c r="H40">
        <f t="shared" si="1"/>
        <v>3</v>
      </c>
      <c r="I40">
        <f t="shared" si="2"/>
        <v>14</v>
      </c>
      <c r="J40">
        <f t="shared" si="3"/>
        <v>1</v>
      </c>
      <c r="K40">
        <f t="shared" si="4"/>
        <v>2014</v>
      </c>
      <c r="M40">
        <v>2</v>
      </c>
      <c r="N40" t="str">
        <f>VLOOKUP(M40,'Cadastro Vendedores'!A:H,2,2)</f>
        <v>Luis</v>
      </c>
      <c r="O40" s="2"/>
      <c r="P40" s="16">
        <v>5900</v>
      </c>
      <c r="Q40" s="2">
        <f>VLOOKUP(B40,'Cadastro Produtos'!A:F,5,2)</f>
        <v>9</v>
      </c>
      <c r="R40" s="14">
        <f t="shared" si="0"/>
        <v>53100</v>
      </c>
    </row>
    <row r="41" spans="1:18" x14ac:dyDescent="0.25">
      <c r="A41">
        <v>40</v>
      </c>
      <c r="B41">
        <v>2</v>
      </c>
      <c r="C41" t="str">
        <f>VLOOKUP(B41,'Cadastro Produtos'!A:E,2,2)</f>
        <v>Limonada Beta com Açúcar 500 ml</v>
      </c>
      <c r="D41">
        <v>11</v>
      </c>
      <c r="E41" t="str">
        <f>VLOOKUP(D41,'Cadatro Clientes'!A:O,2,2)</f>
        <v>Red Lemon</v>
      </c>
      <c r="F41" t="str">
        <f>VLOOKUP(D41,'Cadatro Clientes'!A:O,9,2)</f>
        <v>Sul</v>
      </c>
      <c r="G41" s="15">
        <v>41654</v>
      </c>
      <c r="H41">
        <f t="shared" si="1"/>
        <v>4</v>
      </c>
      <c r="I41">
        <f t="shared" si="2"/>
        <v>15</v>
      </c>
      <c r="J41">
        <f t="shared" si="3"/>
        <v>1</v>
      </c>
      <c r="K41">
        <f t="shared" si="4"/>
        <v>2014</v>
      </c>
      <c r="M41">
        <v>3</v>
      </c>
      <c r="N41" t="str">
        <f>VLOOKUP(M41,'Cadastro Vendedores'!A:H,2,2)</f>
        <v>Antônia</v>
      </c>
      <c r="O41" s="2"/>
      <c r="P41" s="16">
        <v>2700</v>
      </c>
      <c r="Q41" s="2">
        <f>VLOOKUP(B41,'Cadastro Produtos'!A:F,5,2)</f>
        <v>6.5</v>
      </c>
      <c r="R41" s="14">
        <f t="shared" si="0"/>
        <v>17550</v>
      </c>
    </row>
    <row r="42" spans="1:18" x14ac:dyDescent="0.25">
      <c r="A42">
        <v>41</v>
      </c>
      <c r="B42">
        <v>6</v>
      </c>
      <c r="C42" t="str">
        <f>VLOOKUP(B42,'Cadastro Produtos'!A:E,2,2)</f>
        <v>Limonada Beta com Açúcar 1 L</v>
      </c>
      <c r="D42">
        <v>2</v>
      </c>
      <c r="E42" t="str">
        <f>VLOOKUP(D42,'Cadatro Clientes'!A:O,2,2)</f>
        <v>Limão S/A</v>
      </c>
      <c r="F42" t="str">
        <f>VLOOKUP(D42,'Cadatro Clientes'!A:O,9,2)</f>
        <v>Centro-Oeste</v>
      </c>
      <c r="G42" s="15">
        <v>41654</v>
      </c>
      <c r="H42">
        <f t="shared" si="1"/>
        <v>4</v>
      </c>
      <c r="I42">
        <f t="shared" si="2"/>
        <v>15</v>
      </c>
      <c r="J42">
        <f t="shared" si="3"/>
        <v>1</v>
      </c>
      <c r="K42">
        <f t="shared" si="4"/>
        <v>2014</v>
      </c>
      <c r="M42">
        <v>3</v>
      </c>
      <c r="N42" t="str">
        <f>VLOOKUP(M42,'Cadastro Vendedores'!A:H,2,2)</f>
        <v>Antônia</v>
      </c>
      <c r="O42" s="2"/>
      <c r="P42" s="16">
        <v>2800</v>
      </c>
      <c r="Q42" s="2">
        <f>VLOOKUP(B42,'Cadastro Produtos'!A:F,5,2)</f>
        <v>12</v>
      </c>
      <c r="R42" s="14">
        <f t="shared" si="0"/>
        <v>33600</v>
      </c>
    </row>
    <row r="43" spans="1:18" x14ac:dyDescent="0.25">
      <c r="A43">
        <v>42</v>
      </c>
      <c r="B43">
        <v>3</v>
      </c>
      <c r="C43" t="str">
        <f>VLOOKUP(B43,'Cadastro Produtos'!A:E,2,2)</f>
        <v>Limonada Alfa Zero 500 ml</v>
      </c>
      <c r="D43">
        <v>1</v>
      </c>
      <c r="E43" t="str">
        <f>VLOOKUP(D43,'Cadatro Clientes'!A:O,2,2)</f>
        <v>Meu Suco de Limão</v>
      </c>
      <c r="F43" t="str">
        <f>VLOOKUP(D43,'Cadatro Clientes'!A:O,9,2)</f>
        <v>Norte</v>
      </c>
      <c r="G43" s="15">
        <v>41654</v>
      </c>
      <c r="H43">
        <f t="shared" si="1"/>
        <v>4</v>
      </c>
      <c r="I43">
        <f t="shared" si="2"/>
        <v>15</v>
      </c>
      <c r="J43">
        <f t="shared" si="3"/>
        <v>1</v>
      </c>
      <c r="K43">
        <f t="shared" si="4"/>
        <v>2014</v>
      </c>
      <c r="M43">
        <v>2</v>
      </c>
      <c r="N43" t="str">
        <f>VLOOKUP(M43,'Cadastro Vendedores'!A:H,2,2)</f>
        <v>Luis</v>
      </c>
      <c r="O43" s="2"/>
      <c r="P43" s="16">
        <v>5700</v>
      </c>
      <c r="Q43" s="2">
        <f>VLOOKUP(B43,'Cadastro Produtos'!A:F,5,2)</f>
        <v>9</v>
      </c>
      <c r="R43" s="14">
        <f t="shared" si="0"/>
        <v>51300</v>
      </c>
    </row>
    <row r="44" spans="1:18" x14ac:dyDescent="0.25">
      <c r="A44">
        <v>43</v>
      </c>
      <c r="B44">
        <v>6</v>
      </c>
      <c r="C44" t="str">
        <f>VLOOKUP(B44,'Cadastro Produtos'!A:E,2,2)</f>
        <v>Limonada Beta com Açúcar 1 L</v>
      </c>
      <c r="D44">
        <v>8</v>
      </c>
      <c r="E44" t="str">
        <f>VLOOKUP(D44,'Cadatro Clientes'!A:O,2,2)</f>
        <v>Refresko</v>
      </c>
      <c r="F44" t="str">
        <f>VLOOKUP(D44,'Cadatro Clientes'!A:O,9,2)</f>
        <v>Sul</v>
      </c>
      <c r="G44" s="15">
        <v>41654</v>
      </c>
      <c r="H44">
        <f t="shared" si="1"/>
        <v>4</v>
      </c>
      <c r="I44">
        <f t="shared" si="2"/>
        <v>15</v>
      </c>
      <c r="J44">
        <f t="shared" si="3"/>
        <v>1</v>
      </c>
      <c r="K44">
        <f t="shared" si="4"/>
        <v>2014</v>
      </c>
      <c r="M44">
        <v>8</v>
      </c>
      <c r="N44" t="str">
        <f>VLOOKUP(M44,'Cadastro Vendedores'!A:H,2,2)</f>
        <v>Sérgio</v>
      </c>
      <c r="O44" s="2"/>
      <c r="P44" s="16">
        <v>2800</v>
      </c>
      <c r="Q44" s="2">
        <f>VLOOKUP(B44,'Cadastro Produtos'!A:F,5,2)</f>
        <v>12</v>
      </c>
      <c r="R44" s="14">
        <f t="shared" si="0"/>
        <v>33600</v>
      </c>
    </row>
    <row r="45" spans="1:18" x14ac:dyDescent="0.25">
      <c r="A45">
        <v>44</v>
      </c>
      <c r="B45">
        <v>2</v>
      </c>
      <c r="C45" t="str">
        <f>VLOOKUP(B45,'Cadastro Produtos'!A:E,2,2)</f>
        <v>Limonada Beta com Açúcar 500 ml</v>
      </c>
      <c r="D45">
        <v>1</v>
      </c>
      <c r="E45" t="str">
        <f>VLOOKUP(D45,'Cadatro Clientes'!A:O,2,2)</f>
        <v>Meu Suco de Limão</v>
      </c>
      <c r="F45" t="str">
        <f>VLOOKUP(D45,'Cadatro Clientes'!A:O,9,2)</f>
        <v>Norte</v>
      </c>
      <c r="G45" s="15">
        <v>41655</v>
      </c>
      <c r="H45">
        <f t="shared" si="1"/>
        <v>5</v>
      </c>
      <c r="I45">
        <f t="shared" si="2"/>
        <v>16</v>
      </c>
      <c r="J45">
        <f t="shared" si="3"/>
        <v>1</v>
      </c>
      <c r="K45">
        <f t="shared" si="4"/>
        <v>2014</v>
      </c>
      <c r="M45">
        <v>7</v>
      </c>
      <c r="N45" t="str">
        <f>VLOOKUP(M45,'Cadastro Vendedores'!A:H,2,2)</f>
        <v>Benedito</v>
      </c>
      <c r="O45" s="2"/>
      <c r="P45" s="16">
        <v>6900</v>
      </c>
      <c r="Q45" s="2">
        <f>VLOOKUP(B45,'Cadastro Produtos'!A:F,5,2)</f>
        <v>6.5</v>
      </c>
      <c r="R45" s="14">
        <f t="shared" si="0"/>
        <v>44850</v>
      </c>
    </row>
    <row r="46" spans="1:18" x14ac:dyDescent="0.25">
      <c r="A46">
        <v>45</v>
      </c>
      <c r="B46">
        <v>7</v>
      </c>
      <c r="C46" t="str">
        <f>VLOOKUP(B46,'Cadastro Produtos'!A:E,2,2)</f>
        <v>Limonada Alfa Zero 1 L</v>
      </c>
      <c r="D46">
        <v>8</v>
      </c>
      <c r="E46" t="str">
        <f>VLOOKUP(D46,'Cadatro Clientes'!A:O,2,2)</f>
        <v>Refresko</v>
      </c>
      <c r="F46" t="str">
        <f>VLOOKUP(D46,'Cadatro Clientes'!A:O,9,2)</f>
        <v>Sul</v>
      </c>
      <c r="G46" s="15">
        <v>41655</v>
      </c>
      <c r="H46">
        <f t="shared" si="1"/>
        <v>5</v>
      </c>
      <c r="I46">
        <f t="shared" si="2"/>
        <v>16</v>
      </c>
      <c r="J46">
        <f t="shared" si="3"/>
        <v>1</v>
      </c>
      <c r="K46">
        <f t="shared" si="4"/>
        <v>2014</v>
      </c>
      <c r="M46">
        <v>3</v>
      </c>
      <c r="N46" t="str">
        <f>VLOOKUP(M46,'Cadastro Vendedores'!A:H,2,2)</f>
        <v>Antônia</v>
      </c>
      <c r="O46" s="2"/>
      <c r="P46" s="16">
        <v>2700</v>
      </c>
      <c r="Q46" s="2">
        <f>VLOOKUP(B46,'Cadastro Produtos'!A:F,5,2)</f>
        <v>15</v>
      </c>
      <c r="R46" s="14">
        <f t="shared" si="0"/>
        <v>40500</v>
      </c>
    </row>
    <row r="47" spans="1:18" x14ac:dyDescent="0.25">
      <c r="A47">
        <v>46</v>
      </c>
      <c r="B47">
        <v>8</v>
      </c>
      <c r="C47" t="str">
        <f>VLOOKUP(B47,'Cadastro Produtos'!A:E,2,2)</f>
        <v>Limonada Beta Zero 1 L</v>
      </c>
      <c r="D47">
        <v>9</v>
      </c>
      <c r="E47" t="str">
        <f>VLOOKUP(D47,'Cadatro Clientes'!A:O,2,2)</f>
        <v>Fresh Lemon</v>
      </c>
      <c r="F47" t="str">
        <f>VLOOKUP(D47,'Cadatro Clientes'!A:O,9,2)</f>
        <v>Sudeste</v>
      </c>
      <c r="G47" s="15">
        <v>41655</v>
      </c>
      <c r="H47">
        <f t="shared" si="1"/>
        <v>5</v>
      </c>
      <c r="I47">
        <f t="shared" si="2"/>
        <v>16</v>
      </c>
      <c r="J47">
        <f t="shared" si="3"/>
        <v>1</v>
      </c>
      <c r="K47">
        <f t="shared" si="4"/>
        <v>2014</v>
      </c>
      <c r="M47">
        <v>9</v>
      </c>
      <c r="N47" t="str">
        <f>VLOOKUP(M47,'Cadastro Vendedores'!A:H,2,2)</f>
        <v>Adriana</v>
      </c>
      <c r="O47" s="2"/>
      <c r="P47" s="16">
        <v>2400</v>
      </c>
      <c r="Q47" s="2">
        <f>VLOOKUP(B47,'Cadastro Produtos'!A:F,5,2)</f>
        <v>12</v>
      </c>
      <c r="R47" s="14">
        <f t="shared" si="0"/>
        <v>28800</v>
      </c>
    </row>
    <row r="48" spans="1:18" x14ac:dyDescent="0.25">
      <c r="A48">
        <v>47</v>
      </c>
      <c r="B48">
        <v>3</v>
      </c>
      <c r="C48" t="str">
        <f>VLOOKUP(B48,'Cadastro Produtos'!A:E,2,2)</f>
        <v>Limonada Alfa Zero 500 ml</v>
      </c>
      <c r="D48">
        <v>1</v>
      </c>
      <c r="E48" t="str">
        <f>VLOOKUP(D48,'Cadatro Clientes'!A:O,2,2)</f>
        <v>Meu Suco de Limão</v>
      </c>
      <c r="F48" t="str">
        <f>VLOOKUP(D48,'Cadatro Clientes'!A:O,9,2)</f>
        <v>Norte</v>
      </c>
      <c r="G48" s="15">
        <v>41656</v>
      </c>
      <c r="H48">
        <f t="shared" si="1"/>
        <v>6</v>
      </c>
      <c r="I48">
        <f t="shared" si="2"/>
        <v>17</v>
      </c>
      <c r="J48">
        <f t="shared" si="3"/>
        <v>1</v>
      </c>
      <c r="K48">
        <f t="shared" si="4"/>
        <v>2014</v>
      </c>
      <c r="M48">
        <v>8</v>
      </c>
      <c r="N48" t="str">
        <f>VLOOKUP(M48,'Cadastro Vendedores'!A:H,2,2)</f>
        <v>Sérgio</v>
      </c>
      <c r="O48" s="2"/>
      <c r="P48" s="16">
        <v>6700</v>
      </c>
      <c r="Q48" s="2">
        <f>VLOOKUP(B48,'Cadastro Produtos'!A:F,5,2)</f>
        <v>9</v>
      </c>
      <c r="R48" s="14">
        <f t="shared" si="0"/>
        <v>60300</v>
      </c>
    </row>
    <row r="49" spans="1:18" x14ac:dyDescent="0.25">
      <c r="A49">
        <v>48</v>
      </c>
      <c r="B49">
        <v>6</v>
      </c>
      <c r="C49" t="str">
        <f>VLOOKUP(B49,'Cadastro Produtos'!A:E,2,2)</f>
        <v>Limonada Beta com Açúcar 1 L</v>
      </c>
      <c r="D49">
        <v>6</v>
      </c>
      <c r="E49" t="str">
        <f>VLOOKUP(D49,'Cadatro Clientes'!A:O,2,2)</f>
        <v>Lemonade</v>
      </c>
      <c r="F49" t="str">
        <f>VLOOKUP(D49,'Cadatro Clientes'!A:O,9,2)</f>
        <v>Norte</v>
      </c>
      <c r="G49" s="15">
        <v>41656</v>
      </c>
      <c r="H49">
        <f t="shared" si="1"/>
        <v>6</v>
      </c>
      <c r="I49">
        <f t="shared" si="2"/>
        <v>17</v>
      </c>
      <c r="J49">
        <f t="shared" si="3"/>
        <v>1</v>
      </c>
      <c r="K49">
        <f t="shared" si="4"/>
        <v>2014</v>
      </c>
      <c r="M49">
        <v>9</v>
      </c>
      <c r="N49" t="str">
        <f>VLOOKUP(M49,'Cadastro Vendedores'!A:H,2,2)</f>
        <v>Adriana</v>
      </c>
      <c r="O49" s="2"/>
      <c r="P49" s="16">
        <v>4200</v>
      </c>
      <c r="Q49" s="2">
        <f>VLOOKUP(B49,'Cadastro Produtos'!A:F,5,2)</f>
        <v>12</v>
      </c>
      <c r="R49" s="14">
        <f t="shared" si="0"/>
        <v>50400</v>
      </c>
    </row>
    <row r="50" spans="1:18" x14ac:dyDescent="0.25">
      <c r="A50">
        <v>49</v>
      </c>
      <c r="B50">
        <v>5</v>
      </c>
      <c r="C50" t="str">
        <f>VLOOKUP(B50,'Cadastro Produtos'!A:E,2,2)</f>
        <v>Limonada Alfa com Açúcar 1 L</v>
      </c>
      <c r="D50">
        <v>1</v>
      </c>
      <c r="E50" t="str">
        <f>VLOOKUP(D50,'Cadatro Clientes'!A:O,2,2)</f>
        <v>Meu Suco de Limão</v>
      </c>
      <c r="F50" t="str">
        <f>VLOOKUP(D50,'Cadatro Clientes'!A:O,9,2)</f>
        <v>Norte</v>
      </c>
      <c r="G50" s="15">
        <v>41656</v>
      </c>
      <c r="H50">
        <f t="shared" si="1"/>
        <v>6</v>
      </c>
      <c r="I50">
        <f t="shared" si="2"/>
        <v>17</v>
      </c>
      <c r="J50">
        <f t="shared" si="3"/>
        <v>1</v>
      </c>
      <c r="K50">
        <f t="shared" si="4"/>
        <v>2014</v>
      </c>
      <c r="M50">
        <v>3</v>
      </c>
      <c r="N50" t="str">
        <f>VLOOKUP(M50,'Cadastro Vendedores'!A:H,2,2)</f>
        <v>Antônia</v>
      </c>
      <c r="O50" s="2"/>
      <c r="P50" s="16">
        <v>3400</v>
      </c>
      <c r="Q50" s="2">
        <f>VLOOKUP(B50,'Cadastro Produtos'!A:F,5,2)</f>
        <v>15</v>
      </c>
      <c r="R50" s="14">
        <f t="shared" si="0"/>
        <v>51000</v>
      </c>
    </row>
    <row r="51" spans="1:18" x14ac:dyDescent="0.25">
      <c r="A51">
        <v>50</v>
      </c>
      <c r="B51">
        <v>2</v>
      </c>
      <c r="C51" t="str">
        <f>VLOOKUP(B51,'Cadastro Produtos'!A:E,2,2)</f>
        <v>Limonada Beta com Açúcar 500 ml</v>
      </c>
      <c r="D51">
        <v>5</v>
      </c>
      <c r="E51" t="str">
        <f>VLOOKUP(D51,'Cadatro Clientes'!A:O,2,2)</f>
        <v>Axé com Limão</v>
      </c>
      <c r="F51" t="str">
        <f>VLOOKUP(D51,'Cadatro Clientes'!A:O,9,2)</f>
        <v>Nordeste</v>
      </c>
      <c r="G51" s="15">
        <v>41657</v>
      </c>
      <c r="H51">
        <f t="shared" si="1"/>
        <v>7</v>
      </c>
      <c r="I51">
        <f t="shared" si="2"/>
        <v>18</v>
      </c>
      <c r="J51">
        <f t="shared" si="3"/>
        <v>1</v>
      </c>
      <c r="K51">
        <f t="shared" si="4"/>
        <v>2014</v>
      </c>
      <c r="M51">
        <v>9</v>
      </c>
      <c r="N51" t="str">
        <f>VLOOKUP(M51,'Cadastro Vendedores'!A:H,2,2)</f>
        <v>Adriana</v>
      </c>
      <c r="O51" s="2"/>
      <c r="P51" s="16">
        <v>6300</v>
      </c>
      <c r="Q51" s="2">
        <f>VLOOKUP(B51,'Cadastro Produtos'!A:F,5,2)</f>
        <v>6.5</v>
      </c>
      <c r="R51" s="14">
        <f t="shared" si="0"/>
        <v>40950</v>
      </c>
    </row>
    <row r="52" spans="1:18" x14ac:dyDescent="0.25">
      <c r="A52">
        <v>51</v>
      </c>
      <c r="B52">
        <v>5</v>
      </c>
      <c r="C52" t="str">
        <f>VLOOKUP(B52,'Cadastro Produtos'!A:E,2,2)</f>
        <v>Limonada Alfa com Açúcar 1 L</v>
      </c>
      <c r="D52">
        <v>17</v>
      </c>
      <c r="E52" t="str">
        <f>VLOOKUP(D52,'Cadatro Clientes'!A:O,2,2)</f>
        <v>Aracasuco</v>
      </c>
      <c r="F52" t="str">
        <f>VLOOKUP(D52,'Cadatro Clientes'!A:O,9,2)</f>
        <v>Nordeste</v>
      </c>
      <c r="G52" s="15">
        <v>41657</v>
      </c>
      <c r="H52">
        <f t="shared" si="1"/>
        <v>7</v>
      </c>
      <c r="I52">
        <f t="shared" si="2"/>
        <v>18</v>
      </c>
      <c r="J52">
        <f t="shared" si="3"/>
        <v>1</v>
      </c>
      <c r="K52">
        <f t="shared" si="4"/>
        <v>2014</v>
      </c>
      <c r="M52">
        <v>2</v>
      </c>
      <c r="N52" t="str">
        <f>VLOOKUP(M52,'Cadastro Vendedores'!A:H,2,2)</f>
        <v>Luis</v>
      </c>
      <c r="O52" s="2"/>
      <c r="P52" s="16">
        <v>3900</v>
      </c>
      <c r="Q52" s="2">
        <f>VLOOKUP(B52,'Cadastro Produtos'!A:F,5,2)</f>
        <v>15</v>
      </c>
      <c r="R52" s="14">
        <f t="shared" si="0"/>
        <v>58500</v>
      </c>
    </row>
    <row r="53" spans="1:18" x14ac:dyDescent="0.25">
      <c r="A53">
        <v>52</v>
      </c>
      <c r="B53">
        <v>3</v>
      </c>
      <c r="C53" t="str">
        <f>VLOOKUP(B53,'Cadastro Produtos'!A:E,2,2)</f>
        <v>Limonada Alfa Zero 500 ml</v>
      </c>
      <c r="D53">
        <v>6</v>
      </c>
      <c r="E53" t="str">
        <f>VLOOKUP(D53,'Cadatro Clientes'!A:O,2,2)</f>
        <v>Lemonade</v>
      </c>
      <c r="F53" t="str">
        <f>VLOOKUP(D53,'Cadatro Clientes'!A:O,9,2)</f>
        <v>Norte</v>
      </c>
      <c r="G53" s="15">
        <v>41658</v>
      </c>
      <c r="H53">
        <f t="shared" si="1"/>
        <v>1</v>
      </c>
      <c r="I53">
        <f t="shared" si="2"/>
        <v>19</v>
      </c>
      <c r="J53">
        <f t="shared" si="3"/>
        <v>1</v>
      </c>
      <c r="K53">
        <f t="shared" si="4"/>
        <v>2014</v>
      </c>
      <c r="M53">
        <v>2</v>
      </c>
      <c r="N53" t="str">
        <f>VLOOKUP(M53,'Cadastro Vendedores'!A:H,2,2)</f>
        <v>Luis</v>
      </c>
      <c r="O53" s="2"/>
      <c r="P53" s="16">
        <v>4100</v>
      </c>
      <c r="Q53" s="2">
        <f>VLOOKUP(B53,'Cadastro Produtos'!A:F,5,2)</f>
        <v>9</v>
      </c>
      <c r="R53" s="14">
        <f t="shared" si="0"/>
        <v>36900</v>
      </c>
    </row>
    <row r="54" spans="1:18" x14ac:dyDescent="0.25">
      <c r="A54">
        <v>53</v>
      </c>
      <c r="B54">
        <v>9</v>
      </c>
      <c r="C54" t="str">
        <f>VLOOKUP(B54,'Cadastro Produtos'!A:E,2,2)</f>
        <v>Limonada Alfa com Hortelã e Açúcar 1 L</v>
      </c>
      <c r="D54">
        <v>19</v>
      </c>
      <c r="E54" t="str">
        <f>VLOOKUP(D54,'Cadatro Clientes'!A:O,2,2)</f>
        <v>Lima Limão</v>
      </c>
      <c r="F54" t="str">
        <f>VLOOKUP(D54,'Cadatro Clientes'!A:O,9,2)</f>
        <v>Sudeste</v>
      </c>
      <c r="G54" s="15">
        <v>41658</v>
      </c>
      <c r="H54">
        <f t="shared" si="1"/>
        <v>1</v>
      </c>
      <c r="I54">
        <f t="shared" si="2"/>
        <v>19</v>
      </c>
      <c r="J54">
        <f t="shared" si="3"/>
        <v>1</v>
      </c>
      <c r="K54">
        <f t="shared" si="4"/>
        <v>2014</v>
      </c>
      <c r="M54">
        <v>2</v>
      </c>
      <c r="N54" t="str">
        <f>VLOOKUP(M54,'Cadastro Vendedores'!A:H,2,2)</f>
        <v>Luis</v>
      </c>
      <c r="O54" s="2"/>
      <c r="P54" s="16">
        <v>3300</v>
      </c>
      <c r="Q54" s="2">
        <f>VLOOKUP(B54,'Cadastro Produtos'!A:F,5,2)</f>
        <v>17.5</v>
      </c>
      <c r="R54" s="14">
        <f t="shared" si="0"/>
        <v>57750</v>
      </c>
    </row>
    <row r="55" spans="1:18" x14ac:dyDescent="0.25">
      <c r="A55">
        <v>54</v>
      </c>
      <c r="B55">
        <v>10</v>
      </c>
      <c r="C55" t="str">
        <f>VLOOKUP(B55,'Cadastro Produtos'!A:E,2,2)</f>
        <v>Limonada Alfa com Hortelã Zero 1 L</v>
      </c>
      <c r="D55">
        <v>17</v>
      </c>
      <c r="E55" t="str">
        <f>VLOOKUP(D55,'Cadatro Clientes'!A:O,2,2)</f>
        <v>Aracasuco</v>
      </c>
      <c r="F55" t="str">
        <f>VLOOKUP(D55,'Cadatro Clientes'!A:O,9,2)</f>
        <v>Nordeste</v>
      </c>
      <c r="G55" s="15">
        <v>41659</v>
      </c>
      <c r="H55">
        <f t="shared" si="1"/>
        <v>2</v>
      </c>
      <c r="I55">
        <f t="shared" si="2"/>
        <v>20</v>
      </c>
      <c r="J55">
        <f t="shared" si="3"/>
        <v>1</v>
      </c>
      <c r="K55">
        <f t="shared" si="4"/>
        <v>2014</v>
      </c>
      <c r="M55">
        <v>2</v>
      </c>
      <c r="N55" t="str">
        <f>VLOOKUP(M55,'Cadastro Vendedores'!A:H,2,2)</f>
        <v>Luis</v>
      </c>
      <c r="O55" s="2"/>
      <c r="P55" s="16">
        <v>3400</v>
      </c>
      <c r="Q55" s="2">
        <f>VLOOKUP(B55,'Cadastro Produtos'!A:F,5,2)</f>
        <v>21</v>
      </c>
      <c r="R55" s="14">
        <f t="shared" si="0"/>
        <v>71400</v>
      </c>
    </row>
    <row r="56" spans="1:18" x14ac:dyDescent="0.25">
      <c r="A56">
        <v>55</v>
      </c>
      <c r="B56">
        <v>1</v>
      </c>
      <c r="C56" t="str">
        <f>VLOOKUP(B56,'Cadastro Produtos'!A:E,2,2)</f>
        <v>Limonada Alfa com Açúcar 500 ml</v>
      </c>
      <c r="D56">
        <v>4</v>
      </c>
      <c r="E56" t="str">
        <f>VLOOKUP(D56,'Cadatro Clientes'!A:O,2,2)</f>
        <v>Limão Carioca e Cia</v>
      </c>
      <c r="F56" t="str">
        <f>VLOOKUP(D56,'Cadatro Clientes'!A:O,9,2)</f>
        <v>Sudeste</v>
      </c>
      <c r="G56" s="15">
        <v>41660</v>
      </c>
      <c r="H56">
        <f t="shared" si="1"/>
        <v>3</v>
      </c>
      <c r="I56">
        <f t="shared" si="2"/>
        <v>21</v>
      </c>
      <c r="J56">
        <f t="shared" si="3"/>
        <v>1</v>
      </c>
      <c r="K56">
        <f t="shared" si="4"/>
        <v>2014</v>
      </c>
      <c r="M56">
        <v>9</v>
      </c>
      <c r="N56" t="str">
        <f>VLOOKUP(M56,'Cadastro Vendedores'!A:H,2,2)</f>
        <v>Adriana</v>
      </c>
      <c r="O56" s="2"/>
      <c r="P56" s="16">
        <v>5500</v>
      </c>
      <c r="Q56" s="2">
        <f>VLOOKUP(B56,'Cadastro Produtos'!A:F,5,2)</f>
        <v>8.5</v>
      </c>
      <c r="R56" s="14">
        <f t="shared" si="0"/>
        <v>46750</v>
      </c>
    </row>
    <row r="57" spans="1:18" x14ac:dyDescent="0.25">
      <c r="A57">
        <v>56</v>
      </c>
      <c r="B57">
        <v>8</v>
      </c>
      <c r="C57" t="str">
        <f>VLOOKUP(B57,'Cadastro Produtos'!A:E,2,2)</f>
        <v>Limonada Beta Zero 1 L</v>
      </c>
      <c r="D57">
        <v>11</v>
      </c>
      <c r="E57" t="str">
        <f>VLOOKUP(D57,'Cadatro Clientes'!A:O,2,2)</f>
        <v>Red Lemon</v>
      </c>
      <c r="F57" t="str">
        <f>VLOOKUP(D57,'Cadatro Clientes'!A:O,9,2)</f>
        <v>Sul</v>
      </c>
      <c r="G57" s="15">
        <v>41662</v>
      </c>
      <c r="H57">
        <f t="shared" si="1"/>
        <v>5</v>
      </c>
      <c r="I57">
        <f t="shared" si="2"/>
        <v>23</v>
      </c>
      <c r="J57">
        <f t="shared" si="3"/>
        <v>1</v>
      </c>
      <c r="K57">
        <f t="shared" si="4"/>
        <v>2014</v>
      </c>
      <c r="M57">
        <v>3</v>
      </c>
      <c r="N57" t="str">
        <f>VLOOKUP(M57,'Cadastro Vendedores'!A:H,2,2)</f>
        <v>Antônia</v>
      </c>
      <c r="O57" s="2"/>
      <c r="P57" s="16">
        <v>3400</v>
      </c>
      <c r="Q57" s="2">
        <f>VLOOKUP(B57,'Cadastro Produtos'!A:F,5,2)</f>
        <v>12</v>
      </c>
      <c r="R57" s="14">
        <f t="shared" si="0"/>
        <v>40800</v>
      </c>
    </row>
    <row r="58" spans="1:18" x14ac:dyDescent="0.25">
      <c r="A58">
        <v>57</v>
      </c>
      <c r="B58">
        <v>4</v>
      </c>
      <c r="C58" t="str">
        <f>VLOOKUP(B58,'Cadastro Produtos'!A:E,2,2)</f>
        <v>Limonada Beta Zero 500 ml</v>
      </c>
      <c r="D58">
        <v>7</v>
      </c>
      <c r="E58" t="str">
        <f>VLOOKUP(D58,'Cadatro Clientes'!A:O,2,2)</f>
        <v>Limo</v>
      </c>
      <c r="F58" t="str">
        <f>VLOOKUP(D58,'Cadatro Clientes'!A:O,9,2)</f>
        <v>Centro-Oeste</v>
      </c>
      <c r="G58" s="15">
        <v>41662</v>
      </c>
      <c r="H58">
        <f t="shared" si="1"/>
        <v>5</v>
      </c>
      <c r="I58">
        <f t="shared" si="2"/>
        <v>23</v>
      </c>
      <c r="J58">
        <f t="shared" si="3"/>
        <v>1</v>
      </c>
      <c r="K58">
        <f t="shared" si="4"/>
        <v>2014</v>
      </c>
      <c r="M58">
        <v>2</v>
      </c>
      <c r="N58" t="str">
        <f>VLOOKUP(M58,'Cadastro Vendedores'!A:H,2,2)</f>
        <v>Luis</v>
      </c>
      <c r="O58" s="2"/>
      <c r="P58" s="16">
        <v>4100</v>
      </c>
      <c r="Q58" s="2">
        <f>VLOOKUP(B58,'Cadastro Produtos'!A:F,5,2)</f>
        <v>7</v>
      </c>
      <c r="R58" s="14">
        <f t="shared" si="0"/>
        <v>28700</v>
      </c>
    </row>
    <row r="59" spans="1:18" x14ac:dyDescent="0.25">
      <c r="A59">
        <v>58</v>
      </c>
      <c r="B59">
        <v>4</v>
      </c>
      <c r="C59" t="str">
        <f>VLOOKUP(B59,'Cadastro Produtos'!A:E,2,2)</f>
        <v>Limonada Beta Zero 500 ml</v>
      </c>
      <c r="D59">
        <v>5</v>
      </c>
      <c r="E59" t="str">
        <f>VLOOKUP(D59,'Cadatro Clientes'!A:O,2,2)</f>
        <v>Axé com Limão</v>
      </c>
      <c r="F59" t="str">
        <f>VLOOKUP(D59,'Cadatro Clientes'!A:O,9,2)</f>
        <v>Nordeste</v>
      </c>
      <c r="G59" s="15">
        <v>41662</v>
      </c>
      <c r="H59">
        <f t="shared" si="1"/>
        <v>5</v>
      </c>
      <c r="I59">
        <f t="shared" si="2"/>
        <v>23</v>
      </c>
      <c r="J59">
        <f t="shared" si="3"/>
        <v>1</v>
      </c>
      <c r="K59">
        <f t="shared" si="4"/>
        <v>2014</v>
      </c>
      <c r="M59">
        <v>2</v>
      </c>
      <c r="N59" t="str">
        <f>VLOOKUP(M59,'Cadastro Vendedores'!A:H,2,2)</f>
        <v>Luis</v>
      </c>
      <c r="O59" s="2"/>
      <c r="P59" s="16">
        <v>6200</v>
      </c>
      <c r="Q59" s="2">
        <f>VLOOKUP(B59,'Cadastro Produtos'!A:F,5,2)</f>
        <v>7</v>
      </c>
      <c r="R59" s="14">
        <f t="shared" si="0"/>
        <v>43400</v>
      </c>
    </row>
    <row r="60" spans="1:18" x14ac:dyDescent="0.25">
      <c r="A60">
        <v>59</v>
      </c>
      <c r="B60">
        <v>7</v>
      </c>
      <c r="C60" t="str">
        <f>VLOOKUP(B60,'Cadastro Produtos'!A:E,2,2)</f>
        <v>Limonada Alfa Zero 1 L</v>
      </c>
      <c r="D60">
        <v>5</v>
      </c>
      <c r="E60" t="str">
        <f>VLOOKUP(D60,'Cadatro Clientes'!A:O,2,2)</f>
        <v>Axé com Limão</v>
      </c>
      <c r="F60" t="str">
        <f>VLOOKUP(D60,'Cadatro Clientes'!A:O,9,2)</f>
        <v>Nordeste</v>
      </c>
      <c r="G60" s="15">
        <v>41663</v>
      </c>
      <c r="H60">
        <f t="shared" si="1"/>
        <v>6</v>
      </c>
      <c r="I60">
        <f t="shared" si="2"/>
        <v>24</v>
      </c>
      <c r="J60">
        <f t="shared" si="3"/>
        <v>1</v>
      </c>
      <c r="K60">
        <f t="shared" si="4"/>
        <v>2014</v>
      </c>
      <c r="M60">
        <v>2</v>
      </c>
      <c r="N60" t="str">
        <f>VLOOKUP(M60,'Cadastro Vendedores'!A:H,2,2)</f>
        <v>Luis</v>
      </c>
      <c r="O60" s="2"/>
      <c r="P60" s="16">
        <v>1500</v>
      </c>
      <c r="Q60" s="2">
        <f>VLOOKUP(B60,'Cadastro Produtos'!A:F,5,2)</f>
        <v>15</v>
      </c>
      <c r="R60" s="14">
        <f t="shared" si="0"/>
        <v>22500</v>
      </c>
    </row>
    <row r="61" spans="1:18" x14ac:dyDescent="0.25">
      <c r="A61">
        <v>60</v>
      </c>
      <c r="B61">
        <v>8</v>
      </c>
      <c r="C61" t="str">
        <f>VLOOKUP(B61,'Cadastro Produtos'!A:E,2,2)</f>
        <v>Limonada Beta Zero 1 L</v>
      </c>
      <c r="D61">
        <v>18</v>
      </c>
      <c r="E61" t="str">
        <f>VLOOKUP(D61,'Cadatro Clientes'!A:O,2,2)</f>
        <v>Rio Branco Limonada Ltda</v>
      </c>
      <c r="F61" t="str">
        <f>VLOOKUP(D61,'Cadatro Clientes'!A:O,9,2)</f>
        <v>Norte</v>
      </c>
      <c r="G61" s="15">
        <v>41663</v>
      </c>
      <c r="H61">
        <f t="shared" si="1"/>
        <v>6</v>
      </c>
      <c r="I61">
        <f t="shared" si="2"/>
        <v>24</v>
      </c>
      <c r="J61">
        <f t="shared" si="3"/>
        <v>1</v>
      </c>
      <c r="K61">
        <f t="shared" si="4"/>
        <v>2014</v>
      </c>
      <c r="M61">
        <v>3</v>
      </c>
      <c r="N61" t="str">
        <f>VLOOKUP(M61,'Cadastro Vendedores'!A:H,2,2)</f>
        <v>Antônia</v>
      </c>
      <c r="O61" s="2"/>
      <c r="P61" s="16">
        <v>1800</v>
      </c>
      <c r="Q61" s="2">
        <f>VLOOKUP(B61,'Cadastro Produtos'!A:F,5,2)</f>
        <v>12</v>
      </c>
      <c r="R61" s="14">
        <f t="shared" si="0"/>
        <v>21600</v>
      </c>
    </row>
    <row r="62" spans="1:18" x14ac:dyDescent="0.25">
      <c r="A62">
        <v>61</v>
      </c>
      <c r="B62">
        <v>9</v>
      </c>
      <c r="C62" t="str">
        <f>VLOOKUP(B62,'Cadastro Produtos'!A:E,2,2)</f>
        <v>Limonada Alfa com Hortelã e Açúcar 1 L</v>
      </c>
      <c r="D62">
        <v>16</v>
      </c>
      <c r="E62" t="str">
        <f>VLOOKUP(D62,'Cadatro Clientes'!A:O,2,2)</f>
        <v>Norte Suco</v>
      </c>
      <c r="F62" t="str">
        <f>VLOOKUP(D62,'Cadatro Clientes'!A:O,9,2)</f>
        <v>Nordeste</v>
      </c>
      <c r="G62" s="15">
        <v>41663</v>
      </c>
      <c r="H62">
        <f t="shared" si="1"/>
        <v>6</v>
      </c>
      <c r="I62">
        <f t="shared" si="2"/>
        <v>24</v>
      </c>
      <c r="J62">
        <f t="shared" si="3"/>
        <v>1</v>
      </c>
      <c r="K62">
        <f t="shared" si="4"/>
        <v>2014</v>
      </c>
      <c r="M62">
        <v>2</v>
      </c>
      <c r="N62" t="str">
        <f>VLOOKUP(M62,'Cadastro Vendedores'!A:H,2,2)</f>
        <v>Luis</v>
      </c>
      <c r="O62" s="2"/>
      <c r="P62" s="16">
        <v>2800</v>
      </c>
      <c r="Q62" s="2">
        <f>VLOOKUP(B62,'Cadastro Produtos'!A:F,5,2)</f>
        <v>17.5</v>
      </c>
      <c r="R62" s="14">
        <f t="shared" si="0"/>
        <v>49000</v>
      </c>
    </row>
    <row r="63" spans="1:18" x14ac:dyDescent="0.25">
      <c r="A63">
        <v>62</v>
      </c>
      <c r="B63">
        <v>1</v>
      </c>
      <c r="C63" t="str">
        <f>VLOOKUP(B63,'Cadastro Produtos'!A:E,2,2)</f>
        <v>Limonada Alfa com Açúcar 500 ml</v>
      </c>
      <c r="D63">
        <v>1</v>
      </c>
      <c r="E63" t="str">
        <f>VLOOKUP(D63,'Cadatro Clientes'!A:O,2,2)</f>
        <v>Meu Suco de Limão</v>
      </c>
      <c r="F63" t="str">
        <f>VLOOKUP(D63,'Cadatro Clientes'!A:O,9,2)</f>
        <v>Norte</v>
      </c>
      <c r="G63" s="15">
        <v>41664</v>
      </c>
      <c r="H63">
        <f t="shared" si="1"/>
        <v>7</v>
      </c>
      <c r="I63">
        <f t="shared" si="2"/>
        <v>25</v>
      </c>
      <c r="J63">
        <f t="shared" si="3"/>
        <v>1</v>
      </c>
      <c r="K63">
        <f t="shared" si="4"/>
        <v>2014</v>
      </c>
      <c r="M63">
        <v>2</v>
      </c>
      <c r="N63" t="str">
        <f>VLOOKUP(M63,'Cadastro Vendedores'!A:H,2,2)</f>
        <v>Luis</v>
      </c>
      <c r="O63" s="2"/>
      <c r="P63" s="16">
        <v>4800</v>
      </c>
      <c r="Q63" s="2">
        <f>VLOOKUP(B63,'Cadastro Produtos'!A:F,5,2)</f>
        <v>8.5</v>
      </c>
      <c r="R63" s="14">
        <f t="shared" si="0"/>
        <v>40800</v>
      </c>
    </row>
    <row r="64" spans="1:18" x14ac:dyDescent="0.25">
      <c r="A64">
        <v>63</v>
      </c>
      <c r="B64">
        <v>3</v>
      </c>
      <c r="C64" t="str">
        <f>VLOOKUP(B64,'Cadastro Produtos'!A:E,2,2)</f>
        <v>Limonada Alfa Zero 500 ml</v>
      </c>
      <c r="D64">
        <v>1</v>
      </c>
      <c r="E64" t="str">
        <f>VLOOKUP(D64,'Cadatro Clientes'!A:O,2,2)</f>
        <v>Meu Suco de Limão</v>
      </c>
      <c r="F64" t="str">
        <f>VLOOKUP(D64,'Cadatro Clientes'!A:O,9,2)</f>
        <v>Norte</v>
      </c>
      <c r="G64" s="15">
        <v>41665</v>
      </c>
      <c r="H64">
        <f t="shared" si="1"/>
        <v>1</v>
      </c>
      <c r="I64">
        <f t="shared" si="2"/>
        <v>26</v>
      </c>
      <c r="J64">
        <f t="shared" si="3"/>
        <v>1</v>
      </c>
      <c r="K64">
        <f t="shared" si="4"/>
        <v>2014</v>
      </c>
      <c r="M64">
        <v>8</v>
      </c>
      <c r="N64" t="str">
        <f>VLOOKUP(M64,'Cadastro Vendedores'!A:H,2,2)</f>
        <v>Sérgio</v>
      </c>
      <c r="O64" s="2"/>
      <c r="P64" s="16">
        <v>4200</v>
      </c>
      <c r="Q64" s="2">
        <f>VLOOKUP(B64,'Cadastro Produtos'!A:F,5,2)</f>
        <v>9</v>
      </c>
      <c r="R64" s="14">
        <f t="shared" si="0"/>
        <v>37800</v>
      </c>
    </row>
    <row r="65" spans="1:18" x14ac:dyDescent="0.25">
      <c r="A65">
        <v>64</v>
      </c>
      <c r="B65">
        <v>2</v>
      </c>
      <c r="C65" t="str">
        <f>VLOOKUP(B65,'Cadastro Produtos'!A:E,2,2)</f>
        <v>Limonada Beta com Açúcar 500 ml</v>
      </c>
      <c r="D65">
        <v>1</v>
      </c>
      <c r="E65" t="str">
        <f>VLOOKUP(D65,'Cadatro Clientes'!A:O,2,2)</f>
        <v>Meu Suco de Limão</v>
      </c>
      <c r="F65" t="str">
        <f>VLOOKUP(D65,'Cadatro Clientes'!A:O,9,2)</f>
        <v>Norte</v>
      </c>
      <c r="G65" s="15">
        <v>41666</v>
      </c>
      <c r="H65">
        <f t="shared" si="1"/>
        <v>2</v>
      </c>
      <c r="I65">
        <f t="shared" si="2"/>
        <v>27</v>
      </c>
      <c r="J65">
        <f t="shared" si="3"/>
        <v>1</v>
      </c>
      <c r="K65">
        <f t="shared" si="4"/>
        <v>2014</v>
      </c>
      <c r="M65">
        <v>4</v>
      </c>
      <c r="N65" t="str">
        <f>VLOOKUP(M65,'Cadastro Vendedores'!A:H,2,2)</f>
        <v>José</v>
      </c>
      <c r="O65" s="2"/>
      <c r="P65" s="16">
        <v>6700</v>
      </c>
      <c r="Q65" s="2">
        <f>VLOOKUP(B65,'Cadastro Produtos'!A:F,5,2)</f>
        <v>6.5</v>
      </c>
      <c r="R65" s="14">
        <f t="shared" si="0"/>
        <v>43550</v>
      </c>
    </row>
    <row r="66" spans="1:18" x14ac:dyDescent="0.25">
      <c r="A66">
        <v>65</v>
      </c>
      <c r="B66">
        <v>2</v>
      </c>
      <c r="C66" t="str">
        <f>VLOOKUP(B66,'Cadastro Produtos'!A:E,2,2)</f>
        <v>Limonada Beta com Açúcar 500 ml</v>
      </c>
      <c r="D66">
        <v>11</v>
      </c>
      <c r="E66" t="str">
        <f>VLOOKUP(D66,'Cadatro Clientes'!A:O,2,2)</f>
        <v>Red Lemon</v>
      </c>
      <c r="F66" t="str">
        <f>VLOOKUP(D66,'Cadatro Clientes'!A:O,9,2)</f>
        <v>Sul</v>
      </c>
      <c r="G66" s="15">
        <v>41666</v>
      </c>
      <c r="H66">
        <f t="shared" si="1"/>
        <v>2</v>
      </c>
      <c r="I66">
        <f t="shared" si="2"/>
        <v>27</v>
      </c>
      <c r="J66">
        <f t="shared" si="3"/>
        <v>1</v>
      </c>
      <c r="K66">
        <f t="shared" si="4"/>
        <v>2014</v>
      </c>
      <c r="M66">
        <v>4</v>
      </c>
      <c r="N66" t="str">
        <f>VLOOKUP(M66,'Cadastro Vendedores'!A:H,2,2)</f>
        <v>José</v>
      </c>
      <c r="O66" s="2"/>
      <c r="P66" s="16">
        <v>5300</v>
      </c>
      <c r="Q66" s="2">
        <f>VLOOKUP(B66,'Cadastro Produtos'!A:F,5,2)</f>
        <v>6.5</v>
      </c>
      <c r="R66" s="14">
        <f t="shared" ref="R66:R129" si="5">Q66*P66</f>
        <v>34450</v>
      </c>
    </row>
    <row r="67" spans="1:18" x14ac:dyDescent="0.25">
      <c r="A67">
        <v>66</v>
      </c>
      <c r="B67">
        <v>7</v>
      </c>
      <c r="C67" t="str">
        <f>VLOOKUP(B67,'Cadastro Produtos'!A:E,2,2)</f>
        <v>Limonada Alfa Zero 1 L</v>
      </c>
      <c r="D67">
        <v>17</v>
      </c>
      <c r="E67" t="str">
        <f>VLOOKUP(D67,'Cadatro Clientes'!A:O,2,2)</f>
        <v>Aracasuco</v>
      </c>
      <c r="F67" t="str">
        <f>VLOOKUP(D67,'Cadatro Clientes'!A:O,9,2)</f>
        <v>Nordeste</v>
      </c>
      <c r="G67" s="15">
        <v>41666</v>
      </c>
      <c r="H67">
        <f t="shared" ref="H67:H130" si="6">WEEKDAY(G67)</f>
        <v>2</v>
      </c>
      <c r="I67">
        <f t="shared" ref="I67:I130" si="7">DAY(G67)</f>
        <v>27</v>
      </c>
      <c r="J67">
        <f t="shared" ref="J67:J130" si="8">MONTH(G67)</f>
        <v>1</v>
      </c>
      <c r="K67">
        <f t="shared" ref="K67:K130" si="9">YEAR(G67)</f>
        <v>2014</v>
      </c>
      <c r="M67">
        <v>6</v>
      </c>
      <c r="N67" t="str">
        <f>VLOOKUP(M67,'Cadastro Vendedores'!A:H,2,2)</f>
        <v>Antônia</v>
      </c>
      <c r="O67" s="2"/>
      <c r="P67" s="16">
        <v>2400</v>
      </c>
      <c r="Q67" s="2">
        <f>VLOOKUP(B67,'Cadastro Produtos'!A:F,5,2)</f>
        <v>15</v>
      </c>
      <c r="R67" s="14">
        <f t="shared" si="5"/>
        <v>36000</v>
      </c>
    </row>
    <row r="68" spans="1:18" x14ac:dyDescent="0.25">
      <c r="A68">
        <v>67</v>
      </c>
      <c r="B68">
        <v>3</v>
      </c>
      <c r="C68" t="str">
        <f>VLOOKUP(B68,'Cadastro Produtos'!A:E,2,2)</f>
        <v>Limonada Alfa Zero 500 ml</v>
      </c>
      <c r="D68">
        <v>17</v>
      </c>
      <c r="E68" t="str">
        <f>VLOOKUP(D68,'Cadatro Clientes'!A:O,2,2)</f>
        <v>Aracasuco</v>
      </c>
      <c r="F68" t="str">
        <f>VLOOKUP(D68,'Cadatro Clientes'!A:O,9,2)</f>
        <v>Nordeste</v>
      </c>
      <c r="G68" s="15">
        <v>41666</v>
      </c>
      <c r="H68">
        <f t="shared" si="6"/>
        <v>2</v>
      </c>
      <c r="I68">
        <f t="shared" si="7"/>
        <v>27</v>
      </c>
      <c r="J68">
        <f t="shared" si="8"/>
        <v>1</v>
      </c>
      <c r="K68">
        <f t="shared" si="9"/>
        <v>2014</v>
      </c>
      <c r="M68">
        <v>9</v>
      </c>
      <c r="N68" t="str">
        <f>VLOOKUP(M68,'Cadastro Vendedores'!A:H,2,2)</f>
        <v>Adriana</v>
      </c>
      <c r="O68" s="2"/>
      <c r="P68" s="16">
        <v>2000</v>
      </c>
      <c r="Q68" s="2">
        <f>VLOOKUP(B68,'Cadastro Produtos'!A:F,5,2)</f>
        <v>9</v>
      </c>
      <c r="R68" s="14">
        <f t="shared" si="5"/>
        <v>18000</v>
      </c>
    </row>
    <row r="69" spans="1:18" x14ac:dyDescent="0.25">
      <c r="A69">
        <v>68</v>
      </c>
      <c r="B69">
        <v>9</v>
      </c>
      <c r="C69" t="str">
        <f>VLOOKUP(B69,'Cadastro Produtos'!A:E,2,2)</f>
        <v>Limonada Alfa com Hortelã e Açúcar 1 L</v>
      </c>
      <c r="D69">
        <v>13</v>
      </c>
      <c r="E69" t="str">
        <f>VLOOKUP(D69,'Cadatro Clientes'!A:O,2,2)</f>
        <v>Monster Lemon</v>
      </c>
      <c r="F69" t="str">
        <f>VLOOKUP(D69,'Cadatro Clientes'!A:O,9,2)</f>
        <v>Nordeste</v>
      </c>
      <c r="G69" s="15">
        <v>41666</v>
      </c>
      <c r="H69">
        <f t="shared" si="6"/>
        <v>2</v>
      </c>
      <c r="I69">
        <f t="shared" si="7"/>
        <v>27</v>
      </c>
      <c r="J69">
        <f t="shared" si="8"/>
        <v>1</v>
      </c>
      <c r="K69">
        <f t="shared" si="9"/>
        <v>2014</v>
      </c>
      <c r="M69">
        <v>3</v>
      </c>
      <c r="N69" t="str">
        <f>VLOOKUP(M69,'Cadastro Vendedores'!A:H,2,2)</f>
        <v>Antônia</v>
      </c>
      <c r="O69" s="2"/>
      <c r="P69" s="16">
        <v>1600</v>
      </c>
      <c r="Q69" s="2">
        <f>VLOOKUP(B69,'Cadastro Produtos'!A:F,5,2)</f>
        <v>17.5</v>
      </c>
      <c r="R69" s="14">
        <f t="shared" si="5"/>
        <v>28000</v>
      </c>
    </row>
    <row r="70" spans="1:18" x14ac:dyDescent="0.25">
      <c r="A70">
        <v>69</v>
      </c>
      <c r="B70">
        <v>9</v>
      </c>
      <c r="C70" t="str">
        <f>VLOOKUP(B70,'Cadastro Produtos'!A:E,2,2)</f>
        <v>Limonada Alfa com Hortelã e Açúcar 1 L</v>
      </c>
      <c r="D70">
        <v>4</v>
      </c>
      <c r="E70" t="str">
        <f>VLOOKUP(D70,'Cadatro Clientes'!A:O,2,2)</f>
        <v>Limão Carioca e Cia</v>
      </c>
      <c r="F70" t="str">
        <f>VLOOKUP(D70,'Cadatro Clientes'!A:O,9,2)</f>
        <v>Sudeste</v>
      </c>
      <c r="G70" s="15">
        <v>41667</v>
      </c>
      <c r="H70">
        <f t="shared" si="6"/>
        <v>3</v>
      </c>
      <c r="I70">
        <f t="shared" si="7"/>
        <v>28</v>
      </c>
      <c r="J70">
        <f t="shared" si="8"/>
        <v>1</v>
      </c>
      <c r="K70">
        <f t="shared" si="9"/>
        <v>2014</v>
      </c>
      <c r="M70">
        <v>9</v>
      </c>
      <c r="N70" t="str">
        <f>VLOOKUP(M70,'Cadastro Vendedores'!A:H,2,2)</f>
        <v>Adriana</v>
      </c>
      <c r="O70" s="2"/>
      <c r="P70" s="16">
        <v>2000</v>
      </c>
      <c r="Q70" s="2">
        <f>VLOOKUP(B70,'Cadastro Produtos'!A:F,5,2)</f>
        <v>17.5</v>
      </c>
      <c r="R70" s="14">
        <f t="shared" si="5"/>
        <v>35000</v>
      </c>
    </row>
    <row r="71" spans="1:18" x14ac:dyDescent="0.25">
      <c r="A71">
        <v>70</v>
      </c>
      <c r="B71">
        <v>9</v>
      </c>
      <c r="C71" t="str">
        <f>VLOOKUP(B71,'Cadastro Produtos'!A:E,2,2)</f>
        <v>Limonada Alfa com Hortelã e Açúcar 1 L</v>
      </c>
      <c r="D71">
        <v>8</v>
      </c>
      <c r="E71" t="str">
        <f>VLOOKUP(D71,'Cadatro Clientes'!A:O,2,2)</f>
        <v>Refresko</v>
      </c>
      <c r="F71" t="str">
        <f>VLOOKUP(D71,'Cadatro Clientes'!A:O,9,2)</f>
        <v>Sul</v>
      </c>
      <c r="G71" s="15">
        <v>41668</v>
      </c>
      <c r="H71">
        <f t="shared" si="6"/>
        <v>4</v>
      </c>
      <c r="I71">
        <f t="shared" si="7"/>
        <v>29</v>
      </c>
      <c r="J71">
        <f t="shared" si="8"/>
        <v>1</v>
      </c>
      <c r="K71">
        <f t="shared" si="9"/>
        <v>2014</v>
      </c>
      <c r="M71">
        <v>6</v>
      </c>
      <c r="N71" t="str">
        <f>VLOOKUP(M71,'Cadastro Vendedores'!A:H,2,2)</f>
        <v>Antônia</v>
      </c>
      <c r="O71" s="2"/>
      <c r="P71" s="16">
        <v>1100</v>
      </c>
      <c r="Q71" s="2">
        <f>VLOOKUP(B71,'Cadastro Produtos'!A:F,5,2)</f>
        <v>17.5</v>
      </c>
      <c r="R71" s="14">
        <f t="shared" si="5"/>
        <v>19250</v>
      </c>
    </row>
    <row r="72" spans="1:18" x14ac:dyDescent="0.25">
      <c r="A72">
        <v>71</v>
      </c>
      <c r="B72">
        <v>3</v>
      </c>
      <c r="C72" t="str">
        <f>VLOOKUP(B72,'Cadastro Produtos'!A:E,2,2)</f>
        <v>Limonada Alfa Zero 500 ml</v>
      </c>
      <c r="D72">
        <v>11</v>
      </c>
      <c r="E72" t="str">
        <f>VLOOKUP(D72,'Cadatro Clientes'!A:O,2,2)</f>
        <v>Red Lemon</v>
      </c>
      <c r="F72" t="str">
        <f>VLOOKUP(D72,'Cadatro Clientes'!A:O,9,2)</f>
        <v>Sul</v>
      </c>
      <c r="G72" s="15">
        <v>41668</v>
      </c>
      <c r="H72">
        <f t="shared" si="6"/>
        <v>4</v>
      </c>
      <c r="I72">
        <f t="shared" si="7"/>
        <v>29</v>
      </c>
      <c r="J72">
        <f t="shared" si="8"/>
        <v>1</v>
      </c>
      <c r="K72">
        <f t="shared" si="9"/>
        <v>2014</v>
      </c>
      <c r="M72">
        <v>3</v>
      </c>
      <c r="N72" t="str">
        <f>VLOOKUP(M72,'Cadastro Vendedores'!A:H,2,2)</f>
        <v>Antônia</v>
      </c>
      <c r="O72" s="2"/>
      <c r="P72" s="16">
        <v>7000</v>
      </c>
      <c r="Q72" s="2">
        <f>VLOOKUP(B72,'Cadastro Produtos'!A:F,5,2)</f>
        <v>9</v>
      </c>
      <c r="R72" s="14">
        <f t="shared" si="5"/>
        <v>63000</v>
      </c>
    </row>
    <row r="73" spans="1:18" x14ac:dyDescent="0.25">
      <c r="A73">
        <v>72</v>
      </c>
      <c r="B73">
        <v>1</v>
      </c>
      <c r="C73" t="str">
        <f>VLOOKUP(B73,'Cadastro Produtos'!A:E,2,2)</f>
        <v>Limonada Alfa com Açúcar 500 ml</v>
      </c>
      <c r="D73">
        <v>4</v>
      </c>
      <c r="E73" t="str">
        <f>VLOOKUP(D73,'Cadatro Clientes'!A:O,2,2)</f>
        <v>Limão Carioca e Cia</v>
      </c>
      <c r="F73" t="str">
        <f>VLOOKUP(D73,'Cadatro Clientes'!A:O,9,2)</f>
        <v>Sudeste</v>
      </c>
      <c r="G73" s="15">
        <v>41668</v>
      </c>
      <c r="H73">
        <f t="shared" si="6"/>
        <v>4</v>
      </c>
      <c r="I73">
        <f t="shared" si="7"/>
        <v>29</v>
      </c>
      <c r="J73">
        <f t="shared" si="8"/>
        <v>1</v>
      </c>
      <c r="K73">
        <f t="shared" si="9"/>
        <v>2014</v>
      </c>
      <c r="M73">
        <v>2</v>
      </c>
      <c r="N73" t="str">
        <f>VLOOKUP(M73,'Cadastro Vendedores'!A:H,2,2)</f>
        <v>Luis</v>
      </c>
      <c r="O73" s="2"/>
      <c r="P73" s="16">
        <v>1700</v>
      </c>
      <c r="Q73" s="2">
        <f>VLOOKUP(B73,'Cadastro Produtos'!A:F,5,2)</f>
        <v>8.5</v>
      </c>
      <c r="R73" s="14">
        <f t="shared" si="5"/>
        <v>14450</v>
      </c>
    </row>
    <row r="74" spans="1:18" x14ac:dyDescent="0.25">
      <c r="A74">
        <v>73</v>
      </c>
      <c r="B74">
        <v>5</v>
      </c>
      <c r="C74" t="str">
        <f>VLOOKUP(B74,'Cadastro Produtos'!A:E,2,2)</f>
        <v>Limonada Alfa com Açúcar 1 L</v>
      </c>
      <c r="D74">
        <v>5</v>
      </c>
      <c r="E74" t="str">
        <f>VLOOKUP(D74,'Cadatro Clientes'!A:O,2,2)</f>
        <v>Axé com Limão</v>
      </c>
      <c r="F74" t="str">
        <f>VLOOKUP(D74,'Cadatro Clientes'!A:O,9,2)</f>
        <v>Nordeste</v>
      </c>
      <c r="G74" s="15">
        <v>41669</v>
      </c>
      <c r="H74">
        <f t="shared" si="6"/>
        <v>5</v>
      </c>
      <c r="I74">
        <f t="shared" si="7"/>
        <v>30</v>
      </c>
      <c r="J74">
        <f t="shared" si="8"/>
        <v>1</v>
      </c>
      <c r="K74">
        <f t="shared" si="9"/>
        <v>2014</v>
      </c>
      <c r="M74">
        <v>9</v>
      </c>
      <c r="N74" t="str">
        <f>VLOOKUP(M74,'Cadastro Vendedores'!A:H,2,2)</f>
        <v>Adriana</v>
      </c>
      <c r="O74" s="2"/>
      <c r="P74" s="16">
        <v>1700</v>
      </c>
      <c r="Q74" s="2">
        <f>VLOOKUP(B74,'Cadastro Produtos'!A:F,5,2)</f>
        <v>15</v>
      </c>
      <c r="R74" s="14">
        <f t="shared" si="5"/>
        <v>25500</v>
      </c>
    </row>
    <row r="75" spans="1:18" x14ac:dyDescent="0.25">
      <c r="A75">
        <v>74</v>
      </c>
      <c r="B75">
        <v>10</v>
      </c>
      <c r="C75" t="str">
        <f>VLOOKUP(B75,'Cadastro Produtos'!A:E,2,2)</f>
        <v>Limonada Alfa com Hortelã Zero 1 L</v>
      </c>
      <c r="D75">
        <v>16</v>
      </c>
      <c r="E75" t="str">
        <f>VLOOKUP(D75,'Cadatro Clientes'!A:O,2,2)</f>
        <v>Norte Suco</v>
      </c>
      <c r="F75" t="str">
        <f>VLOOKUP(D75,'Cadatro Clientes'!A:O,9,2)</f>
        <v>Nordeste</v>
      </c>
      <c r="G75" s="15">
        <v>41669</v>
      </c>
      <c r="H75">
        <f t="shared" si="6"/>
        <v>5</v>
      </c>
      <c r="I75">
        <f t="shared" si="7"/>
        <v>30</v>
      </c>
      <c r="J75">
        <f t="shared" si="8"/>
        <v>1</v>
      </c>
      <c r="K75">
        <f t="shared" si="9"/>
        <v>2014</v>
      </c>
      <c r="M75">
        <v>6</v>
      </c>
      <c r="N75" t="str">
        <f>VLOOKUP(M75,'Cadastro Vendedores'!A:H,2,2)</f>
        <v>Antônia</v>
      </c>
      <c r="O75" s="2"/>
      <c r="P75" s="16">
        <v>1200</v>
      </c>
      <c r="Q75" s="2">
        <f>VLOOKUP(B75,'Cadastro Produtos'!A:F,5,2)</f>
        <v>21</v>
      </c>
      <c r="R75" s="14">
        <f t="shared" si="5"/>
        <v>25200</v>
      </c>
    </row>
    <row r="76" spans="1:18" x14ac:dyDescent="0.25">
      <c r="A76">
        <v>75</v>
      </c>
      <c r="B76">
        <v>6</v>
      </c>
      <c r="C76" t="str">
        <f>VLOOKUP(B76,'Cadastro Produtos'!A:E,2,2)</f>
        <v>Limonada Beta com Açúcar 1 L</v>
      </c>
      <c r="D76">
        <v>2</v>
      </c>
      <c r="E76" t="str">
        <f>VLOOKUP(D76,'Cadatro Clientes'!A:O,2,2)</f>
        <v>Limão S/A</v>
      </c>
      <c r="F76" t="str">
        <f>VLOOKUP(D76,'Cadatro Clientes'!A:O,9,2)</f>
        <v>Centro-Oeste</v>
      </c>
      <c r="G76" s="15">
        <v>41670</v>
      </c>
      <c r="H76">
        <f t="shared" si="6"/>
        <v>6</v>
      </c>
      <c r="I76">
        <f t="shared" si="7"/>
        <v>31</v>
      </c>
      <c r="J76">
        <f t="shared" si="8"/>
        <v>1</v>
      </c>
      <c r="K76">
        <f t="shared" si="9"/>
        <v>2014</v>
      </c>
      <c r="M76">
        <v>2</v>
      </c>
      <c r="N76" t="str">
        <f>VLOOKUP(M76,'Cadastro Vendedores'!A:H,2,2)</f>
        <v>Luis</v>
      </c>
      <c r="O76" s="2"/>
      <c r="P76" s="16">
        <v>1500</v>
      </c>
      <c r="Q76" s="2">
        <f>VLOOKUP(B76,'Cadastro Produtos'!A:F,5,2)</f>
        <v>12</v>
      </c>
      <c r="R76" s="14">
        <f t="shared" si="5"/>
        <v>18000</v>
      </c>
    </row>
    <row r="77" spans="1:18" x14ac:dyDescent="0.25">
      <c r="A77">
        <v>76</v>
      </c>
      <c r="B77">
        <v>8</v>
      </c>
      <c r="C77" t="str">
        <f>VLOOKUP(B77,'Cadastro Produtos'!A:E,2,2)</f>
        <v>Limonada Beta Zero 1 L</v>
      </c>
      <c r="D77">
        <v>6</v>
      </c>
      <c r="E77" t="str">
        <f>VLOOKUP(D77,'Cadatro Clientes'!A:O,2,2)</f>
        <v>Lemonade</v>
      </c>
      <c r="F77" t="str">
        <f>VLOOKUP(D77,'Cadatro Clientes'!A:O,9,2)</f>
        <v>Norte</v>
      </c>
      <c r="G77" s="15">
        <v>41670</v>
      </c>
      <c r="H77">
        <f t="shared" si="6"/>
        <v>6</v>
      </c>
      <c r="I77">
        <f t="shared" si="7"/>
        <v>31</v>
      </c>
      <c r="J77">
        <f t="shared" si="8"/>
        <v>1</v>
      </c>
      <c r="K77">
        <f t="shared" si="9"/>
        <v>2014</v>
      </c>
      <c r="M77">
        <v>2</v>
      </c>
      <c r="N77" t="str">
        <f>VLOOKUP(M77,'Cadastro Vendedores'!A:H,2,2)</f>
        <v>Luis</v>
      </c>
      <c r="O77" s="2"/>
      <c r="P77" s="16">
        <v>1900</v>
      </c>
      <c r="Q77" s="2">
        <f>VLOOKUP(B77,'Cadastro Produtos'!A:F,5,2)</f>
        <v>12</v>
      </c>
      <c r="R77" s="14">
        <f t="shared" si="5"/>
        <v>22800</v>
      </c>
    </row>
    <row r="78" spans="1:18" x14ac:dyDescent="0.25">
      <c r="A78">
        <v>77</v>
      </c>
      <c r="B78">
        <v>10</v>
      </c>
      <c r="C78" t="str">
        <f>VLOOKUP(B78,'Cadastro Produtos'!A:E,2,2)</f>
        <v>Limonada Alfa com Hortelã Zero 1 L</v>
      </c>
      <c r="D78">
        <v>19</v>
      </c>
      <c r="E78" t="str">
        <f>VLOOKUP(D78,'Cadatro Clientes'!A:O,2,2)</f>
        <v>Lima Limão</v>
      </c>
      <c r="F78" t="str">
        <f>VLOOKUP(D78,'Cadatro Clientes'!A:O,9,2)</f>
        <v>Sudeste</v>
      </c>
      <c r="G78" s="15">
        <v>41670</v>
      </c>
      <c r="H78">
        <f t="shared" si="6"/>
        <v>6</v>
      </c>
      <c r="I78">
        <f t="shared" si="7"/>
        <v>31</v>
      </c>
      <c r="J78">
        <f t="shared" si="8"/>
        <v>1</v>
      </c>
      <c r="K78">
        <f t="shared" si="9"/>
        <v>2014</v>
      </c>
      <c r="M78">
        <v>9</v>
      </c>
      <c r="N78" t="str">
        <f>VLOOKUP(M78,'Cadastro Vendedores'!A:H,2,2)</f>
        <v>Adriana</v>
      </c>
      <c r="O78" s="2"/>
      <c r="P78" s="16">
        <v>2900</v>
      </c>
      <c r="Q78" s="2">
        <f>VLOOKUP(B78,'Cadastro Produtos'!A:F,5,2)</f>
        <v>21</v>
      </c>
      <c r="R78" s="14">
        <f t="shared" si="5"/>
        <v>60900</v>
      </c>
    </row>
    <row r="79" spans="1:18" x14ac:dyDescent="0.25">
      <c r="A79">
        <v>78</v>
      </c>
      <c r="B79">
        <v>3</v>
      </c>
      <c r="C79" t="str">
        <f>VLOOKUP(B79,'Cadastro Produtos'!A:E,2,2)</f>
        <v>Limonada Alfa Zero 500 ml</v>
      </c>
      <c r="D79">
        <v>11</v>
      </c>
      <c r="E79" t="str">
        <f>VLOOKUP(D79,'Cadatro Clientes'!A:O,2,2)</f>
        <v>Red Lemon</v>
      </c>
      <c r="F79" t="str">
        <f>VLOOKUP(D79,'Cadatro Clientes'!A:O,9,2)</f>
        <v>Sul</v>
      </c>
      <c r="G79" s="15">
        <v>41671</v>
      </c>
      <c r="H79">
        <f t="shared" si="6"/>
        <v>7</v>
      </c>
      <c r="I79">
        <f t="shared" si="7"/>
        <v>1</v>
      </c>
      <c r="J79">
        <f t="shared" si="8"/>
        <v>2</v>
      </c>
      <c r="K79">
        <f t="shared" si="9"/>
        <v>2014</v>
      </c>
      <c r="M79">
        <v>8</v>
      </c>
      <c r="N79" t="str">
        <f>VLOOKUP(M79,'Cadastro Vendedores'!A:H,2,2)</f>
        <v>Sérgio</v>
      </c>
      <c r="O79" s="2"/>
      <c r="P79" s="16">
        <v>2300</v>
      </c>
      <c r="Q79" s="2">
        <f>VLOOKUP(B79,'Cadastro Produtos'!A:F,5,2)</f>
        <v>9</v>
      </c>
      <c r="R79" s="14">
        <f t="shared" si="5"/>
        <v>20700</v>
      </c>
    </row>
    <row r="80" spans="1:18" x14ac:dyDescent="0.25">
      <c r="A80">
        <v>79</v>
      </c>
      <c r="B80">
        <v>7</v>
      </c>
      <c r="C80" t="str">
        <f>VLOOKUP(B80,'Cadastro Produtos'!A:E,2,2)</f>
        <v>Limonada Alfa Zero 1 L</v>
      </c>
      <c r="D80">
        <v>1</v>
      </c>
      <c r="E80" t="str">
        <f>VLOOKUP(D80,'Cadatro Clientes'!A:O,2,2)</f>
        <v>Meu Suco de Limão</v>
      </c>
      <c r="F80" t="str">
        <f>VLOOKUP(D80,'Cadatro Clientes'!A:O,9,2)</f>
        <v>Norte</v>
      </c>
      <c r="G80" s="15">
        <v>41672</v>
      </c>
      <c r="H80">
        <f t="shared" si="6"/>
        <v>1</v>
      </c>
      <c r="I80">
        <f t="shared" si="7"/>
        <v>2</v>
      </c>
      <c r="J80">
        <f t="shared" si="8"/>
        <v>2</v>
      </c>
      <c r="K80">
        <f t="shared" si="9"/>
        <v>2014</v>
      </c>
      <c r="M80">
        <v>2</v>
      </c>
      <c r="N80" t="str">
        <f>VLOOKUP(M80,'Cadastro Vendedores'!A:H,2,2)</f>
        <v>Luis</v>
      </c>
      <c r="O80" s="2"/>
      <c r="P80" s="16">
        <v>3600</v>
      </c>
      <c r="Q80" s="2">
        <f>VLOOKUP(B80,'Cadastro Produtos'!A:F,5,2)</f>
        <v>15</v>
      </c>
      <c r="R80" s="14">
        <f t="shared" si="5"/>
        <v>54000</v>
      </c>
    </row>
    <row r="81" spans="1:18" x14ac:dyDescent="0.25">
      <c r="A81">
        <v>80</v>
      </c>
      <c r="B81">
        <v>10</v>
      </c>
      <c r="C81" t="str">
        <f>VLOOKUP(B81,'Cadastro Produtos'!A:E,2,2)</f>
        <v>Limonada Alfa com Hortelã Zero 1 L</v>
      </c>
      <c r="D81">
        <v>8</v>
      </c>
      <c r="E81" t="str">
        <f>VLOOKUP(D81,'Cadatro Clientes'!A:O,2,2)</f>
        <v>Refresko</v>
      </c>
      <c r="F81" t="str">
        <f>VLOOKUP(D81,'Cadatro Clientes'!A:O,9,2)</f>
        <v>Sul</v>
      </c>
      <c r="G81" s="15">
        <v>41672</v>
      </c>
      <c r="H81">
        <f t="shared" si="6"/>
        <v>1</v>
      </c>
      <c r="I81">
        <f t="shared" si="7"/>
        <v>2</v>
      </c>
      <c r="J81">
        <f t="shared" si="8"/>
        <v>2</v>
      </c>
      <c r="K81">
        <f t="shared" si="9"/>
        <v>2014</v>
      </c>
      <c r="M81">
        <v>2</v>
      </c>
      <c r="N81" t="str">
        <f>VLOOKUP(M81,'Cadastro Vendedores'!A:H,2,2)</f>
        <v>Luis</v>
      </c>
      <c r="O81" s="2"/>
      <c r="P81" s="16">
        <v>1200</v>
      </c>
      <c r="Q81" s="2">
        <f>VLOOKUP(B81,'Cadastro Produtos'!A:F,5,2)</f>
        <v>21</v>
      </c>
      <c r="R81" s="14">
        <f t="shared" si="5"/>
        <v>25200</v>
      </c>
    </row>
    <row r="82" spans="1:18" x14ac:dyDescent="0.25">
      <c r="A82">
        <v>81</v>
      </c>
      <c r="B82">
        <v>7</v>
      </c>
      <c r="C82" t="str">
        <f>VLOOKUP(B82,'Cadastro Produtos'!A:E,2,2)</f>
        <v>Limonada Alfa Zero 1 L</v>
      </c>
      <c r="D82">
        <v>6</v>
      </c>
      <c r="E82" t="str">
        <f>VLOOKUP(D82,'Cadatro Clientes'!A:O,2,2)</f>
        <v>Lemonade</v>
      </c>
      <c r="F82" t="str">
        <f>VLOOKUP(D82,'Cadatro Clientes'!A:O,9,2)</f>
        <v>Norte</v>
      </c>
      <c r="G82" s="15">
        <v>41674</v>
      </c>
      <c r="H82">
        <f t="shared" si="6"/>
        <v>3</v>
      </c>
      <c r="I82">
        <f t="shared" si="7"/>
        <v>4</v>
      </c>
      <c r="J82">
        <f t="shared" si="8"/>
        <v>2</v>
      </c>
      <c r="K82">
        <f t="shared" si="9"/>
        <v>2014</v>
      </c>
      <c r="M82">
        <v>2</v>
      </c>
      <c r="N82" t="str">
        <f>VLOOKUP(M82,'Cadastro Vendedores'!A:H,2,2)</f>
        <v>Luis</v>
      </c>
      <c r="O82" s="2"/>
      <c r="P82" s="16">
        <v>1000</v>
      </c>
      <c r="Q82" s="2">
        <f>VLOOKUP(B82,'Cadastro Produtos'!A:F,5,2)</f>
        <v>15</v>
      </c>
      <c r="R82" s="14">
        <f t="shared" si="5"/>
        <v>15000</v>
      </c>
    </row>
    <row r="83" spans="1:18" x14ac:dyDescent="0.25">
      <c r="A83">
        <v>82</v>
      </c>
      <c r="B83">
        <v>6</v>
      </c>
      <c r="C83" t="str">
        <f>VLOOKUP(B83,'Cadastro Produtos'!A:E,2,2)</f>
        <v>Limonada Beta com Açúcar 1 L</v>
      </c>
      <c r="D83">
        <v>14</v>
      </c>
      <c r="E83" t="str">
        <f>VLOOKUP(D83,'Cadatro Clientes'!A:O,2,2)</f>
        <v>Sprite</v>
      </c>
      <c r="F83" t="str">
        <f>VLOOKUP(D83,'Cadatro Clientes'!A:O,9,2)</f>
        <v>Norte</v>
      </c>
      <c r="G83" s="15">
        <v>41674</v>
      </c>
      <c r="H83">
        <f t="shared" si="6"/>
        <v>3</v>
      </c>
      <c r="I83">
        <f t="shared" si="7"/>
        <v>4</v>
      </c>
      <c r="J83">
        <f t="shared" si="8"/>
        <v>2</v>
      </c>
      <c r="K83">
        <f t="shared" si="9"/>
        <v>2014</v>
      </c>
      <c r="M83">
        <v>6</v>
      </c>
      <c r="N83" t="str">
        <f>VLOOKUP(M83,'Cadastro Vendedores'!A:H,2,2)</f>
        <v>Antônia</v>
      </c>
      <c r="O83" s="2"/>
      <c r="P83" s="16">
        <v>2600</v>
      </c>
      <c r="Q83" s="2">
        <f>VLOOKUP(B83,'Cadastro Produtos'!A:F,5,2)</f>
        <v>12</v>
      </c>
      <c r="R83" s="14">
        <f t="shared" si="5"/>
        <v>31200</v>
      </c>
    </row>
    <row r="84" spans="1:18" x14ac:dyDescent="0.25">
      <c r="A84">
        <v>83</v>
      </c>
      <c r="B84">
        <v>2</v>
      </c>
      <c r="C84" t="str">
        <f>VLOOKUP(B84,'Cadastro Produtos'!A:E,2,2)</f>
        <v>Limonada Beta com Açúcar 500 ml</v>
      </c>
      <c r="D84">
        <v>11</v>
      </c>
      <c r="E84" t="str">
        <f>VLOOKUP(D84,'Cadatro Clientes'!A:O,2,2)</f>
        <v>Red Lemon</v>
      </c>
      <c r="F84" t="str">
        <f>VLOOKUP(D84,'Cadatro Clientes'!A:O,9,2)</f>
        <v>Sul</v>
      </c>
      <c r="G84" s="15">
        <v>41674</v>
      </c>
      <c r="H84">
        <f t="shared" si="6"/>
        <v>3</v>
      </c>
      <c r="I84">
        <f t="shared" si="7"/>
        <v>4</v>
      </c>
      <c r="J84">
        <f t="shared" si="8"/>
        <v>2</v>
      </c>
      <c r="K84">
        <f t="shared" si="9"/>
        <v>2014</v>
      </c>
      <c r="M84">
        <v>4</v>
      </c>
      <c r="N84" t="str">
        <f>VLOOKUP(M84,'Cadastro Vendedores'!A:H,2,2)</f>
        <v>José</v>
      </c>
      <c r="O84" s="2"/>
      <c r="P84" s="16">
        <v>3000</v>
      </c>
      <c r="Q84" s="2">
        <f>VLOOKUP(B84,'Cadastro Produtos'!A:F,5,2)</f>
        <v>6.5</v>
      </c>
      <c r="R84" s="14">
        <f t="shared" si="5"/>
        <v>19500</v>
      </c>
    </row>
    <row r="85" spans="1:18" x14ac:dyDescent="0.25">
      <c r="A85">
        <v>84</v>
      </c>
      <c r="B85">
        <v>10</v>
      </c>
      <c r="C85" t="str">
        <f>VLOOKUP(B85,'Cadastro Produtos'!A:E,2,2)</f>
        <v>Limonada Alfa com Hortelã Zero 1 L</v>
      </c>
      <c r="D85">
        <v>8</v>
      </c>
      <c r="E85" t="str">
        <f>VLOOKUP(D85,'Cadatro Clientes'!A:O,2,2)</f>
        <v>Refresko</v>
      </c>
      <c r="F85" t="str">
        <f>VLOOKUP(D85,'Cadatro Clientes'!A:O,9,2)</f>
        <v>Sul</v>
      </c>
      <c r="G85" s="15">
        <v>41674</v>
      </c>
      <c r="H85">
        <f t="shared" si="6"/>
        <v>3</v>
      </c>
      <c r="I85">
        <f t="shared" si="7"/>
        <v>4</v>
      </c>
      <c r="J85">
        <f t="shared" si="8"/>
        <v>2</v>
      </c>
      <c r="K85">
        <f t="shared" si="9"/>
        <v>2014</v>
      </c>
      <c r="M85">
        <v>6</v>
      </c>
      <c r="N85" t="str">
        <f>VLOOKUP(M85,'Cadastro Vendedores'!A:H,2,2)</f>
        <v>Antônia</v>
      </c>
      <c r="O85" s="2"/>
      <c r="P85" s="16">
        <v>900</v>
      </c>
      <c r="Q85" s="2">
        <f>VLOOKUP(B85,'Cadastro Produtos'!A:F,5,2)</f>
        <v>21</v>
      </c>
      <c r="R85" s="14">
        <f t="shared" si="5"/>
        <v>18900</v>
      </c>
    </row>
    <row r="86" spans="1:18" x14ac:dyDescent="0.25">
      <c r="A86">
        <v>85</v>
      </c>
      <c r="B86">
        <v>6</v>
      </c>
      <c r="C86" t="str">
        <f>VLOOKUP(B86,'Cadastro Produtos'!A:E,2,2)</f>
        <v>Limonada Beta com Açúcar 1 L</v>
      </c>
      <c r="D86">
        <v>19</v>
      </c>
      <c r="E86" t="str">
        <f>VLOOKUP(D86,'Cadatro Clientes'!A:O,2,2)</f>
        <v>Lima Limão</v>
      </c>
      <c r="F86" t="str">
        <f>VLOOKUP(D86,'Cadatro Clientes'!A:O,9,2)</f>
        <v>Sudeste</v>
      </c>
      <c r="G86" s="15">
        <v>41675</v>
      </c>
      <c r="H86">
        <f t="shared" si="6"/>
        <v>4</v>
      </c>
      <c r="I86">
        <f t="shared" si="7"/>
        <v>5</v>
      </c>
      <c r="J86">
        <f t="shared" si="8"/>
        <v>2</v>
      </c>
      <c r="K86">
        <f t="shared" si="9"/>
        <v>2014</v>
      </c>
      <c r="M86">
        <v>4</v>
      </c>
      <c r="N86" t="str">
        <f>VLOOKUP(M86,'Cadastro Vendedores'!A:H,2,2)</f>
        <v>José</v>
      </c>
      <c r="O86" s="2"/>
      <c r="P86" s="16">
        <v>2800</v>
      </c>
      <c r="Q86" s="2">
        <f>VLOOKUP(B86,'Cadastro Produtos'!A:F,5,2)</f>
        <v>12</v>
      </c>
      <c r="R86" s="14">
        <f t="shared" si="5"/>
        <v>33600</v>
      </c>
    </row>
    <row r="87" spans="1:18" x14ac:dyDescent="0.25">
      <c r="A87">
        <v>86</v>
      </c>
      <c r="B87">
        <v>7</v>
      </c>
      <c r="C87" t="str">
        <f>VLOOKUP(B87,'Cadastro Produtos'!A:E,2,2)</f>
        <v>Limonada Alfa Zero 1 L</v>
      </c>
      <c r="D87">
        <v>9</v>
      </c>
      <c r="E87" t="str">
        <f>VLOOKUP(D87,'Cadatro Clientes'!A:O,2,2)</f>
        <v>Fresh Lemon</v>
      </c>
      <c r="F87" t="str">
        <f>VLOOKUP(D87,'Cadatro Clientes'!A:O,9,2)</f>
        <v>Sudeste</v>
      </c>
      <c r="G87" s="15">
        <v>41676</v>
      </c>
      <c r="H87">
        <f t="shared" si="6"/>
        <v>5</v>
      </c>
      <c r="I87">
        <f t="shared" si="7"/>
        <v>6</v>
      </c>
      <c r="J87">
        <f t="shared" si="8"/>
        <v>2</v>
      </c>
      <c r="K87">
        <f t="shared" si="9"/>
        <v>2014</v>
      </c>
      <c r="M87">
        <v>2</v>
      </c>
      <c r="N87" t="str">
        <f>VLOOKUP(M87,'Cadastro Vendedores'!A:H,2,2)</f>
        <v>Luis</v>
      </c>
      <c r="O87" s="2"/>
      <c r="P87" s="16">
        <v>3600</v>
      </c>
      <c r="Q87" s="2">
        <f>VLOOKUP(B87,'Cadastro Produtos'!A:F,5,2)</f>
        <v>15</v>
      </c>
      <c r="R87" s="14">
        <f t="shared" si="5"/>
        <v>54000</v>
      </c>
    </row>
    <row r="88" spans="1:18" x14ac:dyDescent="0.25">
      <c r="A88">
        <v>87</v>
      </c>
      <c r="B88">
        <v>8</v>
      </c>
      <c r="C88" t="str">
        <f>VLOOKUP(B88,'Cadastro Produtos'!A:E,2,2)</f>
        <v>Limonada Beta Zero 1 L</v>
      </c>
      <c r="D88">
        <v>11</v>
      </c>
      <c r="E88" t="str">
        <f>VLOOKUP(D88,'Cadatro Clientes'!A:O,2,2)</f>
        <v>Red Lemon</v>
      </c>
      <c r="F88" t="str">
        <f>VLOOKUP(D88,'Cadatro Clientes'!A:O,9,2)</f>
        <v>Sul</v>
      </c>
      <c r="G88" s="15">
        <v>41677</v>
      </c>
      <c r="H88">
        <f t="shared" si="6"/>
        <v>6</v>
      </c>
      <c r="I88">
        <f t="shared" si="7"/>
        <v>7</v>
      </c>
      <c r="J88">
        <f t="shared" si="8"/>
        <v>2</v>
      </c>
      <c r="K88">
        <f t="shared" si="9"/>
        <v>2014</v>
      </c>
      <c r="M88">
        <v>9</v>
      </c>
      <c r="N88" t="str">
        <f>VLOOKUP(M88,'Cadastro Vendedores'!A:H,2,2)</f>
        <v>Adriana</v>
      </c>
      <c r="O88" s="2"/>
      <c r="P88" s="16">
        <v>2700</v>
      </c>
      <c r="Q88" s="2">
        <f>VLOOKUP(B88,'Cadastro Produtos'!A:F,5,2)</f>
        <v>12</v>
      </c>
      <c r="R88" s="14">
        <f t="shared" si="5"/>
        <v>32400</v>
      </c>
    </row>
    <row r="89" spans="1:18" x14ac:dyDescent="0.25">
      <c r="A89">
        <v>88</v>
      </c>
      <c r="B89">
        <v>3</v>
      </c>
      <c r="C89" t="str">
        <f>VLOOKUP(B89,'Cadastro Produtos'!A:E,2,2)</f>
        <v>Limonada Alfa Zero 500 ml</v>
      </c>
      <c r="D89">
        <v>7</v>
      </c>
      <c r="E89" t="str">
        <f>VLOOKUP(D89,'Cadatro Clientes'!A:O,2,2)</f>
        <v>Limo</v>
      </c>
      <c r="F89" t="str">
        <f>VLOOKUP(D89,'Cadatro Clientes'!A:O,9,2)</f>
        <v>Centro-Oeste</v>
      </c>
      <c r="G89" s="15">
        <v>41678</v>
      </c>
      <c r="H89">
        <f t="shared" si="6"/>
        <v>7</v>
      </c>
      <c r="I89">
        <f t="shared" si="7"/>
        <v>8</v>
      </c>
      <c r="J89">
        <f t="shared" si="8"/>
        <v>2</v>
      </c>
      <c r="K89">
        <f t="shared" si="9"/>
        <v>2014</v>
      </c>
      <c r="M89">
        <v>6</v>
      </c>
      <c r="N89" t="str">
        <f>VLOOKUP(M89,'Cadastro Vendedores'!A:H,2,2)</f>
        <v>Antônia</v>
      </c>
      <c r="O89" s="2"/>
      <c r="P89" s="16">
        <v>6900</v>
      </c>
      <c r="Q89" s="2">
        <f>VLOOKUP(B89,'Cadastro Produtos'!A:F,5,2)</f>
        <v>9</v>
      </c>
      <c r="R89" s="14">
        <f t="shared" si="5"/>
        <v>62100</v>
      </c>
    </row>
    <row r="90" spans="1:18" x14ac:dyDescent="0.25">
      <c r="A90">
        <v>89</v>
      </c>
      <c r="B90">
        <v>6</v>
      </c>
      <c r="C90" t="str">
        <f>VLOOKUP(B90,'Cadastro Produtos'!A:E,2,2)</f>
        <v>Limonada Beta com Açúcar 1 L</v>
      </c>
      <c r="D90">
        <v>7</v>
      </c>
      <c r="E90" t="str">
        <f>VLOOKUP(D90,'Cadatro Clientes'!A:O,2,2)</f>
        <v>Limo</v>
      </c>
      <c r="F90" t="str">
        <f>VLOOKUP(D90,'Cadatro Clientes'!A:O,9,2)</f>
        <v>Centro-Oeste</v>
      </c>
      <c r="G90" s="15">
        <v>41679</v>
      </c>
      <c r="H90">
        <f t="shared" si="6"/>
        <v>1</v>
      </c>
      <c r="I90">
        <f t="shared" si="7"/>
        <v>9</v>
      </c>
      <c r="J90">
        <f t="shared" si="8"/>
        <v>2</v>
      </c>
      <c r="K90">
        <f t="shared" si="9"/>
        <v>2014</v>
      </c>
      <c r="M90">
        <v>6</v>
      </c>
      <c r="N90" t="str">
        <f>VLOOKUP(M90,'Cadastro Vendedores'!A:H,2,2)</f>
        <v>Antônia</v>
      </c>
      <c r="O90" s="2"/>
      <c r="P90" s="16">
        <v>3700</v>
      </c>
      <c r="Q90" s="2">
        <f>VLOOKUP(B90,'Cadastro Produtos'!A:F,5,2)</f>
        <v>12</v>
      </c>
      <c r="R90" s="14">
        <f t="shared" si="5"/>
        <v>44400</v>
      </c>
    </row>
    <row r="91" spans="1:18" x14ac:dyDescent="0.25">
      <c r="A91">
        <v>90</v>
      </c>
      <c r="B91">
        <v>2</v>
      </c>
      <c r="C91" t="str">
        <f>VLOOKUP(B91,'Cadastro Produtos'!A:E,2,2)</f>
        <v>Limonada Beta com Açúcar 500 ml</v>
      </c>
      <c r="D91">
        <v>6</v>
      </c>
      <c r="E91" t="str">
        <f>VLOOKUP(D91,'Cadatro Clientes'!A:O,2,2)</f>
        <v>Lemonade</v>
      </c>
      <c r="F91" t="str">
        <f>VLOOKUP(D91,'Cadatro Clientes'!A:O,9,2)</f>
        <v>Norte</v>
      </c>
      <c r="G91" s="15">
        <v>41679</v>
      </c>
      <c r="H91">
        <f t="shared" si="6"/>
        <v>1</v>
      </c>
      <c r="I91">
        <f t="shared" si="7"/>
        <v>9</v>
      </c>
      <c r="J91">
        <f t="shared" si="8"/>
        <v>2</v>
      </c>
      <c r="K91">
        <f t="shared" si="9"/>
        <v>2014</v>
      </c>
      <c r="M91">
        <v>8</v>
      </c>
      <c r="N91" t="str">
        <f>VLOOKUP(M91,'Cadastro Vendedores'!A:H,2,2)</f>
        <v>Sérgio</v>
      </c>
      <c r="O91" s="2"/>
      <c r="P91" s="16">
        <v>4600</v>
      </c>
      <c r="Q91" s="2">
        <f>VLOOKUP(B91,'Cadastro Produtos'!A:F,5,2)</f>
        <v>6.5</v>
      </c>
      <c r="R91" s="14">
        <f t="shared" si="5"/>
        <v>29900</v>
      </c>
    </row>
    <row r="92" spans="1:18" x14ac:dyDescent="0.25">
      <c r="A92">
        <v>91</v>
      </c>
      <c r="B92">
        <v>8</v>
      </c>
      <c r="C92" t="str">
        <f>VLOOKUP(B92,'Cadastro Produtos'!A:E,2,2)</f>
        <v>Limonada Beta Zero 1 L</v>
      </c>
      <c r="D92">
        <v>2</v>
      </c>
      <c r="E92" t="str">
        <f>VLOOKUP(D92,'Cadatro Clientes'!A:O,2,2)</f>
        <v>Limão S/A</v>
      </c>
      <c r="F92" t="str">
        <f>VLOOKUP(D92,'Cadatro Clientes'!A:O,9,2)</f>
        <v>Centro-Oeste</v>
      </c>
      <c r="G92" s="15">
        <v>41679</v>
      </c>
      <c r="H92">
        <f t="shared" si="6"/>
        <v>1</v>
      </c>
      <c r="I92">
        <f t="shared" si="7"/>
        <v>9</v>
      </c>
      <c r="J92">
        <f t="shared" si="8"/>
        <v>2</v>
      </c>
      <c r="K92">
        <f t="shared" si="9"/>
        <v>2014</v>
      </c>
      <c r="M92">
        <v>9</v>
      </c>
      <c r="N92" t="str">
        <f>VLOOKUP(M92,'Cadastro Vendedores'!A:H,2,2)</f>
        <v>Adriana</v>
      </c>
      <c r="O92" s="2"/>
      <c r="P92" s="16">
        <v>4100</v>
      </c>
      <c r="Q92" s="2">
        <f>VLOOKUP(B92,'Cadastro Produtos'!A:F,5,2)</f>
        <v>12</v>
      </c>
      <c r="R92" s="14">
        <f t="shared" si="5"/>
        <v>49200</v>
      </c>
    </row>
    <row r="93" spans="1:18" x14ac:dyDescent="0.25">
      <c r="A93">
        <v>92</v>
      </c>
      <c r="B93">
        <v>1</v>
      </c>
      <c r="C93" t="str">
        <f>VLOOKUP(B93,'Cadastro Produtos'!A:E,2,2)</f>
        <v>Limonada Alfa com Açúcar 500 ml</v>
      </c>
      <c r="D93">
        <v>18</v>
      </c>
      <c r="E93" t="str">
        <f>VLOOKUP(D93,'Cadatro Clientes'!A:O,2,2)</f>
        <v>Rio Branco Limonada Ltda</v>
      </c>
      <c r="F93" t="str">
        <f>VLOOKUP(D93,'Cadatro Clientes'!A:O,9,2)</f>
        <v>Norte</v>
      </c>
      <c r="G93" s="15">
        <v>41679</v>
      </c>
      <c r="H93">
        <f t="shared" si="6"/>
        <v>1</v>
      </c>
      <c r="I93">
        <f t="shared" si="7"/>
        <v>9</v>
      </c>
      <c r="J93">
        <f t="shared" si="8"/>
        <v>2</v>
      </c>
      <c r="K93">
        <f t="shared" si="9"/>
        <v>2014</v>
      </c>
      <c r="M93">
        <v>2</v>
      </c>
      <c r="N93" t="str">
        <f>VLOOKUP(M93,'Cadastro Vendedores'!A:H,2,2)</f>
        <v>Luis</v>
      </c>
      <c r="O93" s="2"/>
      <c r="P93" s="16">
        <v>4000</v>
      </c>
      <c r="Q93" s="2">
        <f>VLOOKUP(B93,'Cadastro Produtos'!A:F,5,2)</f>
        <v>8.5</v>
      </c>
      <c r="R93" s="14">
        <f t="shared" si="5"/>
        <v>34000</v>
      </c>
    </row>
    <row r="94" spans="1:18" x14ac:dyDescent="0.25">
      <c r="A94">
        <v>93</v>
      </c>
      <c r="B94">
        <v>5</v>
      </c>
      <c r="C94" t="str">
        <f>VLOOKUP(B94,'Cadastro Produtos'!A:E,2,2)</f>
        <v>Limonada Alfa com Açúcar 1 L</v>
      </c>
      <c r="D94">
        <v>2</v>
      </c>
      <c r="E94" t="str">
        <f>VLOOKUP(D94,'Cadatro Clientes'!A:O,2,2)</f>
        <v>Limão S/A</v>
      </c>
      <c r="F94" t="str">
        <f>VLOOKUP(D94,'Cadatro Clientes'!A:O,9,2)</f>
        <v>Centro-Oeste</v>
      </c>
      <c r="G94" s="15">
        <v>41680</v>
      </c>
      <c r="H94">
        <f t="shared" si="6"/>
        <v>2</v>
      </c>
      <c r="I94">
        <f t="shared" si="7"/>
        <v>10</v>
      </c>
      <c r="J94">
        <f t="shared" si="8"/>
        <v>2</v>
      </c>
      <c r="K94">
        <f t="shared" si="9"/>
        <v>2014</v>
      </c>
      <c r="M94">
        <v>4</v>
      </c>
      <c r="N94" t="str">
        <f>VLOOKUP(M94,'Cadastro Vendedores'!A:H,2,2)</f>
        <v>José</v>
      </c>
      <c r="O94" s="2"/>
      <c r="P94" s="16">
        <v>4400</v>
      </c>
      <c r="Q94" s="2">
        <f>VLOOKUP(B94,'Cadastro Produtos'!A:F,5,2)</f>
        <v>15</v>
      </c>
      <c r="R94" s="14">
        <f t="shared" si="5"/>
        <v>66000</v>
      </c>
    </row>
    <row r="95" spans="1:18" x14ac:dyDescent="0.25">
      <c r="A95">
        <v>94</v>
      </c>
      <c r="B95">
        <v>8</v>
      </c>
      <c r="C95" t="str">
        <f>VLOOKUP(B95,'Cadastro Produtos'!A:E,2,2)</f>
        <v>Limonada Beta Zero 1 L</v>
      </c>
      <c r="D95">
        <v>6</v>
      </c>
      <c r="E95" t="str">
        <f>VLOOKUP(D95,'Cadatro Clientes'!A:O,2,2)</f>
        <v>Lemonade</v>
      </c>
      <c r="F95" t="str">
        <f>VLOOKUP(D95,'Cadatro Clientes'!A:O,9,2)</f>
        <v>Norte</v>
      </c>
      <c r="G95" s="15">
        <v>41680</v>
      </c>
      <c r="H95">
        <f t="shared" si="6"/>
        <v>2</v>
      </c>
      <c r="I95">
        <f t="shared" si="7"/>
        <v>10</v>
      </c>
      <c r="J95">
        <f t="shared" si="8"/>
        <v>2</v>
      </c>
      <c r="K95">
        <f t="shared" si="9"/>
        <v>2014</v>
      </c>
      <c r="M95">
        <v>7</v>
      </c>
      <c r="N95" t="str">
        <f>VLOOKUP(M95,'Cadastro Vendedores'!A:H,2,2)</f>
        <v>Benedito</v>
      </c>
      <c r="O95" s="2"/>
      <c r="P95" s="16">
        <v>1800</v>
      </c>
      <c r="Q95" s="2">
        <f>VLOOKUP(B95,'Cadastro Produtos'!A:F,5,2)</f>
        <v>12</v>
      </c>
      <c r="R95" s="14">
        <f t="shared" si="5"/>
        <v>21600</v>
      </c>
    </row>
    <row r="96" spans="1:18" x14ac:dyDescent="0.25">
      <c r="A96">
        <v>95</v>
      </c>
      <c r="B96">
        <v>2</v>
      </c>
      <c r="C96" t="str">
        <f>VLOOKUP(B96,'Cadastro Produtos'!A:E,2,2)</f>
        <v>Limonada Beta com Açúcar 500 ml</v>
      </c>
      <c r="D96">
        <v>5</v>
      </c>
      <c r="E96" t="str">
        <f>VLOOKUP(D96,'Cadatro Clientes'!A:O,2,2)</f>
        <v>Axé com Limão</v>
      </c>
      <c r="F96" t="str">
        <f>VLOOKUP(D96,'Cadatro Clientes'!A:O,9,2)</f>
        <v>Nordeste</v>
      </c>
      <c r="G96" s="15">
        <v>41681</v>
      </c>
      <c r="H96">
        <f t="shared" si="6"/>
        <v>3</v>
      </c>
      <c r="I96">
        <f t="shared" si="7"/>
        <v>11</v>
      </c>
      <c r="J96">
        <f t="shared" si="8"/>
        <v>2</v>
      </c>
      <c r="K96">
        <f t="shared" si="9"/>
        <v>2014</v>
      </c>
      <c r="M96">
        <v>9</v>
      </c>
      <c r="N96" t="str">
        <f>VLOOKUP(M96,'Cadastro Vendedores'!A:H,2,2)</f>
        <v>Adriana</v>
      </c>
      <c r="O96" s="2"/>
      <c r="P96" s="16">
        <v>7400</v>
      </c>
      <c r="Q96" s="2">
        <f>VLOOKUP(B96,'Cadastro Produtos'!A:F,5,2)</f>
        <v>6.5</v>
      </c>
      <c r="R96" s="14">
        <f t="shared" si="5"/>
        <v>48100</v>
      </c>
    </row>
    <row r="97" spans="1:18" x14ac:dyDescent="0.25">
      <c r="A97">
        <v>96</v>
      </c>
      <c r="B97">
        <v>6</v>
      </c>
      <c r="C97" t="str">
        <f>VLOOKUP(B97,'Cadastro Produtos'!A:E,2,2)</f>
        <v>Limonada Beta com Açúcar 1 L</v>
      </c>
      <c r="D97">
        <v>2</v>
      </c>
      <c r="E97" t="str">
        <f>VLOOKUP(D97,'Cadatro Clientes'!A:O,2,2)</f>
        <v>Limão S/A</v>
      </c>
      <c r="F97" t="str">
        <f>VLOOKUP(D97,'Cadatro Clientes'!A:O,9,2)</f>
        <v>Centro-Oeste</v>
      </c>
      <c r="G97" s="15">
        <v>41681</v>
      </c>
      <c r="H97">
        <f t="shared" si="6"/>
        <v>3</v>
      </c>
      <c r="I97">
        <f t="shared" si="7"/>
        <v>11</v>
      </c>
      <c r="J97">
        <f t="shared" si="8"/>
        <v>2</v>
      </c>
      <c r="K97">
        <f t="shared" si="9"/>
        <v>2014</v>
      </c>
      <c r="M97">
        <v>7</v>
      </c>
      <c r="N97" t="str">
        <f>VLOOKUP(M97,'Cadastro Vendedores'!A:H,2,2)</f>
        <v>Benedito</v>
      </c>
      <c r="O97" s="2"/>
      <c r="P97" s="16">
        <v>2300</v>
      </c>
      <c r="Q97" s="2">
        <f>VLOOKUP(B97,'Cadastro Produtos'!A:F,5,2)</f>
        <v>12</v>
      </c>
      <c r="R97" s="14">
        <f t="shared" si="5"/>
        <v>27600</v>
      </c>
    </row>
    <row r="98" spans="1:18" x14ac:dyDescent="0.25">
      <c r="A98">
        <v>97</v>
      </c>
      <c r="B98">
        <v>6</v>
      </c>
      <c r="C98" t="str">
        <f>VLOOKUP(B98,'Cadastro Produtos'!A:E,2,2)</f>
        <v>Limonada Beta com Açúcar 1 L</v>
      </c>
      <c r="D98">
        <v>14</v>
      </c>
      <c r="E98" t="str">
        <f>VLOOKUP(D98,'Cadatro Clientes'!A:O,2,2)</f>
        <v>Sprite</v>
      </c>
      <c r="F98" t="str">
        <f>VLOOKUP(D98,'Cadatro Clientes'!A:O,9,2)</f>
        <v>Norte</v>
      </c>
      <c r="G98" s="15">
        <v>41681</v>
      </c>
      <c r="H98">
        <f t="shared" si="6"/>
        <v>3</v>
      </c>
      <c r="I98">
        <f t="shared" si="7"/>
        <v>11</v>
      </c>
      <c r="J98">
        <f t="shared" si="8"/>
        <v>2</v>
      </c>
      <c r="K98">
        <f t="shared" si="9"/>
        <v>2014</v>
      </c>
      <c r="M98">
        <v>3</v>
      </c>
      <c r="N98" t="str">
        <f>VLOOKUP(M98,'Cadastro Vendedores'!A:H,2,2)</f>
        <v>Antônia</v>
      </c>
      <c r="O98" s="2"/>
      <c r="P98" s="16">
        <v>4400</v>
      </c>
      <c r="Q98" s="2">
        <f>VLOOKUP(B98,'Cadastro Produtos'!A:F,5,2)</f>
        <v>12</v>
      </c>
      <c r="R98" s="14">
        <f t="shared" si="5"/>
        <v>52800</v>
      </c>
    </row>
    <row r="99" spans="1:18" x14ac:dyDescent="0.25">
      <c r="A99">
        <v>98</v>
      </c>
      <c r="B99">
        <v>5</v>
      </c>
      <c r="C99" t="str">
        <f>VLOOKUP(B99,'Cadastro Produtos'!A:E,2,2)</f>
        <v>Limonada Alfa com Açúcar 1 L</v>
      </c>
      <c r="D99">
        <v>13</v>
      </c>
      <c r="E99" t="str">
        <f>VLOOKUP(D99,'Cadatro Clientes'!A:O,2,2)</f>
        <v>Monster Lemon</v>
      </c>
      <c r="F99" t="str">
        <f>VLOOKUP(D99,'Cadatro Clientes'!A:O,9,2)</f>
        <v>Nordeste</v>
      </c>
      <c r="G99" s="15">
        <v>41681</v>
      </c>
      <c r="H99">
        <f t="shared" si="6"/>
        <v>3</v>
      </c>
      <c r="I99">
        <f t="shared" si="7"/>
        <v>11</v>
      </c>
      <c r="J99">
        <f t="shared" si="8"/>
        <v>2</v>
      </c>
      <c r="K99">
        <f t="shared" si="9"/>
        <v>2014</v>
      </c>
      <c r="M99">
        <v>9</v>
      </c>
      <c r="N99" t="str">
        <f>VLOOKUP(M99,'Cadastro Vendedores'!A:H,2,2)</f>
        <v>Adriana</v>
      </c>
      <c r="O99" s="2"/>
      <c r="P99" s="16">
        <v>3700</v>
      </c>
      <c r="Q99" s="2">
        <f>VLOOKUP(B99,'Cadastro Produtos'!A:F,5,2)</f>
        <v>15</v>
      </c>
      <c r="R99" s="14">
        <f t="shared" si="5"/>
        <v>55500</v>
      </c>
    </row>
    <row r="100" spans="1:18" x14ac:dyDescent="0.25">
      <c r="A100">
        <v>99</v>
      </c>
      <c r="B100">
        <v>6</v>
      </c>
      <c r="C100" t="str">
        <f>VLOOKUP(B100,'Cadastro Produtos'!A:E,2,2)</f>
        <v>Limonada Beta com Açúcar 1 L</v>
      </c>
      <c r="D100">
        <v>11</v>
      </c>
      <c r="E100" t="str">
        <f>VLOOKUP(D100,'Cadatro Clientes'!A:O,2,2)</f>
        <v>Red Lemon</v>
      </c>
      <c r="F100" t="str">
        <f>VLOOKUP(D100,'Cadatro Clientes'!A:O,9,2)</f>
        <v>Sul</v>
      </c>
      <c r="G100" s="15">
        <v>41681</v>
      </c>
      <c r="H100">
        <f t="shared" si="6"/>
        <v>3</v>
      </c>
      <c r="I100">
        <f t="shared" si="7"/>
        <v>11</v>
      </c>
      <c r="J100">
        <f t="shared" si="8"/>
        <v>2</v>
      </c>
      <c r="K100">
        <f t="shared" si="9"/>
        <v>2014</v>
      </c>
      <c r="M100">
        <v>8</v>
      </c>
      <c r="N100" t="str">
        <f>VLOOKUP(M100,'Cadastro Vendedores'!A:H,2,2)</f>
        <v>Sérgio</v>
      </c>
      <c r="O100" s="2"/>
      <c r="P100" s="16">
        <v>4300</v>
      </c>
      <c r="Q100" s="2">
        <f>VLOOKUP(B100,'Cadastro Produtos'!A:F,5,2)</f>
        <v>12</v>
      </c>
      <c r="R100" s="14">
        <f t="shared" si="5"/>
        <v>51600</v>
      </c>
    </row>
    <row r="101" spans="1:18" x14ac:dyDescent="0.25">
      <c r="A101">
        <v>100</v>
      </c>
      <c r="B101">
        <v>1</v>
      </c>
      <c r="C101" t="str">
        <f>VLOOKUP(B101,'Cadastro Produtos'!A:E,2,2)</f>
        <v>Limonada Alfa com Açúcar 500 ml</v>
      </c>
      <c r="D101">
        <v>8</v>
      </c>
      <c r="E101" t="str">
        <f>VLOOKUP(D101,'Cadatro Clientes'!A:O,2,2)</f>
        <v>Refresko</v>
      </c>
      <c r="F101" t="str">
        <f>VLOOKUP(D101,'Cadatro Clientes'!A:O,9,2)</f>
        <v>Sul</v>
      </c>
      <c r="G101" s="15">
        <v>41682</v>
      </c>
      <c r="H101">
        <f t="shared" si="6"/>
        <v>4</v>
      </c>
      <c r="I101">
        <f t="shared" si="7"/>
        <v>12</v>
      </c>
      <c r="J101">
        <f t="shared" si="8"/>
        <v>2</v>
      </c>
      <c r="K101">
        <f t="shared" si="9"/>
        <v>2014</v>
      </c>
      <c r="M101">
        <v>9</v>
      </c>
      <c r="N101" t="str">
        <f>VLOOKUP(M101,'Cadastro Vendedores'!A:H,2,2)</f>
        <v>Adriana</v>
      </c>
      <c r="O101" s="2"/>
      <c r="P101" s="16">
        <v>5100</v>
      </c>
      <c r="Q101" s="2">
        <f>VLOOKUP(B101,'Cadastro Produtos'!A:F,5,2)</f>
        <v>8.5</v>
      </c>
      <c r="R101" s="14">
        <f t="shared" si="5"/>
        <v>43350</v>
      </c>
    </row>
    <row r="102" spans="1:18" x14ac:dyDescent="0.25">
      <c r="A102">
        <v>101</v>
      </c>
      <c r="B102">
        <v>2</v>
      </c>
      <c r="C102" t="str">
        <f>VLOOKUP(B102,'Cadastro Produtos'!A:E,2,2)</f>
        <v>Limonada Beta com Açúcar 500 ml</v>
      </c>
      <c r="D102">
        <v>4</v>
      </c>
      <c r="E102" t="str">
        <f>VLOOKUP(D102,'Cadatro Clientes'!A:O,2,2)</f>
        <v>Limão Carioca e Cia</v>
      </c>
      <c r="F102" t="str">
        <f>VLOOKUP(D102,'Cadatro Clientes'!A:O,9,2)</f>
        <v>Sudeste</v>
      </c>
      <c r="G102" s="15">
        <v>41682</v>
      </c>
      <c r="H102">
        <f t="shared" si="6"/>
        <v>4</v>
      </c>
      <c r="I102">
        <f t="shared" si="7"/>
        <v>12</v>
      </c>
      <c r="J102">
        <f t="shared" si="8"/>
        <v>2</v>
      </c>
      <c r="K102">
        <f t="shared" si="9"/>
        <v>2014</v>
      </c>
      <c r="M102">
        <v>8</v>
      </c>
      <c r="N102" t="str">
        <f>VLOOKUP(M102,'Cadastro Vendedores'!A:H,2,2)</f>
        <v>Sérgio</v>
      </c>
      <c r="O102" s="2"/>
      <c r="P102" s="16">
        <v>2600</v>
      </c>
      <c r="Q102" s="2">
        <f>VLOOKUP(B102,'Cadastro Produtos'!A:F,5,2)</f>
        <v>6.5</v>
      </c>
      <c r="R102" s="14">
        <f t="shared" si="5"/>
        <v>16900</v>
      </c>
    </row>
    <row r="103" spans="1:18" x14ac:dyDescent="0.25">
      <c r="A103">
        <v>102</v>
      </c>
      <c r="B103">
        <v>1</v>
      </c>
      <c r="C103" t="str">
        <f>VLOOKUP(B103,'Cadastro Produtos'!A:E,2,2)</f>
        <v>Limonada Alfa com Açúcar 500 ml</v>
      </c>
      <c r="D103">
        <v>14</v>
      </c>
      <c r="E103" t="str">
        <f>VLOOKUP(D103,'Cadatro Clientes'!A:O,2,2)</f>
        <v>Sprite</v>
      </c>
      <c r="F103" t="str">
        <f>VLOOKUP(D103,'Cadatro Clientes'!A:O,9,2)</f>
        <v>Norte</v>
      </c>
      <c r="G103" s="15">
        <v>41682</v>
      </c>
      <c r="H103">
        <f t="shared" si="6"/>
        <v>4</v>
      </c>
      <c r="I103">
        <f t="shared" si="7"/>
        <v>12</v>
      </c>
      <c r="J103">
        <f t="shared" si="8"/>
        <v>2</v>
      </c>
      <c r="K103">
        <f t="shared" si="9"/>
        <v>2014</v>
      </c>
      <c r="M103">
        <v>3</v>
      </c>
      <c r="N103" t="str">
        <f>VLOOKUP(M103,'Cadastro Vendedores'!A:H,2,2)</f>
        <v>Antônia</v>
      </c>
      <c r="O103" s="2"/>
      <c r="P103" s="16">
        <v>4300</v>
      </c>
      <c r="Q103" s="2">
        <f>VLOOKUP(B103,'Cadastro Produtos'!A:F,5,2)</f>
        <v>8.5</v>
      </c>
      <c r="R103" s="14">
        <f t="shared" si="5"/>
        <v>36550</v>
      </c>
    </row>
    <row r="104" spans="1:18" x14ac:dyDescent="0.25">
      <c r="A104">
        <v>103</v>
      </c>
      <c r="B104">
        <v>6</v>
      </c>
      <c r="C104" t="str">
        <f>VLOOKUP(B104,'Cadastro Produtos'!A:E,2,2)</f>
        <v>Limonada Beta com Açúcar 1 L</v>
      </c>
      <c r="D104">
        <v>17</v>
      </c>
      <c r="E104" t="str">
        <f>VLOOKUP(D104,'Cadatro Clientes'!A:O,2,2)</f>
        <v>Aracasuco</v>
      </c>
      <c r="F104" t="str">
        <f>VLOOKUP(D104,'Cadatro Clientes'!A:O,9,2)</f>
        <v>Nordeste</v>
      </c>
      <c r="G104" s="15">
        <v>41682</v>
      </c>
      <c r="H104">
        <f t="shared" si="6"/>
        <v>4</v>
      </c>
      <c r="I104">
        <f t="shared" si="7"/>
        <v>12</v>
      </c>
      <c r="J104">
        <f t="shared" si="8"/>
        <v>2</v>
      </c>
      <c r="K104">
        <f t="shared" si="9"/>
        <v>2014</v>
      </c>
      <c r="M104">
        <v>9</v>
      </c>
      <c r="N104" t="str">
        <f>VLOOKUP(M104,'Cadastro Vendedores'!A:H,2,2)</f>
        <v>Adriana</v>
      </c>
      <c r="O104" s="2"/>
      <c r="P104" s="16">
        <v>5800</v>
      </c>
      <c r="Q104" s="2">
        <f>VLOOKUP(B104,'Cadastro Produtos'!A:F,5,2)</f>
        <v>12</v>
      </c>
      <c r="R104" s="14">
        <f t="shared" si="5"/>
        <v>69600</v>
      </c>
    </row>
    <row r="105" spans="1:18" x14ac:dyDescent="0.25">
      <c r="A105">
        <v>104</v>
      </c>
      <c r="B105">
        <v>9</v>
      </c>
      <c r="C105" t="str">
        <f>VLOOKUP(B105,'Cadastro Produtos'!A:E,2,2)</f>
        <v>Limonada Alfa com Hortelã e Açúcar 1 L</v>
      </c>
      <c r="D105">
        <v>11</v>
      </c>
      <c r="E105" t="str">
        <f>VLOOKUP(D105,'Cadatro Clientes'!A:O,2,2)</f>
        <v>Red Lemon</v>
      </c>
      <c r="F105" t="str">
        <f>VLOOKUP(D105,'Cadatro Clientes'!A:O,9,2)</f>
        <v>Sul</v>
      </c>
      <c r="G105" s="15">
        <v>41682</v>
      </c>
      <c r="H105">
        <f t="shared" si="6"/>
        <v>4</v>
      </c>
      <c r="I105">
        <f t="shared" si="7"/>
        <v>12</v>
      </c>
      <c r="J105">
        <f t="shared" si="8"/>
        <v>2</v>
      </c>
      <c r="K105">
        <f t="shared" si="9"/>
        <v>2014</v>
      </c>
      <c r="M105">
        <v>7</v>
      </c>
      <c r="N105" t="str">
        <f>VLOOKUP(M105,'Cadastro Vendedores'!A:H,2,2)</f>
        <v>Benedito</v>
      </c>
      <c r="O105" s="2"/>
      <c r="P105" s="16">
        <v>1100</v>
      </c>
      <c r="Q105" s="2">
        <f>VLOOKUP(B105,'Cadastro Produtos'!A:F,5,2)</f>
        <v>17.5</v>
      </c>
      <c r="R105" s="14">
        <f t="shared" si="5"/>
        <v>19250</v>
      </c>
    </row>
    <row r="106" spans="1:18" x14ac:dyDescent="0.25">
      <c r="A106">
        <v>105</v>
      </c>
      <c r="B106">
        <v>2</v>
      </c>
      <c r="C106" t="str">
        <f>VLOOKUP(B106,'Cadastro Produtos'!A:E,2,2)</f>
        <v>Limonada Beta com Açúcar 500 ml</v>
      </c>
      <c r="D106">
        <v>1</v>
      </c>
      <c r="E106" t="str">
        <f>VLOOKUP(D106,'Cadatro Clientes'!A:O,2,2)</f>
        <v>Meu Suco de Limão</v>
      </c>
      <c r="F106" t="str">
        <f>VLOOKUP(D106,'Cadatro Clientes'!A:O,9,2)</f>
        <v>Norte</v>
      </c>
      <c r="G106" s="15">
        <v>41683</v>
      </c>
      <c r="H106">
        <f t="shared" si="6"/>
        <v>5</v>
      </c>
      <c r="I106">
        <f t="shared" si="7"/>
        <v>13</v>
      </c>
      <c r="J106">
        <f t="shared" si="8"/>
        <v>2</v>
      </c>
      <c r="K106">
        <f t="shared" si="9"/>
        <v>2014</v>
      </c>
      <c r="M106">
        <v>4</v>
      </c>
      <c r="N106" t="str">
        <f>VLOOKUP(M106,'Cadastro Vendedores'!A:H,2,2)</f>
        <v>José</v>
      </c>
      <c r="O106" s="2"/>
      <c r="P106" s="16">
        <v>5600</v>
      </c>
      <c r="Q106" s="2">
        <f>VLOOKUP(B106,'Cadastro Produtos'!A:F,5,2)</f>
        <v>6.5</v>
      </c>
      <c r="R106" s="14">
        <f t="shared" si="5"/>
        <v>36400</v>
      </c>
    </row>
    <row r="107" spans="1:18" x14ac:dyDescent="0.25">
      <c r="A107">
        <v>106</v>
      </c>
      <c r="B107">
        <v>5</v>
      </c>
      <c r="C107" t="str">
        <f>VLOOKUP(B107,'Cadastro Produtos'!A:E,2,2)</f>
        <v>Limonada Alfa com Açúcar 1 L</v>
      </c>
      <c r="D107">
        <v>5</v>
      </c>
      <c r="E107" t="str">
        <f>VLOOKUP(D107,'Cadatro Clientes'!A:O,2,2)</f>
        <v>Axé com Limão</v>
      </c>
      <c r="F107" t="str">
        <f>VLOOKUP(D107,'Cadatro Clientes'!A:O,9,2)</f>
        <v>Nordeste</v>
      </c>
      <c r="G107" s="15">
        <v>41683</v>
      </c>
      <c r="H107">
        <f t="shared" si="6"/>
        <v>5</v>
      </c>
      <c r="I107">
        <f t="shared" si="7"/>
        <v>13</v>
      </c>
      <c r="J107">
        <f t="shared" si="8"/>
        <v>2</v>
      </c>
      <c r="K107">
        <f t="shared" si="9"/>
        <v>2014</v>
      </c>
      <c r="M107">
        <v>9</v>
      </c>
      <c r="N107" t="str">
        <f>VLOOKUP(M107,'Cadastro Vendedores'!A:H,2,2)</f>
        <v>Adriana</v>
      </c>
      <c r="O107" s="2"/>
      <c r="P107" s="16">
        <v>1900</v>
      </c>
      <c r="Q107" s="2">
        <f>VLOOKUP(B107,'Cadastro Produtos'!A:F,5,2)</f>
        <v>15</v>
      </c>
      <c r="R107" s="14">
        <f t="shared" si="5"/>
        <v>28500</v>
      </c>
    </row>
    <row r="108" spans="1:18" x14ac:dyDescent="0.25">
      <c r="A108">
        <v>107</v>
      </c>
      <c r="B108">
        <v>3</v>
      </c>
      <c r="C108" t="str">
        <f>VLOOKUP(B108,'Cadastro Produtos'!A:E,2,2)</f>
        <v>Limonada Alfa Zero 500 ml</v>
      </c>
      <c r="D108">
        <v>6</v>
      </c>
      <c r="E108" t="str">
        <f>VLOOKUP(D108,'Cadatro Clientes'!A:O,2,2)</f>
        <v>Lemonade</v>
      </c>
      <c r="F108" t="str">
        <f>VLOOKUP(D108,'Cadatro Clientes'!A:O,9,2)</f>
        <v>Norte</v>
      </c>
      <c r="G108" s="15">
        <v>41683</v>
      </c>
      <c r="H108">
        <f t="shared" si="6"/>
        <v>5</v>
      </c>
      <c r="I108">
        <f t="shared" si="7"/>
        <v>13</v>
      </c>
      <c r="J108">
        <f t="shared" si="8"/>
        <v>2</v>
      </c>
      <c r="K108">
        <f t="shared" si="9"/>
        <v>2014</v>
      </c>
      <c r="M108">
        <v>9</v>
      </c>
      <c r="N108" t="str">
        <f>VLOOKUP(M108,'Cadastro Vendedores'!A:H,2,2)</f>
        <v>Adriana</v>
      </c>
      <c r="O108" s="2"/>
      <c r="P108" s="16">
        <v>4500</v>
      </c>
      <c r="Q108" s="2">
        <f>VLOOKUP(B108,'Cadastro Produtos'!A:F,5,2)</f>
        <v>9</v>
      </c>
      <c r="R108" s="14">
        <f t="shared" si="5"/>
        <v>40500</v>
      </c>
    </row>
    <row r="109" spans="1:18" x14ac:dyDescent="0.25">
      <c r="A109">
        <v>108</v>
      </c>
      <c r="B109">
        <v>10</v>
      </c>
      <c r="C109" t="str">
        <f>VLOOKUP(B109,'Cadastro Produtos'!A:E,2,2)</f>
        <v>Limonada Alfa com Hortelã Zero 1 L</v>
      </c>
      <c r="D109">
        <v>6</v>
      </c>
      <c r="E109" t="str">
        <f>VLOOKUP(D109,'Cadatro Clientes'!A:O,2,2)</f>
        <v>Lemonade</v>
      </c>
      <c r="F109" t="str">
        <f>VLOOKUP(D109,'Cadatro Clientes'!A:O,9,2)</f>
        <v>Norte</v>
      </c>
      <c r="G109" s="15">
        <v>41683</v>
      </c>
      <c r="H109">
        <f t="shared" si="6"/>
        <v>5</v>
      </c>
      <c r="I109">
        <f t="shared" si="7"/>
        <v>13</v>
      </c>
      <c r="J109">
        <f t="shared" si="8"/>
        <v>2</v>
      </c>
      <c r="K109">
        <f t="shared" si="9"/>
        <v>2014</v>
      </c>
      <c r="M109">
        <v>7</v>
      </c>
      <c r="N109" t="str">
        <f>VLOOKUP(M109,'Cadastro Vendedores'!A:H,2,2)</f>
        <v>Benedito</v>
      </c>
      <c r="O109" s="2"/>
      <c r="P109" s="16">
        <v>1900</v>
      </c>
      <c r="Q109" s="2">
        <f>VLOOKUP(B109,'Cadastro Produtos'!A:F,5,2)</f>
        <v>21</v>
      </c>
      <c r="R109" s="14">
        <f t="shared" si="5"/>
        <v>39900</v>
      </c>
    </row>
    <row r="110" spans="1:18" x14ac:dyDescent="0.25">
      <c r="A110">
        <v>109</v>
      </c>
      <c r="B110">
        <v>4</v>
      </c>
      <c r="C110" t="str">
        <f>VLOOKUP(B110,'Cadastro Produtos'!A:E,2,2)</f>
        <v>Limonada Beta Zero 500 ml</v>
      </c>
      <c r="D110">
        <v>17</v>
      </c>
      <c r="E110" t="str">
        <f>VLOOKUP(D110,'Cadatro Clientes'!A:O,2,2)</f>
        <v>Aracasuco</v>
      </c>
      <c r="F110" t="str">
        <f>VLOOKUP(D110,'Cadatro Clientes'!A:O,9,2)</f>
        <v>Nordeste</v>
      </c>
      <c r="G110" s="15">
        <v>41683</v>
      </c>
      <c r="H110">
        <f t="shared" si="6"/>
        <v>5</v>
      </c>
      <c r="I110">
        <f t="shared" si="7"/>
        <v>13</v>
      </c>
      <c r="J110">
        <f t="shared" si="8"/>
        <v>2</v>
      </c>
      <c r="K110">
        <f t="shared" si="9"/>
        <v>2014</v>
      </c>
      <c r="M110">
        <v>2</v>
      </c>
      <c r="N110" t="str">
        <f>VLOOKUP(M110,'Cadastro Vendedores'!A:H,2,2)</f>
        <v>Luis</v>
      </c>
      <c r="O110" s="2"/>
      <c r="P110" s="16">
        <v>3400</v>
      </c>
      <c r="Q110" s="2">
        <f>VLOOKUP(B110,'Cadastro Produtos'!A:F,5,2)</f>
        <v>7</v>
      </c>
      <c r="R110" s="14">
        <f t="shared" si="5"/>
        <v>23800</v>
      </c>
    </row>
    <row r="111" spans="1:18" x14ac:dyDescent="0.25">
      <c r="A111">
        <v>110</v>
      </c>
      <c r="B111">
        <v>5</v>
      </c>
      <c r="C111" t="str">
        <f>VLOOKUP(B111,'Cadastro Produtos'!A:E,2,2)</f>
        <v>Limonada Alfa com Açúcar 1 L</v>
      </c>
      <c r="D111">
        <v>7</v>
      </c>
      <c r="E111" t="str">
        <f>VLOOKUP(D111,'Cadatro Clientes'!A:O,2,2)</f>
        <v>Limo</v>
      </c>
      <c r="F111" t="str">
        <f>VLOOKUP(D111,'Cadatro Clientes'!A:O,9,2)</f>
        <v>Centro-Oeste</v>
      </c>
      <c r="G111" s="15">
        <v>41683</v>
      </c>
      <c r="H111">
        <f t="shared" si="6"/>
        <v>5</v>
      </c>
      <c r="I111">
        <f t="shared" si="7"/>
        <v>13</v>
      </c>
      <c r="J111">
        <f t="shared" si="8"/>
        <v>2</v>
      </c>
      <c r="K111">
        <f t="shared" si="9"/>
        <v>2014</v>
      </c>
      <c r="M111">
        <v>4</v>
      </c>
      <c r="N111" t="str">
        <f>VLOOKUP(M111,'Cadastro Vendedores'!A:H,2,2)</f>
        <v>José</v>
      </c>
      <c r="O111" s="2"/>
      <c r="P111" s="16">
        <v>1900</v>
      </c>
      <c r="Q111" s="2">
        <f>VLOOKUP(B111,'Cadastro Produtos'!A:F,5,2)</f>
        <v>15</v>
      </c>
      <c r="R111" s="14">
        <f t="shared" si="5"/>
        <v>28500</v>
      </c>
    </row>
    <row r="112" spans="1:18" x14ac:dyDescent="0.25">
      <c r="A112">
        <v>111</v>
      </c>
      <c r="B112">
        <v>4</v>
      </c>
      <c r="C112" t="str">
        <f>VLOOKUP(B112,'Cadastro Produtos'!A:E,2,2)</f>
        <v>Limonada Beta Zero 500 ml</v>
      </c>
      <c r="D112">
        <v>5</v>
      </c>
      <c r="E112" t="str">
        <f>VLOOKUP(D112,'Cadatro Clientes'!A:O,2,2)</f>
        <v>Axé com Limão</v>
      </c>
      <c r="F112" t="str">
        <f>VLOOKUP(D112,'Cadatro Clientes'!A:O,9,2)</f>
        <v>Nordeste</v>
      </c>
      <c r="G112" s="15">
        <v>41683</v>
      </c>
      <c r="H112">
        <f t="shared" si="6"/>
        <v>5</v>
      </c>
      <c r="I112">
        <f t="shared" si="7"/>
        <v>13</v>
      </c>
      <c r="J112">
        <f t="shared" si="8"/>
        <v>2</v>
      </c>
      <c r="K112">
        <f t="shared" si="9"/>
        <v>2014</v>
      </c>
      <c r="M112">
        <v>2</v>
      </c>
      <c r="N112" t="str">
        <f>VLOOKUP(M112,'Cadastro Vendedores'!A:H,2,2)</f>
        <v>Luis</v>
      </c>
      <c r="O112" s="2"/>
      <c r="P112" s="16">
        <v>6900</v>
      </c>
      <c r="Q112" s="2">
        <f>VLOOKUP(B112,'Cadastro Produtos'!A:F,5,2)</f>
        <v>7</v>
      </c>
      <c r="R112" s="14">
        <f t="shared" si="5"/>
        <v>48300</v>
      </c>
    </row>
    <row r="113" spans="1:18" x14ac:dyDescent="0.25">
      <c r="A113">
        <v>112</v>
      </c>
      <c r="B113">
        <v>4</v>
      </c>
      <c r="C113" t="str">
        <f>VLOOKUP(B113,'Cadastro Produtos'!A:E,2,2)</f>
        <v>Limonada Beta Zero 500 ml</v>
      </c>
      <c r="D113">
        <v>14</v>
      </c>
      <c r="E113" t="str">
        <f>VLOOKUP(D113,'Cadatro Clientes'!A:O,2,2)</f>
        <v>Sprite</v>
      </c>
      <c r="F113" t="str">
        <f>VLOOKUP(D113,'Cadatro Clientes'!A:O,9,2)</f>
        <v>Norte</v>
      </c>
      <c r="G113" s="15">
        <v>41684</v>
      </c>
      <c r="H113">
        <f t="shared" si="6"/>
        <v>6</v>
      </c>
      <c r="I113">
        <f t="shared" si="7"/>
        <v>14</v>
      </c>
      <c r="J113">
        <f t="shared" si="8"/>
        <v>2</v>
      </c>
      <c r="K113">
        <f t="shared" si="9"/>
        <v>2014</v>
      </c>
      <c r="M113">
        <v>8</v>
      </c>
      <c r="N113" t="str">
        <f>VLOOKUP(M113,'Cadastro Vendedores'!A:H,2,2)</f>
        <v>Sérgio</v>
      </c>
      <c r="O113" s="2"/>
      <c r="P113" s="16">
        <v>3000</v>
      </c>
      <c r="Q113" s="2">
        <f>VLOOKUP(B113,'Cadastro Produtos'!A:F,5,2)</f>
        <v>7</v>
      </c>
      <c r="R113" s="14">
        <f t="shared" si="5"/>
        <v>21000</v>
      </c>
    </row>
    <row r="114" spans="1:18" x14ac:dyDescent="0.25">
      <c r="A114">
        <v>113</v>
      </c>
      <c r="B114">
        <v>1</v>
      </c>
      <c r="C114" t="str">
        <f>VLOOKUP(B114,'Cadastro Produtos'!A:E,2,2)</f>
        <v>Limonada Alfa com Açúcar 500 ml</v>
      </c>
      <c r="D114">
        <v>7</v>
      </c>
      <c r="E114" t="str">
        <f>VLOOKUP(D114,'Cadatro Clientes'!A:O,2,2)</f>
        <v>Limo</v>
      </c>
      <c r="F114" t="str">
        <f>VLOOKUP(D114,'Cadatro Clientes'!A:O,9,2)</f>
        <v>Centro-Oeste</v>
      </c>
      <c r="G114" s="15">
        <v>41684</v>
      </c>
      <c r="H114">
        <f t="shared" si="6"/>
        <v>6</v>
      </c>
      <c r="I114">
        <f t="shared" si="7"/>
        <v>14</v>
      </c>
      <c r="J114">
        <f t="shared" si="8"/>
        <v>2</v>
      </c>
      <c r="K114">
        <f t="shared" si="9"/>
        <v>2014</v>
      </c>
      <c r="M114">
        <v>7</v>
      </c>
      <c r="N114" t="str">
        <f>VLOOKUP(M114,'Cadastro Vendedores'!A:H,2,2)</f>
        <v>Benedito</v>
      </c>
      <c r="O114" s="2"/>
      <c r="P114" s="16">
        <v>2600</v>
      </c>
      <c r="Q114" s="2">
        <f>VLOOKUP(B114,'Cadastro Produtos'!A:F,5,2)</f>
        <v>8.5</v>
      </c>
      <c r="R114" s="14">
        <f t="shared" si="5"/>
        <v>22100</v>
      </c>
    </row>
    <row r="115" spans="1:18" x14ac:dyDescent="0.25">
      <c r="A115">
        <v>114</v>
      </c>
      <c r="B115">
        <v>6</v>
      </c>
      <c r="C115" t="str">
        <f>VLOOKUP(B115,'Cadastro Produtos'!A:E,2,2)</f>
        <v>Limonada Beta com Açúcar 1 L</v>
      </c>
      <c r="D115">
        <v>17</v>
      </c>
      <c r="E115" t="str">
        <f>VLOOKUP(D115,'Cadatro Clientes'!A:O,2,2)</f>
        <v>Aracasuco</v>
      </c>
      <c r="F115" t="str">
        <f>VLOOKUP(D115,'Cadatro Clientes'!A:O,9,2)</f>
        <v>Nordeste</v>
      </c>
      <c r="G115" s="15">
        <v>41684</v>
      </c>
      <c r="H115">
        <f t="shared" si="6"/>
        <v>6</v>
      </c>
      <c r="I115">
        <f t="shared" si="7"/>
        <v>14</v>
      </c>
      <c r="J115">
        <f t="shared" si="8"/>
        <v>2</v>
      </c>
      <c r="K115">
        <f t="shared" si="9"/>
        <v>2014</v>
      </c>
      <c r="M115">
        <v>2</v>
      </c>
      <c r="N115" t="str">
        <f>VLOOKUP(M115,'Cadastro Vendedores'!A:H,2,2)</f>
        <v>Luis</v>
      </c>
      <c r="O115" s="2"/>
      <c r="P115" s="16">
        <v>4200</v>
      </c>
      <c r="Q115" s="2">
        <f>VLOOKUP(B115,'Cadastro Produtos'!A:F,5,2)</f>
        <v>12</v>
      </c>
      <c r="R115" s="14">
        <f t="shared" si="5"/>
        <v>50400</v>
      </c>
    </row>
    <row r="116" spans="1:18" x14ac:dyDescent="0.25">
      <c r="A116">
        <v>115</v>
      </c>
      <c r="B116">
        <v>6</v>
      </c>
      <c r="C116" t="str">
        <f>VLOOKUP(B116,'Cadastro Produtos'!A:E,2,2)</f>
        <v>Limonada Beta com Açúcar 1 L</v>
      </c>
      <c r="D116">
        <v>1</v>
      </c>
      <c r="E116" t="str">
        <f>VLOOKUP(D116,'Cadatro Clientes'!A:O,2,2)</f>
        <v>Meu Suco de Limão</v>
      </c>
      <c r="F116" t="str">
        <f>VLOOKUP(D116,'Cadatro Clientes'!A:O,9,2)</f>
        <v>Norte</v>
      </c>
      <c r="G116" s="15">
        <v>41684</v>
      </c>
      <c r="H116">
        <f t="shared" si="6"/>
        <v>6</v>
      </c>
      <c r="I116">
        <f t="shared" si="7"/>
        <v>14</v>
      </c>
      <c r="J116">
        <f t="shared" si="8"/>
        <v>2</v>
      </c>
      <c r="K116">
        <f t="shared" si="9"/>
        <v>2014</v>
      </c>
      <c r="M116">
        <v>7</v>
      </c>
      <c r="N116" t="str">
        <f>VLOOKUP(M116,'Cadastro Vendedores'!A:H,2,2)</f>
        <v>Benedito</v>
      </c>
      <c r="O116" s="2"/>
      <c r="P116" s="16">
        <v>3500</v>
      </c>
      <c r="Q116" s="2">
        <f>VLOOKUP(B116,'Cadastro Produtos'!A:F,5,2)</f>
        <v>12</v>
      </c>
      <c r="R116" s="14">
        <f t="shared" si="5"/>
        <v>42000</v>
      </c>
    </row>
    <row r="117" spans="1:18" x14ac:dyDescent="0.25">
      <c r="A117">
        <v>116</v>
      </c>
      <c r="B117">
        <v>10</v>
      </c>
      <c r="C117" t="str">
        <f>VLOOKUP(B117,'Cadastro Produtos'!A:E,2,2)</f>
        <v>Limonada Alfa com Hortelã Zero 1 L</v>
      </c>
      <c r="D117">
        <v>18</v>
      </c>
      <c r="E117" t="str">
        <f>VLOOKUP(D117,'Cadatro Clientes'!A:O,2,2)</f>
        <v>Rio Branco Limonada Ltda</v>
      </c>
      <c r="F117" t="str">
        <f>VLOOKUP(D117,'Cadatro Clientes'!A:O,9,2)</f>
        <v>Norte</v>
      </c>
      <c r="G117" s="15">
        <v>41685</v>
      </c>
      <c r="H117">
        <f t="shared" si="6"/>
        <v>7</v>
      </c>
      <c r="I117">
        <f t="shared" si="7"/>
        <v>15</v>
      </c>
      <c r="J117">
        <f t="shared" si="8"/>
        <v>2</v>
      </c>
      <c r="K117">
        <f t="shared" si="9"/>
        <v>2014</v>
      </c>
      <c r="M117">
        <v>2</v>
      </c>
      <c r="N117" t="str">
        <f>VLOOKUP(M117,'Cadastro Vendedores'!A:H,2,2)</f>
        <v>Luis</v>
      </c>
      <c r="O117" s="2"/>
      <c r="P117" s="16">
        <v>1500</v>
      </c>
      <c r="Q117" s="2">
        <f>VLOOKUP(B117,'Cadastro Produtos'!A:F,5,2)</f>
        <v>21</v>
      </c>
      <c r="R117" s="14">
        <f t="shared" si="5"/>
        <v>31500</v>
      </c>
    </row>
    <row r="118" spans="1:18" x14ac:dyDescent="0.25">
      <c r="A118">
        <v>117</v>
      </c>
      <c r="B118">
        <v>5</v>
      </c>
      <c r="C118" t="str">
        <f>VLOOKUP(B118,'Cadastro Produtos'!A:E,2,2)</f>
        <v>Limonada Alfa com Açúcar 1 L</v>
      </c>
      <c r="D118">
        <v>6</v>
      </c>
      <c r="E118" t="str">
        <f>VLOOKUP(D118,'Cadatro Clientes'!A:O,2,2)</f>
        <v>Lemonade</v>
      </c>
      <c r="F118" t="str">
        <f>VLOOKUP(D118,'Cadatro Clientes'!A:O,9,2)</f>
        <v>Norte</v>
      </c>
      <c r="G118" s="15">
        <v>41686</v>
      </c>
      <c r="H118">
        <f t="shared" si="6"/>
        <v>1</v>
      </c>
      <c r="I118">
        <f t="shared" si="7"/>
        <v>16</v>
      </c>
      <c r="J118">
        <f t="shared" si="8"/>
        <v>2</v>
      </c>
      <c r="K118">
        <f t="shared" si="9"/>
        <v>2014</v>
      </c>
      <c r="M118">
        <v>2</v>
      </c>
      <c r="N118" t="str">
        <f>VLOOKUP(M118,'Cadastro Vendedores'!A:H,2,2)</f>
        <v>Luis</v>
      </c>
      <c r="O118" s="2"/>
      <c r="P118" s="16">
        <v>3200</v>
      </c>
      <c r="Q118" s="2">
        <f>VLOOKUP(B118,'Cadastro Produtos'!A:F,5,2)</f>
        <v>15</v>
      </c>
      <c r="R118" s="14">
        <f t="shared" si="5"/>
        <v>48000</v>
      </c>
    </row>
    <row r="119" spans="1:18" x14ac:dyDescent="0.25">
      <c r="A119">
        <v>118</v>
      </c>
      <c r="B119">
        <v>7</v>
      </c>
      <c r="C119" t="str">
        <f>VLOOKUP(B119,'Cadastro Produtos'!A:E,2,2)</f>
        <v>Limonada Alfa Zero 1 L</v>
      </c>
      <c r="D119">
        <v>19</v>
      </c>
      <c r="E119" t="str">
        <f>VLOOKUP(D119,'Cadatro Clientes'!A:O,2,2)</f>
        <v>Lima Limão</v>
      </c>
      <c r="F119" t="str">
        <f>VLOOKUP(D119,'Cadatro Clientes'!A:O,9,2)</f>
        <v>Sudeste</v>
      </c>
      <c r="G119" s="15">
        <v>41686</v>
      </c>
      <c r="H119">
        <f t="shared" si="6"/>
        <v>1</v>
      </c>
      <c r="I119">
        <f t="shared" si="7"/>
        <v>16</v>
      </c>
      <c r="J119">
        <f t="shared" si="8"/>
        <v>2</v>
      </c>
      <c r="K119">
        <f t="shared" si="9"/>
        <v>2014</v>
      </c>
      <c r="M119">
        <v>3</v>
      </c>
      <c r="N119" t="str">
        <f>VLOOKUP(M119,'Cadastro Vendedores'!A:H,2,2)</f>
        <v>Antônia</v>
      </c>
      <c r="O119" s="2"/>
      <c r="P119" s="16">
        <v>3900</v>
      </c>
      <c r="Q119" s="2">
        <f>VLOOKUP(B119,'Cadastro Produtos'!A:F,5,2)</f>
        <v>15</v>
      </c>
      <c r="R119" s="14">
        <f t="shared" si="5"/>
        <v>58500</v>
      </c>
    </row>
    <row r="120" spans="1:18" x14ac:dyDescent="0.25">
      <c r="A120">
        <v>119</v>
      </c>
      <c r="B120">
        <v>1</v>
      </c>
      <c r="C120" t="str">
        <f>VLOOKUP(B120,'Cadastro Produtos'!A:E,2,2)</f>
        <v>Limonada Alfa com Açúcar 500 ml</v>
      </c>
      <c r="D120">
        <v>17</v>
      </c>
      <c r="E120" t="str">
        <f>VLOOKUP(D120,'Cadatro Clientes'!A:O,2,2)</f>
        <v>Aracasuco</v>
      </c>
      <c r="F120" t="str">
        <f>VLOOKUP(D120,'Cadatro Clientes'!A:O,9,2)</f>
        <v>Nordeste</v>
      </c>
      <c r="G120" s="15">
        <v>41686</v>
      </c>
      <c r="H120">
        <f t="shared" si="6"/>
        <v>1</v>
      </c>
      <c r="I120">
        <f t="shared" si="7"/>
        <v>16</v>
      </c>
      <c r="J120">
        <f t="shared" si="8"/>
        <v>2</v>
      </c>
      <c r="K120">
        <f t="shared" si="9"/>
        <v>2014</v>
      </c>
      <c r="M120">
        <v>9</v>
      </c>
      <c r="N120" t="str">
        <f>VLOOKUP(M120,'Cadastro Vendedores'!A:H,2,2)</f>
        <v>Adriana</v>
      </c>
      <c r="O120" s="2"/>
      <c r="P120" s="16">
        <v>1600</v>
      </c>
      <c r="Q120" s="2">
        <f>VLOOKUP(B120,'Cadastro Produtos'!A:F,5,2)</f>
        <v>8.5</v>
      </c>
      <c r="R120" s="14">
        <f t="shared" si="5"/>
        <v>13600</v>
      </c>
    </row>
    <row r="121" spans="1:18" x14ac:dyDescent="0.25">
      <c r="A121">
        <v>120</v>
      </c>
      <c r="B121">
        <v>5</v>
      </c>
      <c r="C121" t="str">
        <f>VLOOKUP(B121,'Cadastro Produtos'!A:E,2,2)</f>
        <v>Limonada Alfa com Açúcar 1 L</v>
      </c>
      <c r="D121">
        <v>6</v>
      </c>
      <c r="E121" t="str">
        <f>VLOOKUP(D121,'Cadatro Clientes'!A:O,2,2)</f>
        <v>Lemonade</v>
      </c>
      <c r="F121" t="str">
        <f>VLOOKUP(D121,'Cadatro Clientes'!A:O,9,2)</f>
        <v>Norte</v>
      </c>
      <c r="G121" s="15">
        <v>41686</v>
      </c>
      <c r="H121">
        <f t="shared" si="6"/>
        <v>1</v>
      </c>
      <c r="I121">
        <f t="shared" si="7"/>
        <v>16</v>
      </c>
      <c r="J121">
        <f t="shared" si="8"/>
        <v>2</v>
      </c>
      <c r="K121">
        <f t="shared" si="9"/>
        <v>2014</v>
      </c>
      <c r="M121">
        <v>8</v>
      </c>
      <c r="N121" t="str">
        <f>VLOOKUP(M121,'Cadastro Vendedores'!A:H,2,2)</f>
        <v>Sérgio</v>
      </c>
      <c r="O121" s="2"/>
      <c r="P121" s="16">
        <v>1000</v>
      </c>
      <c r="Q121" s="2">
        <f>VLOOKUP(B121,'Cadastro Produtos'!A:F,5,2)</f>
        <v>15</v>
      </c>
      <c r="R121" s="14">
        <f t="shared" si="5"/>
        <v>15000</v>
      </c>
    </row>
    <row r="122" spans="1:18" x14ac:dyDescent="0.25">
      <c r="A122">
        <v>121</v>
      </c>
      <c r="B122">
        <v>4</v>
      </c>
      <c r="C122" t="str">
        <f>VLOOKUP(B122,'Cadastro Produtos'!A:E,2,2)</f>
        <v>Limonada Beta Zero 500 ml</v>
      </c>
      <c r="D122">
        <v>17</v>
      </c>
      <c r="E122" t="str">
        <f>VLOOKUP(D122,'Cadatro Clientes'!A:O,2,2)</f>
        <v>Aracasuco</v>
      </c>
      <c r="F122" t="str">
        <f>VLOOKUP(D122,'Cadatro Clientes'!A:O,9,2)</f>
        <v>Nordeste</v>
      </c>
      <c r="G122" s="15">
        <v>41686</v>
      </c>
      <c r="H122">
        <f t="shared" si="6"/>
        <v>1</v>
      </c>
      <c r="I122">
        <f t="shared" si="7"/>
        <v>16</v>
      </c>
      <c r="J122">
        <f t="shared" si="8"/>
        <v>2</v>
      </c>
      <c r="K122">
        <f t="shared" si="9"/>
        <v>2014</v>
      </c>
      <c r="M122">
        <v>9</v>
      </c>
      <c r="N122" t="str">
        <f>VLOOKUP(M122,'Cadastro Vendedores'!A:H,2,2)</f>
        <v>Adriana</v>
      </c>
      <c r="O122" s="2"/>
      <c r="P122" s="16">
        <v>3700</v>
      </c>
      <c r="Q122" s="2">
        <f>VLOOKUP(B122,'Cadastro Produtos'!A:F,5,2)</f>
        <v>7</v>
      </c>
      <c r="R122" s="14">
        <f t="shared" si="5"/>
        <v>25900</v>
      </c>
    </row>
    <row r="123" spans="1:18" x14ac:dyDescent="0.25">
      <c r="A123">
        <v>122</v>
      </c>
      <c r="B123">
        <v>8</v>
      </c>
      <c r="C123" t="str">
        <f>VLOOKUP(B123,'Cadastro Produtos'!A:E,2,2)</f>
        <v>Limonada Beta Zero 1 L</v>
      </c>
      <c r="D123">
        <v>11</v>
      </c>
      <c r="E123" t="str">
        <f>VLOOKUP(D123,'Cadatro Clientes'!A:O,2,2)</f>
        <v>Red Lemon</v>
      </c>
      <c r="F123" t="str">
        <f>VLOOKUP(D123,'Cadatro Clientes'!A:O,9,2)</f>
        <v>Sul</v>
      </c>
      <c r="G123" s="15">
        <v>41686</v>
      </c>
      <c r="H123">
        <f t="shared" si="6"/>
        <v>1</v>
      </c>
      <c r="I123">
        <f t="shared" si="7"/>
        <v>16</v>
      </c>
      <c r="J123">
        <f t="shared" si="8"/>
        <v>2</v>
      </c>
      <c r="K123">
        <f t="shared" si="9"/>
        <v>2014</v>
      </c>
      <c r="M123">
        <v>6</v>
      </c>
      <c r="N123" t="str">
        <f>VLOOKUP(M123,'Cadastro Vendedores'!A:H,2,2)</f>
        <v>Antônia</v>
      </c>
      <c r="O123" s="2"/>
      <c r="P123" s="16">
        <v>5200</v>
      </c>
      <c r="Q123" s="2">
        <f>VLOOKUP(B123,'Cadastro Produtos'!A:F,5,2)</f>
        <v>12</v>
      </c>
      <c r="R123" s="14">
        <f t="shared" si="5"/>
        <v>62400</v>
      </c>
    </row>
    <row r="124" spans="1:18" x14ac:dyDescent="0.25">
      <c r="A124">
        <v>123</v>
      </c>
      <c r="B124">
        <v>5</v>
      </c>
      <c r="C124" t="str">
        <f>VLOOKUP(B124,'Cadastro Produtos'!A:E,2,2)</f>
        <v>Limonada Alfa com Açúcar 1 L</v>
      </c>
      <c r="D124">
        <v>8</v>
      </c>
      <c r="E124" t="str">
        <f>VLOOKUP(D124,'Cadatro Clientes'!A:O,2,2)</f>
        <v>Refresko</v>
      </c>
      <c r="F124" t="str">
        <f>VLOOKUP(D124,'Cadatro Clientes'!A:O,9,2)</f>
        <v>Sul</v>
      </c>
      <c r="G124" s="15">
        <v>41686</v>
      </c>
      <c r="H124">
        <f t="shared" si="6"/>
        <v>1</v>
      </c>
      <c r="I124">
        <f t="shared" si="7"/>
        <v>16</v>
      </c>
      <c r="J124">
        <f t="shared" si="8"/>
        <v>2</v>
      </c>
      <c r="K124">
        <f t="shared" si="9"/>
        <v>2014</v>
      </c>
      <c r="M124">
        <v>6</v>
      </c>
      <c r="N124" t="str">
        <f>VLOOKUP(M124,'Cadastro Vendedores'!A:H,2,2)</f>
        <v>Antônia</v>
      </c>
      <c r="O124" s="2"/>
      <c r="P124" s="16">
        <v>2900</v>
      </c>
      <c r="Q124" s="2">
        <f>VLOOKUP(B124,'Cadastro Produtos'!A:F,5,2)</f>
        <v>15</v>
      </c>
      <c r="R124" s="14">
        <f t="shared" si="5"/>
        <v>43500</v>
      </c>
    </row>
    <row r="125" spans="1:18" x14ac:dyDescent="0.25">
      <c r="A125">
        <v>124</v>
      </c>
      <c r="B125">
        <v>3</v>
      </c>
      <c r="C125" t="str">
        <f>VLOOKUP(B125,'Cadastro Produtos'!A:E,2,2)</f>
        <v>Limonada Alfa Zero 500 ml</v>
      </c>
      <c r="D125">
        <v>16</v>
      </c>
      <c r="E125" t="str">
        <f>VLOOKUP(D125,'Cadatro Clientes'!A:O,2,2)</f>
        <v>Norte Suco</v>
      </c>
      <c r="F125" t="str">
        <f>VLOOKUP(D125,'Cadatro Clientes'!A:O,9,2)</f>
        <v>Nordeste</v>
      </c>
      <c r="G125" s="15">
        <v>41688</v>
      </c>
      <c r="H125">
        <f t="shared" si="6"/>
        <v>3</v>
      </c>
      <c r="I125">
        <f t="shared" si="7"/>
        <v>18</v>
      </c>
      <c r="J125">
        <f t="shared" si="8"/>
        <v>2</v>
      </c>
      <c r="K125">
        <f t="shared" si="9"/>
        <v>2014</v>
      </c>
      <c r="M125">
        <v>2</v>
      </c>
      <c r="N125" t="str">
        <f>VLOOKUP(M125,'Cadastro Vendedores'!A:H,2,2)</f>
        <v>Luis</v>
      </c>
      <c r="O125" s="2"/>
      <c r="P125" s="16">
        <v>4200</v>
      </c>
      <c r="Q125" s="2">
        <f>VLOOKUP(B125,'Cadastro Produtos'!A:F,5,2)</f>
        <v>9</v>
      </c>
      <c r="R125" s="14">
        <f t="shared" si="5"/>
        <v>37800</v>
      </c>
    </row>
    <row r="126" spans="1:18" x14ac:dyDescent="0.25">
      <c r="A126">
        <v>125</v>
      </c>
      <c r="B126">
        <v>7</v>
      </c>
      <c r="C126" t="str">
        <f>VLOOKUP(B126,'Cadastro Produtos'!A:E,2,2)</f>
        <v>Limonada Alfa Zero 1 L</v>
      </c>
      <c r="D126">
        <v>16</v>
      </c>
      <c r="E126" t="str">
        <f>VLOOKUP(D126,'Cadatro Clientes'!A:O,2,2)</f>
        <v>Norte Suco</v>
      </c>
      <c r="F126" t="str">
        <f>VLOOKUP(D126,'Cadatro Clientes'!A:O,9,2)</f>
        <v>Nordeste</v>
      </c>
      <c r="G126" s="15">
        <v>41689</v>
      </c>
      <c r="H126">
        <f t="shared" si="6"/>
        <v>4</v>
      </c>
      <c r="I126">
        <f t="shared" si="7"/>
        <v>19</v>
      </c>
      <c r="J126">
        <f t="shared" si="8"/>
        <v>2</v>
      </c>
      <c r="K126">
        <f t="shared" si="9"/>
        <v>2014</v>
      </c>
      <c r="M126">
        <v>3</v>
      </c>
      <c r="N126" t="str">
        <f>VLOOKUP(M126,'Cadastro Vendedores'!A:H,2,2)</f>
        <v>Antônia</v>
      </c>
      <c r="O126" s="2"/>
      <c r="P126" s="16">
        <v>1400</v>
      </c>
      <c r="Q126" s="2">
        <f>VLOOKUP(B126,'Cadastro Produtos'!A:F,5,2)</f>
        <v>15</v>
      </c>
      <c r="R126" s="14">
        <f t="shared" si="5"/>
        <v>21000</v>
      </c>
    </row>
    <row r="127" spans="1:18" x14ac:dyDescent="0.25">
      <c r="A127">
        <v>126</v>
      </c>
      <c r="B127">
        <v>2</v>
      </c>
      <c r="C127" t="str">
        <f>VLOOKUP(B127,'Cadastro Produtos'!A:E,2,2)</f>
        <v>Limonada Beta com Açúcar 500 ml</v>
      </c>
      <c r="D127">
        <v>7</v>
      </c>
      <c r="E127" t="str">
        <f>VLOOKUP(D127,'Cadatro Clientes'!A:O,2,2)</f>
        <v>Limo</v>
      </c>
      <c r="F127" t="str">
        <f>VLOOKUP(D127,'Cadatro Clientes'!A:O,9,2)</f>
        <v>Centro-Oeste</v>
      </c>
      <c r="G127" s="15">
        <v>41689</v>
      </c>
      <c r="H127">
        <f t="shared" si="6"/>
        <v>4</v>
      </c>
      <c r="I127">
        <f t="shared" si="7"/>
        <v>19</v>
      </c>
      <c r="J127">
        <f t="shared" si="8"/>
        <v>2</v>
      </c>
      <c r="K127">
        <f t="shared" si="9"/>
        <v>2014</v>
      </c>
      <c r="M127">
        <v>2</v>
      </c>
      <c r="N127" t="str">
        <f>VLOOKUP(M127,'Cadastro Vendedores'!A:H,2,2)</f>
        <v>Luis</v>
      </c>
      <c r="O127" s="2"/>
      <c r="P127" s="16">
        <v>4100</v>
      </c>
      <c r="Q127" s="2">
        <f>VLOOKUP(B127,'Cadastro Produtos'!A:F,5,2)</f>
        <v>6.5</v>
      </c>
      <c r="R127" s="14">
        <f t="shared" si="5"/>
        <v>26650</v>
      </c>
    </row>
    <row r="128" spans="1:18" x14ac:dyDescent="0.25">
      <c r="A128">
        <v>127</v>
      </c>
      <c r="B128">
        <v>3</v>
      </c>
      <c r="C128" t="str">
        <f>VLOOKUP(B128,'Cadastro Produtos'!A:E,2,2)</f>
        <v>Limonada Alfa Zero 500 ml</v>
      </c>
      <c r="D128">
        <v>20</v>
      </c>
      <c r="E128" t="str">
        <f>VLOOKUP(D128,'Cadatro Clientes'!A:O,2,2)</f>
        <v>Brasil Saúde</v>
      </c>
      <c r="F128" t="str">
        <f>VLOOKUP(D128,'Cadatro Clientes'!A:O,9,2)</f>
        <v>Nordeste</v>
      </c>
      <c r="G128" s="15">
        <v>41690</v>
      </c>
      <c r="H128">
        <f t="shared" si="6"/>
        <v>5</v>
      </c>
      <c r="I128">
        <f t="shared" si="7"/>
        <v>20</v>
      </c>
      <c r="J128">
        <f t="shared" si="8"/>
        <v>2</v>
      </c>
      <c r="K128">
        <f t="shared" si="9"/>
        <v>2014</v>
      </c>
      <c r="M128">
        <v>9</v>
      </c>
      <c r="N128" t="str">
        <f>VLOOKUP(M128,'Cadastro Vendedores'!A:H,2,2)</f>
        <v>Adriana</v>
      </c>
      <c r="O128" s="2"/>
      <c r="P128" s="16">
        <v>6200</v>
      </c>
      <c r="Q128" s="2">
        <f>VLOOKUP(B128,'Cadastro Produtos'!A:F,5,2)</f>
        <v>9</v>
      </c>
      <c r="R128" s="14">
        <f t="shared" si="5"/>
        <v>55800</v>
      </c>
    </row>
    <row r="129" spans="1:18" x14ac:dyDescent="0.25">
      <c r="A129">
        <v>128</v>
      </c>
      <c r="B129">
        <v>9</v>
      </c>
      <c r="C129" t="str">
        <f>VLOOKUP(B129,'Cadastro Produtos'!A:E,2,2)</f>
        <v>Limonada Alfa com Hortelã e Açúcar 1 L</v>
      </c>
      <c r="D129">
        <v>6</v>
      </c>
      <c r="E129" t="str">
        <f>VLOOKUP(D129,'Cadatro Clientes'!A:O,2,2)</f>
        <v>Lemonade</v>
      </c>
      <c r="F129" t="str">
        <f>VLOOKUP(D129,'Cadatro Clientes'!A:O,9,2)</f>
        <v>Norte</v>
      </c>
      <c r="G129" s="15">
        <v>41691</v>
      </c>
      <c r="H129">
        <f t="shared" si="6"/>
        <v>6</v>
      </c>
      <c r="I129">
        <f t="shared" si="7"/>
        <v>21</v>
      </c>
      <c r="J129">
        <f t="shared" si="8"/>
        <v>2</v>
      </c>
      <c r="K129">
        <f t="shared" si="9"/>
        <v>2014</v>
      </c>
      <c r="M129">
        <v>7</v>
      </c>
      <c r="N129" t="str">
        <f>VLOOKUP(M129,'Cadastro Vendedores'!A:H,2,2)</f>
        <v>Benedito</v>
      </c>
      <c r="O129" s="2"/>
      <c r="P129" s="16">
        <v>2000</v>
      </c>
      <c r="Q129" s="2">
        <f>VLOOKUP(B129,'Cadastro Produtos'!A:F,5,2)</f>
        <v>17.5</v>
      </c>
      <c r="R129" s="14">
        <f t="shared" si="5"/>
        <v>35000</v>
      </c>
    </row>
    <row r="130" spans="1:18" x14ac:dyDescent="0.25">
      <c r="A130">
        <v>129</v>
      </c>
      <c r="B130">
        <v>6</v>
      </c>
      <c r="C130" t="str">
        <f>VLOOKUP(B130,'Cadastro Produtos'!A:E,2,2)</f>
        <v>Limonada Beta com Açúcar 1 L</v>
      </c>
      <c r="D130">
        <v>17</v>
      </c>
      <c r="E130" t="str">
        <f>VLOOKUP(D130,'Cadatro Clientes'!A:O,2,2)</f>
        <v>Aracasuco</v>
      </c>
      <c r="F130" t="str">
        <f>VLOOKUP(D130,'Cadatro Clientes'!A:O,9,2)</f>
        <v>Nordeste</v>
      </c>
      <c r="G130" s="15">
        <v>41691</v>
      </c>
      <c r="H130">
        <f t="shared" si="6"/>
        <v>6</v>
      </c>
      <c r="I130">
        <f t="shared" si="7"/>
        <v>21</v>
      </c>
      <c r="J130">
        <f t="shared" si="8"/>
        <v>2</v>
      </c>
      <c r="K130">
        <f t="shared" si="9"/>
        <v>2014</v>
      </c>
      <c r="M130">
        <v>3</v>
      </c>
      <c r="N130" t="str">
        <f>VLOOKUP(M130,'Cadastro Vendedores'!A:H,2,2)</f>
        <v>Antônia</v>
      </c>
      <c r="O130" s="2"/>
      <c r="P130" s="16">
        <v>3900</v>
      </c>
      <c r="Q130" s="2">
        <f>VLOOKUP(B130,'Cadastro Produtos'!A:F,5,2)</f>
        <v>12</v>
      </c>
      <c r="R130" s="14">
        <f t="shared" ref="R130:R193" si="10">Q130*P130</f>
        <v>46800</v>
      </c>
    </row>
    <row r="131" spans="1:18" x14ac:dyDescent="0.25">
      <c r="A131">
        <v>130</v>
      </c>
      <c r="B131">
        <v>5</v>
      </c>
      <c r="C131" t="str">
        <f>VLOOKUP(B131,'Cadastro Produtos'!A:E,2,2)</f>
        <v>Limonada Alfa com Açúcar 1 L</v>
      </c>
      <c r="D131">
        <v>7</v>
      </c>
      <c r="E131" t="str">
        <f>VLOOKUP(D131,'Cadatro Clientes'!A:O,2,2)</f>
        <v>Limo</v>
      </c>
      <c r="F131" t="str">
        <f>VLOOKUP(D131,'Cadatro Clientes'!A:O,9,2)</f>
        <v>Centro-Oeste</v>
      </c>
      <c r="G131" s="15">
        <v>41691</v>
      </c>
      <c r="H131">
        <f t="shared" ref="H131:H194" si="11">WEEKDAY(G131)</f>
        <v>6</v>
      </c>
      <c r="I131">
        <f t="shared" ref="I131:I194" si="12">DAY(G131)</f>
        <v>21</v>
      </c>
      <c r="J131">
        <f t="shared" ref="J131:J194" si="13">MONTH(G131)</f>
        <v>2</v>
      </c>
      <c r="K131">
        <f t="shared" ref="K131:K194" si="14">YEAR(G131)</f>
        <v>2014</v>
      </c>
      <c r="M131">
        <v>2</v>
      </c>
      <c r="N131" t="str">
        <f>VLOOKUP(M131,'Cadastro Vendedores'!A:H,2,2)</f>
        <v>Luis</v>
      </c>
      <c r="O131" s="2"/>
      <c r="P131" s="16">
        <v>1700</v>
      </c>
      <c r="Q131" s="2">
        <f>VLOOKUP(B131,'Cadastro Produtos'!A:F,5,2)</f>
        <v>15</v>
      </c>
      <c r="R131" s="14">
        <f t="shared" si="10"/>
        <v>25500</v>
      </c>
    </row>
    <row r="132" spans="1:18" x14ac:dyDescent="0.25">
      <c r="A132">
        <v>131</v>
      </c>
      <c r="B132">
        <v>2</v>
      </c>
      <c r="C132" t="str">
        <f>VLOOKUP(B132,'Cadastro Produtos'!A:E,2,2)</f>
        <v>Limonada Beta com Açúcar 500 ml</v>
      </c>
      <c r="D132">
        <v>6</v>
      </c>
      <c r="E132" t="str">
        <f>VLOOKUP(D132,'Cadatro Clientes'!A:O,2,2)</f>
        <v>Lemonade</v>
      </c>
      <c r="F132" t="str">
        <f>VLOOKUP(D132,'Cadatro Clientes'!A:O,9,2)</f>
        <v>Norte</v>
      </c>
      <c r="G132" s="15">
        <v>41692</v>
      </c>
      <c r="H132">
        <f t="shared" si="11"/>
        <v>7</v>
      </c>
      <c r="I132">
        <f t="shared" si="12"/>
        <v>22</v>
      </c>
      <c r="J132">
        <f t="shared" si="13"/>
        <v>2</v>
      </c>
      <c r="K132">
        <f t="shared" si="14"/>
        <v>2014</v>
      </c>
      <c r="M132">
        <v>4</v>
      </c>
      <c r="N132" t="str">
        <f>VLOOKUP(M132,'Cadastro Vendedores'!A:H,2,2)</f>
        <v>José</v>
      </c>
      <c r="O132" s="2"/>
      <c r="P132" s="16">
        <v>2400</v>
      </c>
      <c r="Q132" s="2">
        <f>VLOOKUP(B132,'Cadastro Produtos'!A:F,5,2)</f>
        <v>6.5</v>
      </c>
      <c r="R132" s="14">
        <f t="shared" si="10"/>
        <v>15600</v>
      </c>
    </row>
    <row r="133" spans="1:18" x14ac:dyDescent="0.25">
      <c r="A133">
        <v>132</v>
      </c>
      <c r="B133">
        <v>6</v>
      </c>
      <c r="C133" t="str">
        <f>VLOOKUP(B133,'Cadastro Produtos'!A:E,2,2)</f>
        <v>Limonada Beta com Açúcar 1 L</v>
      </c>
      <c r="D133">
        <v>16</v>
      </c>
      <c r="E133" t="str">
        <f>VLOOKUP(D133,'Cadatro Clientes'!A:O,2,2)</f>
        <v>Norte Suco</v>
      </c>
      <c r="F133" t="str">
        <f>VLOOKUP(D133,'Cadatro Clientes'!A:O,9,2)</f>
        <v>Nordeste</v>
      </c>
      <c r="G133" s="15">
        <v>41692</v>
      </c>
      <c r="H133">
        <f t="shared" si="11"/>
        <v>7</v>
      </c>
      <c r="I133">
        <f t="shared" si="12"/>
        <v>22</v>
      </c>
      <c r="J133">
        <f t="shared" si="13"/>
        <v>2</v>
      </c>
      <c r="K133">
        <f t="shared" si="14"/>
        <v>2014</v>
      </c>
      <c r="M133">
        <v>7</v>
      </c>
      <c r="N133" t="str">
        <f>VLOOKUP(M133,'Cadastro Vendedores'!A:H,2,2)</f>
        <v>Benedito</v>
      </c>
      <c r="O133" s="2"/>
      <c r="P133" s="16">
        <v>4100</v>
      </c>
      <c r="Q133" s="2">
        <f>VLOOKUP(B133,'Cadastro Produtos'!A:F,5,2)</f>
        <v>12</v>
      </c>
      <c r="R133" s="14">
        <f t="shared" si="10"/>
        <v>49200</v>
      </c>
    </row>
    <row r="134" spans="1:18" x14ac:dyDescent="0.25">
      <c r="A134">
        <v>133</v>
      </c>
      <c r="B134">
        <v>7</v>
      </c>
      <c r="C134" t="str">
        <f>VLOOKUP(B134,'Cadastro Produtos'!A:E,2,2)</f>
        <v>Limonada Alfa Zero 1 L</v>
      </c>
      <c r="D134">
        <v>8</v>
      </c>
      <c r="E134" t="str">
        <f>VLOOKUP(D134,'Cadatro Clientes'!A:O,2,2)</f>
        <v>Refresko</v>
      </c>
      <c r="F134" t="str">
        <f>VLOOKUP(D134,'Cadatro Clientes'!A:O,9,2)</f>
        <v>Sul</v>
      </c>
      <c r="G134" s="15">
        <v>41692</v>
      </c>
      <c r="H134">
        <f t="shared" si="11"/>
        <v>7</v>
      </c>
      <c r="I134">
        <f t="shared" si="12"/>
        <v>22</v>
      </c>
      <c r="J134">
        <f t="shared" si="13"/>
        <v>2</v>
      </c>
      <c r="K134">
        <f t="shared" si="14"/>
        <v>2014</v>
      </c>
      <c r="M134">
        <v>2</v>
      </c>
      <c r="N134" t="str">
        <f>VLOOKUP(M134,'Cadastro Vendedores'!A:H,2,2)</f>
        <v>Luis</v>
      </c>
      <c r="O134" s="2"/>
      <c r="P134" s="16">
        <v>2400</v>
      </c>
      <c r="Q134" s="2">
        <f>VLOOKUP(B134,'Cadastro Produtos'!A:F,5,2)</f>
        <v>15</v>
      </c>
      <c r="R134" s="14">
        <f t="shared" si="10"/>
        <v>36000</v>
      </c>
    </row>
    <row r="135" spans="1:18" x14ac:dyDescent="0.25">
      <c r="A135">
        <v>134</v>
      </c>
      <c r="B135">
        <v>10</v>
      </c>
      <c r="C135" t="str">
        <f>VLOOKUP(B135,'Cadastro Produtos'!A:E,2,2)</f>
        <v>Limonada Alfa com Hortelã Zero 1 L</v>
      </c>
      <c r="D135">
        <v>6</v>
      </c>
      <c r="E135" t="str">
        <f>VLOOKUP(D135,'Cadatro Clientes'!A:O,2,2)</f>
        <v>Lemonade</v>
      </c>
      <c r="F135" t="str">
        <f>VLOOKUP(D135,'Cadatro Clientes'!A:O,9,2)</f>
        <v>Norte</v>
      </c>
      <c r="G135" s="15">
        <v>41693</v>
      </c>
      <c r="H135">
        <f t="shared" si="11"/>
        <v>1</v>
      </c>
      <c r="I135">
        <f t="shared" si="12"/>
        <v>23</v>
      </c>
      <c r="J135">
        <f t="shared" si="13"/>
        <v>2</v>
      </c>
      <c r="K135">
        <f t="shared" si="14"/>
        <v>2014</v>
      </c>
      <c r="M135">
        <v>9</v>
      </c>
      <c r="N135" t="str">
        <f>VLOOKUP(M135,'Cadastro Vendedores'!A:H,2,2)</f>
        <v>Adriana</v>
      </c>
      <c r="O135" s="2"/>
      <c r="P135" s="16">
        <v>2900</v>
      </c>
      <c r="Q135" s="2">
        <f>VLOOKUP(B135,'Cadastro Produtos'!A:F,5,2)</f>
        <v>21</v>
      </c>
      <c r="R135" s="14">
        <f t="shared" si="10"/>
        <v>60900</v>
      </c>
    </row>
    <row r="136" spans="1:18" x14ac:dyDescent="0.25">
      <c r="A136">
        <v>135</v>
      </c>
      <c r="B136">
        <v>4</v>
      </c>
      <c r="C136" t="str">
        <f>VLOOKUP(B136,'Cadastro Produtos'!A:E,2,2)</f>
        <v>Limonada Beta Zero 500 ml</v>
      </c>
      <c r="D136">
        <v>6</v>
      </c>
      <c r="E136" t="str">
        <f>VLOOKUP(D136,'Cadatro Clientes'!A:O,2,2)</f>
        <v>Lemonade</v>
      </c>
      <c r="F136" t="str">
        <f>VLOOKUP(D136,'Cadatro Clientes'!A:O,9,2)</f>
        <v>Norte</v>
      </c>
      <c r="G136" s="15">
        <v>41695</v>
      </c>
      <c r="H136">
        <f t="shared" si="11"/>
        <v>3</v>
      </c>
      <c r="I136">
        <f t="shared" si="12"/>
        <v>25</v>
      </c>
      <c r="J136">
        <f t="shared" si="13"/>
        <v>2</v>
      </c>
      <c r="K136">
        <f t="shared" si="14"/>
        <v>2014</v>
      </c>
      <c r="M136">
        <v>3</v>
      </c>
      <c r="N136" t="str">
        <f>VLOOKUP(M136,'Cadastro Vendedores'!A:H,2,2)</f>
        <v>Antônia</v>
      </c>
      <c r="O136" s="2"/>
      <c r="P136" s="16">
        <v>7500</v>
      </c>
      <c r="Q136" s="2">
        <f>VLOOKUP(B136,'Cadastro Produtos'!A:F,5,2)</f>
        <v>7</v>
      </c>
      <c r="R136" s="14">
        <f t="shared" si="10"/>
        <v>52500</v>
      </c>
    </row>
    <row r="137" spans="1:18" x14ac:dyDescent="0.25">
      <c r="A137">
        <v>136</v>
      </c>
      <c r="B137">
        <v>3</v>
      </c>
      <c r="C137" t="str">
        <f>VLOOKUP(B137,'Cadastro Produtos'!A:E,2,2)</f>
        <v>Limonada Alfa Zero 500 ml</v>
      </c>
      <c r="D137">
        <v>5</v>
      </c>
      <c r="E137" t="str">
        <f>VLOOKUP(D137,'Cadatro Clientes'!A:O,2,2)</f>
        <v>Axé com Limão</v>
      </c>
      <c r="F137" t="str">
        <f>VLOOKUP(D137,'Cadatro Clientes'!A:O,9,2)</f>
        <v>Nordeste</v>
      </c>
      <c r="G137" s="15">
        <v>41696</v>
      </c>
      <c r="H137">
        <f t="shared" si="11"/>
        <v>4</v>
      </c>
      <c r="I137">
        <f t="shared" si="12"/>
        <v>26</v>
      </c>
      <c r="J137">
        <f t="shared" si="13"/>
        <v>2</v>
      </c>
      <c r="K137">
        <f t="shared" si="14"/>
        <v>2014</v>
      </c>
      <c r="M137">
        <v>2</v>
      </c>
      <c r="N137" t="str">
        <f>VLOOKUP(M137,'Cadastro Vendedores'!A:H,2,2)</f>
        <v>Luis</v>
      </c>
      <c r="O137" s="2"/>
      <c r="P137" s="16">
        <v>5400</v>
      </c>
      <c r="Q137" s="2">
        <f>VLOOKUP(B137,'Cadastro Produtos'!A:F,5,2)</f>
        <v>9</v>
      </c>
      <c r="R137" s="14">
        <f t="shared" si="10"/>
        <v>48600</v>
      </c>
    </row>
    <row r="138" spans="1:18" x14ac:dyDescent="0.25">
      <c r="A138">
        <v>137</v>
      </c>
      <c r="B138">
        <v>8</v>
      </c>
      <c r="C138" t="str">
        <f>VLOOKUP(B138,'Cadastro Produtos'!A:E,2,2)</f>
        <v>Limonada Beta Zero 1 L</v>
      </c>
      <c r="D138">
        <v>5</v>
      </c>
      <c r="E138" t="str">
        <f>VLOOKUP(D138,'Cadatro Clientes'!A:O,2,2)</f>
        <v>Axé com Limão</v>
      </c>
      <c r="F138" t="str">
        <f>VLOOKUP(D138,'Cadatro Clientes'!A:O,9,2)</f>
        <v>Nordeste</v>
      </c>
      <c r="G138" s="15">
        <v>41698</v>
      </c>
      <c r="H138">
        <f t="shared" si="11"/>
        <v>6</v>
      </c>
      <c r="I138">
        <f t="shared" si="12"/>
        <v>28</v>
      </c>
      <c r="J138">
        <f t="shared" si="13"/>
        <v>2</v>
      </c>
      <c r="K138">
        <f t="shared" si="14"/>
        <v>2014</v>
      </c>
      <c r="M138">
        <v>2</v>
      </c>
      <c r="N138" t="str">
        <f>VLOOKUP(M138,'Cadastro Vendedores'!A:H,2,2)</f>
        <v>Luis</v>
      </c>
      <c r="O138" s="2"/>
      <c r="P138" s="16">
        <v>5100</v>
      </c>
      <c r="Q138" s="2">
        <f>VLOOKUP(B138,'Cadastro Produtos'!A:F,5,2)</f>
        <v>12</v>
      </c>
      <c r="R138" s="14">
        <f t="shared" si="10"/>
        <v>61200</v>
      </c>
    </row>
    <row r="139" spans="1:18" x14ac:dyDescent="0.25">
      <c r="A139">
        <v>138</v>
      </c>
      <c r="B139">
        <v>7</v>
      </c>
      <c r="C139" t="str">
        <f>VLOOKUP(B139,'Cadastro Produtos'!A:E,2,2)</f>
        <v>Limonada Alfa Zero 1 L</v>
      </c>
      <c r="D139">
        <v>2</v>
      </c>
      <c r="E139" t="str">
        <f>VLOOKUP(D139,'Cadatro Clientes'!A:O,2,2)</f>
        <v>Limão S/A</v>
      </c>
      <c r="F139" t="str">
        <f>VLOOKUP(D139,'Cadatro Clientes'!A:O,9,2)</f>
        <v>Centro-Oeste</v>
      </c>
      <c r="G139" s="15">
        <v>41698</v>
      </c>
      <c r="H139">
        <f t="shared" si="11"/>
        <v>6</v>
      </c>
      <c r="I139">
        <f t="shared" si="12"/>
        <v>28</v>
      </c>
      <c r="J139">
        <f t="shared" si="13"/>
        <v>2</v>
      </c>
      <c r="K139">
        <f t="shared" si="14"/>
        <v>2014</v>
      </c>
      <c r="M139">
        <v>9</v>
      </c>
      <c r="N139" t="str">
        <f>VLOOKUP(M139,'Cadastro Vendedores'!A:H,2,2)</f>
        <v>Adriana</v>
      </c>
      <c r="O139" s="2"/>
      <c r="P139" s="16">
        <v>3900</v>
      </c>
      <c r="Q139" s="2">
        <f>VLOOKUP(B139,'Cadastro Produtos'!A:F,5,2)</f>
        <v>15</v>
      </c>
      <c r="R139" s="14">
        <f t="shared" si="10"/>
        <v>58500</v>
      </c>
    </row>
    <row r="140" spans="1:18" x14ac:dyDescent="0.25">
      <c r="A140">
        <v>139</v>
      </c>
      <c r="B140">
        <v>10</v>
      </c>
      <c r="C140" t="str">
        <f>VLOOKUP(B140,'Cadastro Produtos'!A:E,2,2)</f>
        <v>Limonada Alfa com Hortelã Zero 1 L</v>
      </c>
      <c r="D140">
        <v>18</v>
      </c>
      <c r="E140" t="str">
        <f>VLOOKUP(D140,'Cadatro Clientes'!A:O,2,2)</f>
        <v>Rio Branco Limonada Ltda</v>
      </c>
      <c r="F140" t="str">
        <f>VLOOKUP(D140,'Cadatro Clientes'!A:O,9,2)</f>
        <v>Norte</v>
      </c>
      <c r="G140" s="15">
        <v>41698</v>
      </c>
      <c r="H140">
        <f t="shared" si="11"/>
        <v>6</v>
      </c>
      <c r="I140">
        <f t="shared" si="12"/>
        <v>28</v>
      </c>
      <c r="J140">
        <f t="shared" si="13"/>
        <v>2</v>
      </c>
      <c r="K140">
        <f t="shared" si="14"/>
        <v>2014</v>
      </c>
      <c r="M140">
        <v>2</v>
      </c>
      <c r="N140" t="str">
        <f>VLOOKUP(M140,'Cadastro Vendedores'!A:H,2,2)</f>
        <v>Luis</v>
      </c>
      <c r="O140" s="2"/>
      <c r="P140" s="16">
        <v>1200</v>
      </c>
      <c r="Q140" s="2">
        <f>VLOOKUP(B140,'Cadastro Produtos'!A:F,5,2)</f>
        <v>21</v>
      </c>
      <c r="R140" s="14">
        <f t="shared" si="10"/>
        <v>25200</v>
      </c>
    </row>
    <row r="141" spans="1:18" x14ac:dyDescent="0.25">
      <c r="A141">
        <v>140</v>
      </c>
      <c r="B141">
        <v>5</v>
      </c>
      <c r="C141" t="str">
        <f>VLOOKUP(B141,'Cadastro Produtos'!A:E,2,2)</f>
        <v>Limonada Alfa com Açúcar 1 L</v>
      </c>
      <c r="D141">
        <v>9</v>
      </c>
      <c r="E141" t="str">
        <f>VLOOKUP(D141,'Cadatro Clientes'!A:O,2,2)</f>
        <v>Fresh Lemon</v>
      </c>
      <c r="F141" t="str">
        <f>VLOOKUP(D141,'Cadatro Clientes'!A:O,9,2)</f>
        <v>Sudeste</v>
      </c>
      <c r="G141" s="15">
        <v>41698</v>
      </c>
      <c r="H141">
        <f t="shared" si="11"/>
        <v>6</v>
      </c>
      <c r="I141">
        <f t="shared" si="12"/>
        <v>28</v>
      </c>
      <c r="J141">
        <f t="shared" si="13"/>
        <v>2</v>
      </c>
      <c r="K141">
        <f t="shared" si="14"/>
        <v>2014</v>
      </c>
      <c r="M141">
        <v>7</v>
      </c>
      <c r="N141" t="str">
        <f>VLOOKUP(M141,'Cadastro Vendedores'!A:H,2,2)</f>
        <v>Benedito</v>
      </c>
      <c r="O141" s="2"/>
      <c r="P141" s="16">
        <v>3900</v>
      </c>
      <c r="Q141" s="2">
        <f>VLOOKUP(B141,'Cadastro Produtos'!A:F,5,2)</f>
        <v>15</v>
      </c>
      <c r="R141" s="14">
        <f t="shared" si="10"/>
        <v>58500</v>
      </c>
    </row>
    <row r="142" spans="1:18" x14ac:dyDescent="0.25">
      <c r="A142">
        <v>141</v>
      </c>
      <c r="B142">
        <v>8</v>
      </c>
      <c r="C142" t="str">
        <f>VLOOKUP(B142,'Cadastro Produtos'!A:E,2,2)</f>
        <v>Limonada Beta Zero 1 L</v>
      </c>
      <c r="D142">
        <v>9</v>
      </c>
      <c r="E142" t="str">
        <f>VLOOKUP(D142,'Cadatro Clientes'!A:O,2,2)</f>
        <v>Fresh Lemon</v>
      </c>
      <c r="F142" t="str">
        <f>VLOOKUP(D142,'Cadatro Clientes'!A:O,9,2)</f>
        <v>Sudeste</v>
      </c>
      <c r="G142" s="15">
        <v>41698</v>
      </c>
      <c r="H142">
        <f t="shared" si="11"/>
        <v>6</v>
      </c>
      <c r="I142">
        <f t="shared" si="12"/>
        <v>28</v>
      </c>
      <c r="J142">
        <f t="shared" si="13"/>
        <v>2</v>
      </c>
      <c r="K142">
        <f t="shared" si="14"/>
        <v>2014</v>
      </c>
      <c r="M142">
        <v>9</v>
      </c>
      <c r="N142" t="str">
        <f>VLOOKUP(M142,'Cadastro Vendedores'!A:H,2,2)</f>
        <v>Adriana</v>
      </c>
      <c r="O142" s="2"/>
      <c r="P142" s="16">
        <v>1600</v>
      </c>
      <c r="Q142" s="2">
        <f>VLOOKUP(B142,'Cadastro Produtos'!A:F,5,2)</f>
        <v>12</v>
      </c>
      <c r="R142" s="14">
        <f t="shared" si="10"/>
        <v>19200</v>
      </c>
    </row>
    <row r="143" spans="1:18" x14ac:dyDescent="0.25">
      <c r="A143">
        <v>142</v>
      </c>
      <c r="B143">
        <v>1</v>
      </c>
      <c r="C143" t="str">
        <f>VLOOKUP(B143,'Cadastro Produtos'!A:E,2,2)</f>
        <v>Limonada Alfa com Açúcar 500 ml</v>
      </c>
      <c r="D143">
        <v>1</v>
      </c>
      <c r="E143" t="str">
        <f>VLOOKUP(D143,'Cadatro Clientes'!A:O,2,2)</f>
        <v>Meu Suco de Limão</v>
      </c>
      <c r="F143" t="str">
        <f>VLOOKUP(D143,'Cadatro Clientes'!A:O,9,2)</f>
        <v>Norte</v>
      </c>
      <c r="G143" s="15">
        <v>41698</v>
      </c>
      <c r="H143">
        <f t="shared" si="11"/>
        <v>6</v>
      </c>
      <c r="I143">
        <f t="shared" si="12"/>
        <v>28</v>
      </c>
      <c r="J143">
        <f t="shared" si="13"/>
        <v>2</v>
      </c>
      <c r="K143">
        <f t="shared" si="14"/>
        <v>2014</v>
      </c>
      <c r="M143">
        <v>2</v>
      </c>
      <c r="N143" t="str">
        <f>VLOOKUP(M143,'Cadastro Vendedores'!A:H,2,2)</f>
        <v>Luis</v>
      </c>
      <c r="O143" s="2"/>
      <c r="P143" s="16">
        <v>1600</v>
      </c>
      <c r="Q143" s="2">
        <f>VLOOKUP(B143,'Cadastro Produtos'!A:F,5,2)</f>
        <v>8.5</v>
      </c>
      <c r="R143" s="14">
        <f t="shared" si="10"/>
        <v>13600</v>
      </c>
    </row>
    <row r="144" spans="1:18" x14ac:dyDescent="0.25">
      <c r="A144">
        <v>143</v>
      </c>
      <c r="B144">
        <v>6</v>
      </c>
      <c r="C144" t="str">
        <f>VLOOKUP(B144,'Cadastro Produtos'!A:E,2,2)</f>
        <v>Limonada Beta com Açúcar 1 L</v>
      </c>
      <c r="D144">
        <v>6</v>
      </c>
      <c r="E144" t="str">
        <f>VLOOKUP(D144,'Cadatro Clientes'!A:O,2,2)</f>
        <v>Lemonade</v>
      </c>
      <c r="F144" t="str">
        <f>VLOOKUP(D144,'Cadatro Clientes'!A:O,9,2)</f>
        <v>Norte</v>
      </c>
      <c r="G144" s="15">
        <v>41699</v>
      </c>
      <c r="H144">
        <f t="shared" si="11"/>
        <v>7</v>
      </c>
      <c r="I144">
        <f t="shared" si="12"/>
        <v>1</v>
      </c>
      <c r="J144">
        <f t="shared" si="13"/>
        <v>3</v>
      </c>
      <c r="K144">
        <f t="shared" si="14"/>
        <v>2014</v>
      </c>
      <c r="M144">
        <v>2</v>
      </c>
      <c r="N144" t="str">
        <f>VLOOKUP(M144,'Cadastro Vendedores'!A:H,2,2)</f>
        <v>Luis</v>
      </c>
      <c r="O144" s="2"/>
      <c r="P144" s="16">
        <v>1500</v>
      </c>
      <c r="Q144" s="2">
        <f>VLOOKUP(B144,'Cadastro Produtos'!A:F,5,2)</f>
        <v>12</v>
      </c>
      <c r="R144" s="14">
        <f t="shared" si="10"/>
        <v>18000</v>
      </c>
    </row>
    <row r="145" spans="1:18" x14ac:dyDescent="0.25">
      <c r="A145">
        <v>144</v>
      </c>
      <c r="B145">
        <v>6</v>
      </c>
      <c r="C145" t="str">
        <f>VLOOKUP(B145,'Cadastro Produtos'!A:E,2,2)</f>
        <v>Limonada Beta com Açúcar 1 L</v>
      </c>
      <c r="D145">
        <v>13</v>
      </c>
      <c r="E145" t="str">
        <f>VLOOKUP(D145,'Cadatro Clientes'!A:O,2,2)</f>
        <v>Monster Lemon</v>
      </c>
      <c r="F145" t="str">
        <f>VLOOKUP(D145,'Cadatro Clientes'!A:O,9,2)</f>
        <v>Nordeste</v>
      </c>
      <c r="G145" s="15">
        <v>41699</v>
      </c>
      <c r="H145">
        <f t="shared" si="11"/>
        <v>7</v>
      </c>
      <c r="I145">
        <f t="shared" si="12"/>
        <v>1</v>
      </c>
      <c r="J145">
        <f t="shared" si="13"/>
        <v>3</v>
      </c>
      <c r="K145">
        <f t="shared" si="14"/>
        <v>2014</v>
      </c>
      <c r="M145">
        <v>2</v>
      </c>
      <c r="N145" t="str">
        <f>VLOOKUP(M145,'Cadastro Vendedores'!A:H,2,2)</f>
        <v>Luis</v>
      </c>
      <c r="O145" s="2"/>
      <c r="P145" s="16">
        <v>1800</v>
      </c>
      <c r="Q145" s="2">
        <f>VLOOKUP(B145,'Cadastro Produtos'!A:F,5,2)</f>
        <v>12</v>
      </c>
      <c r="R145" s="14">
        <f t="shared" si="10"/>
        <v>21600</v>
      </c>
    </row>
    <row r="146" spans="1:18" x14ac:dyDescent="0.25">
      <c r="A146">
        <v>145</v>
      </c>
      <c r="B146">
        <v>9</v>
      </c>
      <c r="C146" t="str">
        <f>VLOOKUP(B146,'Cadastro Produtos'!A:E,2,2)</f>
        <v>Limonada Alfa com Hortelã e Açúcar 1 L</v>
      </c>
      <c r="D146">
        <v>14</v>
      </c>
      <c r="E146" t="str">
        <f>VLOOKUP(D146,'Cadatro Clientes'!A:O,2,2)</f>
        <v>Sprite</v>
      </c>
      <c r="F146" t="str">
        <f>VLOOKUP(D146,'Cadatro Clientes'!A:O,9,2)</f>
        <v>Norte</v>
      </c>
      <c r="G146" s="15">
        <v>41699</v>
      </c>
      <c r="H146">
        <f t="shared" si="11"/>
        <v>7</v>
      </c>
      <c r="I146">
        <f t="shared" si="12"/>
        <v>1</v>
      </c>
      <c r="J146">
        <f t="shared" si="13"/>
        <v>3</v>
      </c>
      <c r="K146">
        <f t="shared" si="14"/>
        <v>2014</v>
      </c>
      <c r="M146">
        <v>6</v>
      </c>
      <c r="N146" t="str">
        <f>VLOOKUP(M146,'Cadastro Vendedores'!A:H,2,2)</f>
        <v>Antônia</v>
      </c>
      <c r="O146" s="2"/>
      <c r="P146" s="16">
        <v>1900</v>
      </c>
      <c r="Q146" s="2">
        <f>VLOOKUP(B146,'Cadastro Produtos'!A:F,5,2)</f>
        <v>17.5</v>
      </c>
      <c r="R146" s="14">
        <f t="shared" si="10"/>
        <v>33250</v>
      </c>
    </row>
    <row r="147" spans="1:18" x14ac:dyDescent="0.25">
      <c r="A147">
        <v>146</v>
      </c>
      <c r="B147">
        <v>8</v>
      </c>
      <c r="C147" t="str">
        <f>VLOOKUP(B147,'Cadastro Produtos'!A:E,2,2)</f>
        <v>Limonada Beta Zero 1 L</v>
      </c>
      <c r="D147">
        <v>11</v>
      </c>
      <c r="E147" t="str">
        <f>VLOOKUP(D147,'Cadatro Clientes'!A:O,2,2)</f>
        <v>Red Lemon</v>
      </c>
      <c r="F147" t="str">
        <f>VLOOKUP(D147,'Cadatro Clientes'!A:O,9,2)</f>
        <v>Sul</v>
      </c>
      <c r="G147" s="15">
        <v>41700</v>
      </c>
      <c r="H147">
        <f t="shared" si="11"/>
        <v>1</v>
      </c>
      <c r="I147">
        <f t="shared" si="12"/>
        <v>2</v>
      </c>
      <c r="J147">
        <f t="shared" si="13"/>
        <v>3</v>
      </c>
      <c r="K147">
        <f t="shared" si="14"/>
        <v>2014</v>
      </c>
      <c r="M147">
        <v>2</v>
      </c>
      <c r="N147" t="str">
        <f>VLOOKUP(M147,'Cadastro Vendedores'!A:H,2,2)</f>
        <v>Luis</v>
      </c>
      <c r="O147" s="2"/>
      <c r="P147" s="16">
        <v>3000</v>
      </c>
      <c r="Q147" s="2">
        <f>VLOOKUP(B147,'Cadastro Produtos'!A:F,5,2)</f>
        <v>12</v>
      </c>
      <c r="R147" s="14">
        <f t="shared" si="10"/>
        <v>36000</v>
      </c>
    </row>
    <row r="148" spans="1:18" x14ac:dyDescent="0.25">
      <c r="A148">
        <v>147</v>
      </c>
      <c r="B148">
        <v>5</v>
      </c>
      <c r="C148" t="str">
        <f>VLOOKUP(B148,'Cadastro Produtos'!A:E,2,2)</f>
        <v>Limonada Alfa com Açúcar 1 L</v>
      </c>
      <c r="D148">
        <v>2</v>
      </c>
      <c r="E148" t="str">
        <f>VLOOKUP(D148,'Cadatro Clientes'!A:O,2,2)</f>
        <v>Limão S/A</v>
      </c>
      <c r="F148" t="str">
        <f>VLOOKUP(D148,'Cadatro Clientes'!A:O,9,2)</f>
        <v>Centro-Oeste</v>
      </c>
      <c r="G148" s="15">
        <v>41700</v>
      </c>
      <c r="H148">
        <f t="shared" si="11"/>
        <v>1</v>
      </c>
      <c r="I148">
        <f t="shared" si="12"/>
        <v>2</v>
      </c>
      <c r="J148">
        <f t="shared" si="13"/>
        <v>3</v>
      </c>
      <c r="K148">
        <f t="shared" si="14"/>
        <v>2014</v>
      </c>
      <c r="M148">
        <v>2</v>
      </c>
      <c r="N148" t="str">
        <f>VLOOKUP(M148,'Cadastro Vendedores'!A:H,2,2)</f>
        <v>Luis</v>
      </c>
      <c r="O148" s="2"/>
      <c r="P148" s="16">
        <v>1500</v>
      </c>
      <c r="Q148" s="2">
        <f>VLOOKUP(B148,'Cadastro Produtos'!A:F,5,2)</f>
        <v>15</v>
      </c>
      <c r="R148" s="14">
        <f t="shared" si="10"/>
        <v>22500</v>
      </c>
    </row>
    <row r="149" spans="1:18" x14ac:dyDescent="0.25">
      <c r="A149">
        <v>148</v>
      </c>
      <c r="B149">
        <v>10</v>
      </c>
      <c r="C149" t="str">
        <f>VLOOKUP(B149,'Cadastro Produtos'!A:E,2,2)</f>
        <v>Limonada Alfa com Hortelã Zero 1 L</v>
      </c>
      <c r="D149">
        <v>14</v>
      </c>
      <c r="E149" t="str">
        <f>VLOOKUP(D149,'Cadatro Clientes'!A:O,2,2)</f>
        <v>Sprite</v>
      </c>
      <c r="F149" t="str">
        <f>VLOOKUP(D149,'Cadatro Clientes'!A:O,9,2)</f>
        <v>Norte</v>
      </c>
      <c r="G149" s="15">
        <v>41700</v>
      </c>
      <c r="H149">
        <f t="shared" si="11"/>
        <v>1</v>
      </c>
      <c r="I149">
        <f t="shared" si="12"/>
        <v>2</v>
      </c>
      <c r="J149">
        <f t="shared" si="13"/>
        <v>3</v>
      </c>
      <c r="K149">
        <f t="shared" si="14"/>
        <v>2014</v>
      </c>
      <c r="M149">
        <v>3</v>
      </c>
      <c r="N149" t="str">
        <f>VLOOKUP(M149,'Cadastro Vendedores'!A:H,2,2)</f>
        <v>Antônia</v>
      </c>
      <c r="O149" s="2"/>
      <c r="P149" s="16">
        <v>2000</v>
      </c>
      <c r="Q149" s="2">
        <f>VLOOKUP(B149,'Cadastro Produtos'!A:F,5,2)</f>
        <v>21</v>
      </c>
      <c r="R149" s="14">
        <f t="shared" si="10"/>
        <v>42000</v>
      </c>
    </row>
    <row r="150" spans="1:18" x14ac:dyDescent="0.25">
      <c r="A150">
        <v>149</v>
      </c>
      <c r="B150">
        <v>6</v>
      </c>
      <c r="C150" t="str">
        <f>VLOOKUP(B150,'Cadastro Produtos'!A:E,2,2)</f>
        <v>Limonada Beta com Açúcar 1 L</v>
      </c>
      <c r="D150">
        <v>7</v>
      </c>
      <c r="E150" t="str">
        <f>VLOOKUP(D150,'Cadatro Clientes'!A:O,2,2)</f>
        <v>Limo</v>
      </c>
      <c r="F150" t="str">
        <f>VLOOKUP(D150,'Cadatro Clientes'!A:O,9,2)</f>
        <v>Centro-Oeste</v>
      </c>
      <c r="G150" s="15">
        <v>41700</v>
      </c>
      <c r="H150">
        <f t="shared" si="11"/>
        <v>1</v>
      </c>
      <c r="I150">
        <f t="shared" si="12"/>
        <v>2</v>
      </c>
      <c r="J150">
        <f t="shared" si="13"/>
        <v>3</v>
      </c>
      <c r="K150">
        <f t="shared" si="14"/>
        <v>2014</v>
      </c>
      <c r="M150">
        <v>7</v>
      </c>
      <c r="N150" t="str">
        <f>VLOOKUP(M150,'Cadastro Vendedores'!A:H,2,2)</f>
        <v>Benedito</v>
      </c>
      <c r="O150" s="2"/>
      <c r="P150" s="16">
        <v>3300</v>
      </c>
      <c r="Q150" s="2">
        <f>VLOOKUP(B150,'Cadastro Produtos'!A:F,5,2)</f>
        <v>12</v>
      </c>
      <c r="R150" s="14">
        <f t="shared" si="10"/>
        <v>39600</v>
      </c>
    </row>
    <row r="151" spans="1:18" x14ac:dyDescent="0.25">
      <c r="A151">
        <v>150</v>
      </c>
      <c r="B151">
        <v>8</v>
      </c>
      <c r="C151" t="str">
        <f>VLOOKUP(B151,'Cadastro Produtos'!A:E,2,2)</f>
        <v>Limonada Beta Zero 1 L</v>
      </c>
      <c r="D151">
        <v>9</v>
      </c>
      <c r="E151" t="str">
        <f>VLOOKUP(D151,'Cadatro Clientes'!A:O,2,2)</f>
        <v>Fresh Lemon</v>
      </c>
      <c r="F151" t="str">
        <f>VLOOKUP(D151,'Cadatro Clientes'!A:O,9,2)</f>
        <v>Sudeste</v>
      </c>
      <c r="G151" s="15">
        <v>41700</v>
      </c>
      <c r="H151">
        <f t="shared" si="11"/>
        <v>1</v>
      </c>
      <c r="I151">
        <f t="shared" si="12"/>
        <v>2</v>
      </c>
      <c r="J151">
        <f t="shared" si="13"/>
        <v>3</v>
      </c>
      <c r="K151">
        <f t="shared" si="14"/>
        <v>2014</v>
      </c>
      <c r="M151">
        <v>2</v>
      </c>
      <c r="N151" t="str">
        <f>VLOOKUP(M151,'Cadastro Vendedores'!A:H,2,2)</f>
        <v>Luis</v>
      </c>
      <c r="O151" s="2"/>
      <c r="P151" s="16">
        <v>2600</v>
      </c>
      <c r="Q151" s="2">
        <f>VLOOKUP(B151,'Cadastro Produtos'!A:F,5,2)</f>
        <v>12</v>
      </c>
      <c r="R151" s="14">
        <f t="shared" si="10"/>
        <v>31200</v>
      </c>
    </row>
    <row r="152" spans="1:18" x14ac:dyDescent="0.25">
      <c r="A152">
        <v>151</v>
      </c>
      <c r="B152">
        <v>10</v>
      </c>
      <c r="C152" t="str">
        <f>VLOOKUP(B152,'Cadastro Produtos'!A:E,2,2)</f>
        <v>Limonada Alfa com Hortelã Zero 1 L</v>
      </c>
      <c r="D152">
        <v>1</v>
      </c>
      <c r="E152" t="str">
        <f>VLOOKUP(D152,'Cadatro Clientes'!A:O,2,2)</f>
        <v>Meu Suco de Limão</v>
      </c>
      <c r="F152" t="str">
        <f>VLOOKUP(D152,'Cadatro Clientes'!A:O,9,2)</f>
        <v>Norte</v>
      </c>
      <c r="G152" s="15">
        <v>41701</v>
      </c>
      <c r="H152">
        <f t="shared" si="11"/>
        <v>2</v>
      </c>
      <c r="I152">
        <f t="shared" si="12"/>
        <v>3</v>
      </c>
      <c r="J152">
        <f t="shared" si="13"/>
        <v>3</v>
      </c>
      <c r="K152">
        <f t="shared" si="14"/>
        <v>2014</v>
      </c>
      <c r="M152">
        <v>9</v>
      </c>
      <c r="N152" t="str">
        <f>VLOOKUP(M152,'Cadastro Vendedores'!A:H,2,2)</f>
        <v>Adriana</v>
      </c>
      <c r="O152" s="2"/>
      <c r="P152" s="16">
        <v>800</v>
      </c>
      <c r="Q152" s="2">
        <f>VLOOKUP(B152,'Cadastro Produtos'!A:F,5,2)</f>
        <v>21</v>
      </c>
      <c r="R152" s="14">
        <f t="shared" si="10"/>
        <v>16800</v>
      </c>
    </row>
    <row r="153" spans="1:18" x14ac:dyDescent="0.25">
      <c r="A153">
        <v>152</v>
      </c>
      <c r="B153">
        <v>2</v>
      </c>
      <c r="C153" t="str">
        <f>VLOOKUP(B153,'Cadastro Produtos'!A:E,2,2)</f>
        <v>Limonada Beta com Açúcar 500 ml</v>
      </c>
      <c r="D153">
        <v>6</v>
      </c>
      <c r="E153" t="str">
        <f>VLOOKUP(D153,'Cadatro Clientes'!A:O,2,2)</f>
        <v>Lemonade</v>
      </c>
      <c r="F153" t="str">
        <f>VLOOKUP(D153,'Cadatro Clientes'!A:O,9,2)</f>
        <v>Norte</v>
      </c>
      <c r="G153" s="15">
        <v>41701</v>
      </c>
      <c r="H153">
        <f t="shared" si="11"/>
        <v>2</v>
      </c>
      <c r="I153">
        <f t="shared" si="12"/>
        <v>3</v>
      </c>
      <c r="J153">
        <f t="shared" si="13"/>
        <v>3</v>
      </c>
      <c r="K153">
        <f t="shared" si="14"/>
        <v>2014</v>
      </c>
      <c r="M153">
        <v>4</v>
      </c>
      <c r="N153" t="str">
        <f>VLOOKUP(M153,'Cadastro Vendedores'!A:H,2,2)</f>
        <v>José</v>
      </c>
      <c r="O153" s="2"/>
      <c r="P153" s="16">
        <v>6800</v>
      </c>
      <c r="Q153" s="2">
        <f>VLOOKUP(B153,'Cadastro Produtos'!A:F,5,2)</f>
        <v>6.5</v>
      </c>
      <c r="R153" s="14">
        <f t="shared" si="10"/>
        <v>44200</v>
      </c>
    </row>
    <row r="154" spans="1:18" x14ac:dyDescent="0.25">
      <c r="A154">
        <v>153</v>
      </c>
      <c r="B154">
        <v>2</v>
      </c>
      <c r="C154" t="str">
        <f>VLOOKUP(B154,'Cadastro Produtos'!A:E,2,2)</f>
        <v>Limonada Beta com Açúcar 500 ml</v>
      </c>
      <c r="D154">
        <v>1</v>
      </c>
      <c r="E154" t="str">
        <f>VLOOKUP(D154,'Cadatro Clientes'!A:O,2,2)</f>
        <v>Meu Suco de Limão</v>
      </c>
      <c r="F154" t="str">
        <f>VLOOKUP(D154,'Cadatro Clientes'!A:O,9,2)</f>
        <v>Norte</v>
      </c>
      <c r="G154" s="15">
        <v>41701</v>
      </c>
      <c r="H154">
        <f t="shared" si="11"/>
        <v>2</v>
      </c>
      <c r="I154">
        <f t="shared" si="12"/>
        <v>3</v>
      </c>
      <c r="J154">
        <f t="shared" si="13"/>
        <v>3</v>
      </c>
      <c r="K154">
        <f t="shared" si="14"/>
        <v>2014</v>
      </c>
      <c r="M154">
        <v>7</v>
      </c>
      <c r="N154" t="str">
        <f>VLOOKUP(M154,'Cadastro Vendedores'!A:H,2,2)</f>
        <v>Benedito</v>
      </c>
      <c r="O154" s="2"/>
      <c r="P154" s="16">
        <v>6200</v>
      </c>
      <c r="Q154" s="2">
        <f>VLOOKUP(B154,'Cadastro Produtos'!A:F,5,2)</f>
        <v>6.5</v>
      </c>
      <c r="R154" s="14">
        <f t="shared" si="10"/>
        <v>40300</v>
      </c>
    </row>
    <row r="155" spans="1:18" x14ac:dyDescent="0.25">
      <c r="A155">
        <v>154</v>
      </c>
      <c r="B155">
        <v>3</v>
      </c>
      <c r="C155" t="str">
        <f>VLOOKUP(B155,'Cadastro Produtos'!A:E,2,2)</f>
        <v>Limonada Alfa Zero 500 ml</v>
      </c>
      <c r="D155">
        <v>8</v>
      </c>
      <c r="E155" t="str">
        <f>VLOOKUP(D155,'Cadatro Clientes'!A:O,2,2)</f>
        <v>Refresko</v>
      </c>
      <c r="F155" t="str">
        <f>VLOOKUP(D155,'Cadatro Clientes'!A:O,9,2)</f>
        <v>Sul</v>
      </c>
      <c r="G155" s="15">
        <v>41702</v>
      </c>
      <c r="H155">
        <f t="shared" si="11"/>
        <v>3</v>
      </c>
      <c r="I155">
        <f t="shared" si="12"/>
        <v>4</v>
      </c>
      <c r="J155">
        <f t="shared" si="13"/>
        <v>3</v>
      </c>
      <c r="K155">
        <f t="shared" si="14"/>
        <v>2014</v>
      </c>
      <c r="M155">
        <v>3</v>
      </c>
      <c r="N155" t="str">
        <f>VLOOKUP(M155,'Cadastro Vendedores'!A:H,2,2)</f>
        <v>Antônia</v>
      </c>
      <c r="O155" s="2"/>
      <c r="P155" s="16">
        <v>2200</v>
      </c>
      <c r="Q155" s="2">
        <f>VLOOKUP(B155,'Cadastro Produtos'!A:F,5,2)</f>
        <v>9</v>
      </c>
      <c r="R155" s="14">
        <f t="shared" si="10"/>
        <v>19800</v>
      </c>
    </row>
    <row r="156" spans="1:18" x14ac:dyDescent="0.25">
      <c r="A156">
        <v>155</v>
      </c>
      <c r="B156">
        <v>3</v>
      </c>
      <c r="C156" t="str">
        <f>VLOOKUP(B156,'Cadastro Produtos'!A:E,2,2)</f>
        <v>Limonada Alfa Zero 500 ml</v>
      </c>
      <c r="D156">
        <v>5</v>
      </c>
      <c r="E156" t="str">
        <f>VLOOKUP(D156,'Cadatro Clientes'!A:O,2,2)</f>
        <v>Axé com Limão</v>
      </c>
      <c r="F156" t="str">
        <f>VLOOKUP(D156,'Cadatro Clientes'!A:O,9,2)</f>
        <v>Nordeste</v>
      </c>
      <c r="G156" s="15">
        <v>41702</v>
      </c>
      <c r="H156">
        <f t="shared" si="11"/>
        <v>3</v>
      </c>
      <c r="I156">
        <f t="shared" si="12"/>
        <v>4</v>
      </c>
      <c r="J156">
        <f t="shared" si="13"/>
        <v>3</v>
      </c>
      <c r="K156">
        <f t="shared" si="14"/>
        <v>2014</v>
      </c>
      <c r="M156">
        <v>2</v>
      </c>
      <c r="N156" t="str">
        <f>VLOOKUP(M156,'Cadastro Vendedores'!A:H,2,2)</f>
        <v>Luis</v>
      </c>
      <c r="O156" s="2"/>
      <c r="P156" s="16">
        <v>2400</v>
      </c>
      <c r="Q156" s="2">
        <f>VLOOKUP(B156,'Cadastro Produtos'!A:F,5,2)</f>
        <v>9</v>
      </c>
      <c r="R156" s="14">
        <f t="shared" si="10"/>
        <v>21600</v>
      </c>
    </row>
    <row r="157" spans="1:18" x14ac:dyDescent="0.25">
      <c r="A157">
        <v>156</v>
      </c>
      <c r="B157">
        <v>10</v>
      </c>
      <c r="C157" t="str">
        <f>VLOOKUP(B157,'Cadastro Produtos'!A:E,2,2)</f>
        <v>Limonada Alfa com Hortelã Zero 1 L</v>
      </c>
      <c r="D157">
        <v>4</v>
      </c>
      <c r="E157" t="str">
        <f>VLOOKUP(D157,'Cadatro Clientes'!A:O,2,2)</f>
        <v>Limão Carioca e Cia</v>
      </c>
      <c r="F157" t="str">
        <f>VLOOKUP(D157,'Cadatro Clientes'!A:O,9,2)</f>
        <v>Sudeste</v>
      </c>
      <c r="G157" s="15">
        <v>41702</v>
      </c>
      <c r="H157">
        <f t="shared" si="11"/>
        <v>3</v>
      </c>
      <c r="I157">
        <f t="shared" si="12"/>
        <v>4</v>
      </c>
      <c r="J157">
        <f t="shared" si="13"/>
        <v>3</v>
      </c>
      <c r="K157">
        <f t="shared" si="14"/>
        <v>2014</v>
      </c>
      <c r="M157">
        <v>4</v>
      </c>
      <c r="N157" t="str">
        <f>VLOOKUP(M157,'Cadastro Vendedores'!A:H,2,2)</f>
        <v>José</v>
      </c>
      <c r="O157" s="2"/>
      <c r="P157" s="16">
        <v>1700</v>
      </c>
      <c r="Q157" s="2">
        <f>VLOOKUP(B157,'Cadastro Produtos'!A:F,5,2)</f>
        <v>21</v>
      </c>
      <c r="R157" s="14">
        <f t="shared" si="10"/>
        <v>35700</v>
      </c>
    </row>
    <row r="158" spans="1:18" x14ac:dyDescent="0.25">
      <c r="A158">
        <v>157</v>
      </c>
      <c r="B158">
        <v>4</v>
      </c>
      <c r="C158" t="str">
        <f>VLOOKUP(B158,'Cadastro Produtos'!A:E,2,2)</f>
        <v>Limonada Beta Zero 500 ml</v>
      </c>
      <c r="D158">
        <v>20</v>
      </c>
      <c r="E158" t="str">
        <f>VLOOKUP(D158,'Cadatro Clientes'!A:O,2,2)</f>
        <v>Brasil Saúde</v>
      </c>
      <c r="F158" t="str">
        <f>VLOOKUP(D158,'Cadatro Clientes'!A:O,9,2)</f>
        <v>Nordeste</v>
      </c>
      <c r="G158" s="15">
        <v>41702</v>
      </c>
      <c r="H158">
        <f t="shared" si="11"/>
        <v>3</v>
      </c>
      <c r="I158">
        <f t="shared" si="12"/>
        <v>4</v>
      </c>
      <c r="J158">
        <f t="shared" si="13"/>
        <v>3</v>
      </c>
      <c r="K158">
        <f t="shared" si="14"/>
        <v>2014</v>
      </c>
      <c r="M158">
        <v>8</v>
      </c>
      <c r="N158" t="str">
        <f>VLOOKUP(M158,'Cadastro Vendedores'!A:H,2,2)</f>
        <v>Sérgio</v>
      </c>
      <c r="O158" s="2"/>
      <c r="P158" s="16">
        <v>6600</v>
      </c>
      <c r="Q158" s="2">
        <f>VLOOKUP(B158,'Cadastro Produtos'!A:F,5,2)</f>
        <v>7</v>
      </c>
      <c r="R158" s="14">
        <f t="shared" si="10"/>
        <v>46200</v>
      </c>
    </row>
    <row r="159" spans="1:18" x14ac:dyDescent="0.25">
      <c r="A159">
        <v>158</v>
      </c>
      <c r="B159">
        <v>10</v>
      </c>
      <c r="C159" t="str">
        <f>VLOOKUP(B159,'Cadastro Produtos'!A:E,2,2)</f>
        <v>Limonada Alfa com Hortelã Zero 1 L</v>
      </c>
      <c r="D159">
        <v>19</v>
      </c>
      <c r="E159" t="str">
        <f>VLOOKUP(D159,'Cadatro Clientes'!A:O,2,2)</f>
        <v>Lima Limão</v>
      </c>
      <c r="F159" t="str">
        <f>VLOOKUP(D159,'Cadatro Clientes'!A:O,9,2)</f>
        <v>Sudeste</v>
      </c>
      <c r="G159" s="15">
        <v>41702</v>
      </c>
      <c r="H159">
        <f t="shared" si="11"/>
        <v>3</v>
      </c>
      <c r="I159">
        <f t="shared" si="12"/>
        <v>4</v>
      </c>
      <c r="J159">
        <f t="shared" si="13"/>
        <v>3</v>
      </c>
      <c r="K159">
        <f t="shared" si="14"/>
        <v>2014</v>
      </c>
      <c r="M159">
        <v>6</v>
      </c>
      <c r="N159" t="str">
        <f>VLOOKUP(M159,'Cadastro Vendedores'!A:H,2,2)</f>
        <v>Antônia</v>
      </c>
      <c r="O159" s="2"/>
      <c r="P159" s="16">
        <v>2700</v>
      </c>
      <c r="Q159" s="2">
        <f>VLOOKUP(B159,'Cadastro Produtos'!A:F,5,2)</f>
        <v>21</v>
      </c>
      <c r="R159" s="14">
        <f t="shared" si="10"/>
        <v>56700</v>
      </c>
    </row>
    <row r="160" spans="1:18" x14ac:dyDescent="0.25">
      <c r="A160">
        <v>159</v>
      </c>
      <c r="B160">
        <v>2</v>
      </c>
      <c r="C160" t="str">
        <f>VLOOKUP(B160,'Cadastro Produtos'!A:E,2,2)</f>
        <v>Limonada Beta com Açúcar 500 ml</v>
      </c>
      <c r="D160">
        <v>4</v>
      </c>
      <c r="E160" t="str">
        <f>VLOOKUP(D160,'Cadatro Clientes'!A:O,2,2)</f>
        <v>Limão Carioca e Cia</v>
      </c>
      <c r="F160" t="str">
        <f>VLOOKUP(D160,'Cadatro Clientes'!A:O,9,2)</f>
        <v>Sudeste</v>
      </c>
      <c r="G160" s="15">
        <v>41702</v>
      </c>
      <c r="H160">
        <f t="shared" si="11"/>
        <v>3</v>
      </c>
      <c r="I160">
        <f t="shared" si="12"/>
        <v>4</v>
      </c>
      <c r="J160">
        <f t="shared" si="13"/>
        <v>3</v>
      </c>
      <c r="K160">
        <f t="shared" si="14"/>
        <v>2014</v>
      </c>
      <c r="M160">
        <v>3</v>
      </c>
      <c r="N160" t="str">
        <f>VLOOKUP(M160,'Cadastro Vendedores'!A:H,2,2)</f>
        <v>Antônia</v>
      </c>
      <c r="O160" s="2"/>
      <c r="P160" s="16">
        <v>8200</v>
      </c>
      <c r="Q160" s="2">
        <f>VLOOKUP(B160,'Cadastro Produtos'!A:F,5,2)</f>
        <v>6.5</v>
      </c>
      <c r="R160" s="14">
        <f t="shared" si="10"/>
        <v>53300</v>
      </c>
    </row>
    <row r="161" spans="1:18" x14ac:dyDescent="0.25">
      <c r="A161">
        <v>160</v>
      </c>
      <c r="B161">
        <v>7</v>
      </c>
      <c r="C161" t="str">
        <f>VLOOKUP(B161,'Cadastro Produtos'!A:E,2,2)</f>
        <v>Limonada Alfa Zero 1 L</v>
      </c>
      <c r="D161">
        <v>1</v>
      </c>
      <c r="E161" t="str">
        <f>VLOOKUP(D161,'Cadatro Clientes'!A:O,2,2)</f>
        <v>Meu Suco de Limão</v>
      </c>
      <c r="F161" t="str">
        <f>VLOOKUP(D161,'Cadatro Clientes'!A:O,9,2)</f>
        <v>Norte</v>
      </c>
      <c r="G161" s="15">
        <v>41702</v>
      </c>
      <c r="H161">
        <f t="shared" si="11"/>
        <v>3</v>
      </c>
      <c r="I161">
        <f t="shared" si="12"/>
        <v>4</v>
      </c>
      <c r="J161">
        <f t="shared" si="13"/>
        <v>3</v>
      </c>
      <c r="K161">
        <f t="shared" si="14"/>
        <v>2014</v>
      </c>
      <c r="M161">
        <v>9</v>
      </c>
      <c r="N161" t="str">
        <f>VLOOKUP(M161,'Cadastro Vendedores'!A:H,2,2)</f>
        <v>Adriana</v>
      </c>
      <c r="O161" s="2"/>
      <c r="P161" s="16">
        <v>4200</v>
      </c>
      <c r="Q161" s="2">
        <f>VLOOKUP(B161,'Cadastro Produtos'!A:F,5,2)</f>
        <v>15</v>
      </c>
      <c r="R161" s="14">
        <f t="shared" si="10"/>
        <v>63000</v>
      </c>
    </row>
    <row r="162" spans="1:18" x14ac:dyDescent="0.25">
      <c r="A162">
        <v>161</v>
      </c>
      <c r="B162">
        <v>7</v>
      </c>
      <c r="C162" t="str">
        <f>VLOOKUP(B162,'Cadastro Produtos'!A:E,2,2)</f>
        <v>Limonada Alfa Zero 1 L</v>
      </c>
      <c r="D162">
        <v>16</v>
      </c>
      <c r="E162" t="str">
        <f>VLOOKUP(D162,'Cadatro Clientes'!A:O,2,2)</f>
        <v>Norte Suco</v>
      </c>
      <c r="F162" t="str">
        <f>VLOOKUP(D162,'Cadatro Clientes'!A:O,9,2)</f>
        <v>Nordeste</v>
      </c>
      <c r="G162" s="15">
        <v>41703</v>
      </c>
      <c r="H162">
        <f t="shared" si="11"/>
        <v>4</v>
      </c>
      <c r="I162">
        <f t="shared" si="12"/>
        <v>5</v>
      </c>
      <c r="J162">
        <f t="shared" si="13"/>
        <v>3</v>
      </c>
      <c r="K162">
        <f t="shared" si="14"/>
        <v>2014</v>
      </c>
      <c r="M162">
        <v>9</v>
      </c>
      <c r="N162" t="str">
        <f>VLOOKUP(M162,'Cadastro Vendedores'!A:H,2,2)</f>
        <v>Adriana</v>
      </c>
      <c r="O162" s="2"/>
      <c r="P162" s="16">
        <v>4500</v>
      </c>
      <c r="Q162" s="2">
        <f>VLOOKUP(B162,'Cadastro Produtos'!A:F,5,2)</f>
        <v>15</v>
      </c>
      <c r="R162" s="14">
        <f t="shared" si="10"/>
        <v>67500</v>
      </c>
    </row>
    <row r="163" spans="1:18" x14ac:dyDescent="0.25">
      <c r="A163">
        <v>162</v>
      </c>
      <c r="B163">
        <v>1</v>
      </c>
      <c r="C163" t="str">
        <f>VLOOKUP(B163,'Cadastro Produtos'!A:E,2,2)</f>
        <v>Limonada Alfa com Açúcar 500 ml</v>
      </c>
      <c r="D163">
        <v>20</v>
      </c>
      <c r="E163" t="str">
        <f>VLOOKUP(D163,'Cadatro Clientes'!A:O,2,2)</f>
        <v>Brasil Saúde</v>
      </c>
      <c r="F163" t="str">
        <f>VLOOKUP(D163,'Cadatro Clientes'!A:O,9,2)</f>
        <v>Nordeste</v>
      </c>
      <c r="G163" s="15">
        <v>41704</v>
      </c>
      <c r="H163">
        <f t="shared" si="11"/>
        <v>5</v>
      </c>
      <c r="I163">
        <f t="shared" si="12"/>
        <v>6</v>
      </c>
      <c r="J163">
        <f t="shared" si="13"/>
        <v>3</v>
      </c>
      <c r="K163">
        <f t="shared" si="14"/>
        <v>2014</v>
      </c>
      <c r="M163">
        <v>2</v>
      </c>
      <c r="N163" t="str">
        <f>VLOOKUP(M163,'Cadastro Vendedores'!A:H,2,2)</f>
        <v>Luis</v>
      </c>
      <c r="O163" s="2"/>
      <c r="P163" s="16">
        <v>1600</v>
      </c>
      <c r="Q163" s="2">
        <f>VLOOKUP(B163,'Cadastro Produtos'!A:F,5,2)</f>
        <v>8.5</v>
      </c>
      <c r="R163" s="14">
        <f t="shared" si="10"/>
        <v>13600</v>
      </c>
    </row>
    <row r="164" spans="1:18" x14ac:dyDescent="0.25">
      <c r="A164">
        <v>163</v>
      </c>
      <c r="B164">
        <v>5</v>
      </c>
      <c r="C164" t="str">
        <f>VLOOKUP(B164,'Cadastro Produtos'!A:E,2,2)</f>
        <v>Limonada Alfa com Açúcar 1 L</v>
      </c>
      <c r="D164">
        <v>16</v>
      </c>
      <c r="E164" t="str">
        <f>VLOOKUP(D164,'Cadatro Clientes'!A:O,2,2)</f>
        <v>Norte Suco</v>
      </c>
      <c r="F164" t="str">
        <f>VLOOKUP(D164,'Cadatro Clientes'!A:O,9,2)</f>
        <v>Nordeste</v>
      </c>
      <c r="G164" s="15">
        <v>41704</v>
      </c>
      <c r="H164">
        <f t="shared" si="11"/>
        <v>5</v>
      </c>
      <c r="I164">
        <f t="shared" si="12"/>
        <v>6</v>
      </c>
      <c r="J164">
        <f t="shared" si="13"/>
        <v>3</v>
      </c>
      <c r="K164">
        <f t="shared" si="14"/>
        <v>2014</v>
      </c>
      <c r="M164">
        <v>2</v>
      </c>
      <c r="N164" t="str">
        <f>VLOOKUP(M164,'Cadastro Vendedores'!A:H,2,2)</f>
        <v>Luis</v>
      </c>
      <c r="O164" s="2"/>
      <c r="P164" s="16">
        <v>3800</v>
      </c>
      <c r="Q164" s="2">
        <f>VLOOKUP(B164,'Cadastro Produtos'!A:F,5,2)</f>
        <v>15</v>
      </c>
      <c r="R164" s="14">
        <f t="shared" si="10"/>
        <v>57000</v>
      </c>
    </row>
    <row r="165" spans="1:18" x14ac:dyDescent="0.25">
      <c r="A165">
        <v>164</v>
      </c>
      <c r="B165">
        <v>7</v>
      </c>
      <c r="C165" t="str">
        <f>VLOOKUP(B165,'Cadastro Produtos'!A:E,2,2)</f>
        <v>Limonada Alfa Zero 1 L</v>
      </c>
      <c r="D165">
        <v>11</v>
      </c>
      <c r="E165" t="str">
        <f>VLOOKUP(D165,'Cadatro Clientes'!A:O,2,2)</f>
        <v>Red Lemon</v>
      </c>
      <c r="F165" t="str">
        <f>VLOOKUP(D165,'Cadatro Clientes'!A:O,9,2)</f>
        <v>Sul</v>
      </c>
      <c r="G165" s="15">
        <v>41704</v>
      </c>
      <c r="H165">
        <f t="shared" si="11"/>
        <v>5</v>
      </c>
      <c r="I165">
        <f t="shared" si="12"/>
        <v>6</v>
      </c>
      <c r="J165">
        <f t="shared" si="13"/>
        <v>3</v>
      </c>
      <c r="K165">
        <f t="shared" si="14"/>
        <v>2014</v>
      </c>
      <c r="M165">
        <v>7</v>
      </c>
      <c r="N165" t="str">
        <f>VLOOKUP(M165,'Cadastro Vendedores'!A:H,2,2)</f>
        <v>Benedito</v>
      </c>
      <c r="O165" s="2"/>
      <c r="P165" s="16">
        <v>2700</v>
      </c>
      <c r="Q165" s="2">
        <f>VLOOKUP(B165,'Cadastro Produtos'!A:F,5,2)</f>
        <v>15</v>
      </c>
      <c r="R165" s="14">
        <f t="shared" si="10"/>
        <v>40500</v>
      </c>
    </row>
    <row r="166" spans="1:18" x14ac:dyDescent="0.25">
      <c r="A166">
        <v>165</v>
      </c>
      <c r="B166">
        <v>9</v>
      </c>
      <c r="C166" t="str">
        <f>VLOOKUP(B166,'Cadastro Produtos'!A:E,2,2)</f>
        <v>Limonada Alfa com Hortelã e Açúcar 1 L</v>
      </c>
      <c r="D166">
        <v>5</v>
      </c>
      <c r="E166" t="str">
        <f>VLOOKUP(D166,'Cadatro Clientes'!A:O,2,2)</f>
        <v>Axé com Limão</v>
      </c>
      <c r="F166" t="str">
        <f>VLOOKUP(D166,'Cadatro Clientes'!A:O,9,2)</f>
        <v>Nordeste</v>
      </c>
      <c r="G166" s="15">
        <v>41704</v>
      </c>
      <c r="H166">
        <f t="shared" si="11"/>
        <v>5</v>
      </c>
      <c r="I166">
        <f t="shared" si="12"/>
        <v>6</v>
      </c>
      <c r="J166">
        <f t="shared" si="13"/>
        <v>3</v>
      </c>
      <c r="K166">
        <f t="shared" si="14"/>
        <v>2014</v>
      </c>
      <c r="M166">
        <v>3</v>
      </c>
      <c r="N166" t="str">
        <f>VLOOKUP(M166,'Cadastro Vendedores'!A:H,2,2)</f>
        <v>Antônia</v>
      </c>
      <c r="O166" s="2"/>
      <c r="P166" s="16">
        <v>3200</v>
      </c>
      <c r="Q166" s="2">
        <f>VLOOKUP(B166,'Cadastro Produtos'!A:F,5,2)</f>
        <v>17.5</v>
      </c>
      <c r="R166" s="14">
        <f t="shared" si="10"/>
        <v>56000</v>
      </c>
    </row>
    <row r="167" spans="1:18" x14ac:dyDescent="0.25">
      <c r="A167">
        <v>166</v>
      </c>
      <c r="B167">
        <v>3</v>
      </c>
      <c r="C167" t="str">
        <f>VLOOKUP(B167,'Cadastro Produtos'!A:E,2,2)</f>
        <v>Limonada Alfa Zero 500 ml</v>
      </c>
      <c r="D167">
        <v>8</v>
      </c>
      <c r="E167" t="str">
        <f>VLOOKUP(D167,'Cadatro Clientes'!A:O,2,2)</f>
        <v>Refresko</v>
      </c>
      <c r="F167" t="str">
        <f>VLOOKUP(D167,'Cadatro Clientes'!A:O,9,2)</f>
        <v>Sul</v>
      </c>
      <c r="G167" s="15">
        <v>41704</v>
      </c>
      <c r="H167">
        <f t="shared" si="11"/>
        <v>5</v>
      </c>
      <c r="I167">
        <f t="shared" si="12"/>
        <v>6</v>
      </c>
      <c r="J167">
        <f t="shared" si="13"/>
        <v>3</v>
      </c>
      <c r="K167">
        <f t="shared" si="14"/>
        <v>2014</v>
      </c>
      <c r="M167">
        <v>6</v>
      </c>
      <c r="N167" t="str">
        <f>VLOOKUP(M167,'Cadastro Vendedores'!A:H,2,2)</f>
        <v>Antônia</v>
      </c>
      <c r="O167" s="2"/>
      <c r="P167" s="16">
        <v>6100</v>
      </c>
      <c r="Q167" s="2">
        <f>VLOOKUP(B167,'Cadastro Produtos'!A:F,5,2)</f>
        <v>9</v>
      </c>
      <c r="R167" s="14">
        <f t="shared" si="10"/>
        <v>54900</v>
      </c>
    </row>
    <row r="168" spans="1:18" x14ac:dyDescent="0.25">
      <c r="A168">
        <v>167</v>
      </c>
      <c r="B168">
        <v>7</v>
      </c>
      <c r="C168" t="str">
        <f>VLOOKUP(B168,'Cadastro Produtos'!A:E,2,2)</f>
        <v>Limonada Alfa Zero 1 L</v>
      </c>
      <c r="D168">
        <v>1</v>
      </c>
      <c r="E168" t="str">
        <f>VLOOKUP(D168,'Cadatro Clientes'!A:O,2,2)</f>
        <v>Meu Suco de Limão</v>
      </c>
      <c r="F168" t="str">
        <f>VLOOKUP(D168,'Cadatro Clientes'!A:O,9,2)</f>
        <v>Norte</v>
      </c>
      <c r="G168" s="15">
        <v>41705</v>
      </c>
      <c r="H168">
        <f t="shared" si="11"/>
        <v>6</v>
      </c>
      <c r="I168">
        <f t="shared" si="12"/>
        <v>7</v>
      </c>
      <c r="J168">
        <f t="shared" si="13"/>
        <v>3</v>
      </c>
      <c r="K168">
        <f t="shared" si="14"/>
        <v>2014</v>
      </c>
      <c r="M168">
        <v>6</v>
      </c>
      <c r="N168" t="str">
        <f>VLOOKUP(M168,'Cadastro Vendedores'!A:H,2,2)</f>
        <v>Antônia</v>
      </c>
      <c r="O168" s="2"/>
      <c r="P168" s="16">
        <v>3900</v>
      </c>
      <c r="Q168" s="2">
        <f>VLOOKUP(B168,'Cadastro Produtos'!A:F,5,2)</f>
        <v>15</v>
      </c>
      <c r="R168" s="14">
        <f t="shared" si="10"/>
        <v>58500</v>
      </c>
    </row>
    <row r="169" spans="1:18" x14ac:dyDescent="0.25">
      <c r="A169">
        <v>168</v>
      </c>
      <c r="B169">
        <v>3</v>
      </c>
      <c r="C169" t="str">
        <f>VLOOKUP(B169,'Cadastro Produtos'!A:E,2,2)</f>
        <v>Limonada Alfa Zero 500 ml</v>
      </c>
      <c r="D169">
        <v>11</v>
      </c>
      <c r="E169" t="str">
        <f>VLOOKUP(D169,'Cadatro Clientes'!A:O,2,2)</f>
        <v>Red Lemon</v>
      </c>
      <c r="F169" t="str">
        <f>VLOOKUP(D169,'Cadatro Clientes'!A:O,9,2)</f>
        <v>Sul</v>
      </c>
      <c r="G169" s="15">
        <v>41705</v>
      </c>
      <c r="H169">
        <f t="shared" si="11"/>
        <v>6</v>
      </c>
      <c r="I169">
        <f t="shared" si="12"/>
        <v>7</v>
      </c>
      <c r="J169">
        <f t="shared" si="13"/>
        <v>3</v>
      </c>
      <c r="K169">
        <f t="shared" si="14"/>
        <v>2014</v>
      </c>
      <c r="M169">
        <v>2</v>
      </c>
      <c r="N169" t="str">
        <f>VLOOKUP(M169,'Cadastro Vendedores'!A:H,2,2)</f>
        <v>Luis</v>
      </c>
      <c r="O169" s="2"/>
      <c r="P169" s="16">
        <v>7200</v>
      </c>
      <c r="Q169" s="2">
        <f>VLOOKUP(B169,'Cadastro Produtos'!A:F,5,2)</f>
        <v>9</v>
      </c>
      <c r="R169" s="14">
        <f t="shared" si="10"/>
        <v>64800</v>
      </c>
    </row>
    <row r="170" spans="1:18" x14ac:dyDescent="0.25">
      <c r="A170">
        <v>169</v>
      </c>
      <c r="B170">
        <v>4</v>
      </c>
      <c r="C170" t="str">
        <f>VLOOKUP(B170,'Cadastro Produtos'!A:E,2,2)</f>
        <v>Limonada Beta Zero 500 ml</v>
      </c>
      <c r="D170">
        <v>6</v>
      </c>
      <c r="E170" t="str">
        <f>VLOOKUP(D170,'Cadatro Clientes'!A:O,2,2)</f>
        <v>Lemonade</v>
      </c>
      <c r="F170" t="str">
        <f>VLOOKUP(D170,'Cadatro Clientes'!A:O,9,2)</f>
        <v>Norte</v>
      </c>
      <c r="G170" s="15">
        <v>41706</v>
      </c>
      <c r="H170">
        <f t="shared" si="11"/>
        <v>7</v>
      </c>
      <c r="I170">
        <f t="shared" si="12"/>
        <v>8</v>
      </c>
      <c r="J170">
        <f t="shared" si="13"/>
        <v>3</v>
      </c>
      <c r="K170">
        <f t="shared" si="14"/>
        <v>2014</v>
      </c>
      <c r="M170">
        <v>7</v>
      </c>
      <c r="N170" t="str">
        <f>VLOOKUP(M170,'Cadastro Vendedores'!A:H,2,2)</f>
        <v>Benedito</v>
      </c>
      <c r="O170" s="2"/>
      <c r="P170" s="16">
        <v>5900</v>
      </c>
      <c r="Q170" s="2">
        <f>VLOOKUP(B170,'Cadastro Produtos'!A:F,5,2)</f>
        <v>7</v>
      </c>
      <c r="R170" s="14">
        <f t="shared" si="10"/>
        <v>41300</v>
      </c>
    </row>
    <row r="171" spans="1:18" x14ac:dyDescent="0.25">
      <c r="A171">
        <v>170</v>
      </c>
      <c r="B171">
        <v>1</v>
      </c>
      <c r="C171" t="str">
        <f>VLOOKUP(B171,'Cadastro Produtos'!A:E,2,2)</f>
        <v>Limonada Alfa com Açúcar 500 ml</v>
      </c>
      <c r="D171">
        <v>20</v>
      </c>
      <c r="E171" t="str">
        <f>VLOOKUP(D171,'Cadatro Clientes'!A:O,2,2)</f>
        <v>Brasil Saúde</v>
      </c>
      <c r="F171" t="str">
        <f>VLOOKUP(D171,'Cadatro Clientes'!A:O,9,2)</f>
        <v>Nordeste</v>
      </c>
      <c r="G171" s="15">
        <v>41706</v>
      </c>
      <c r="H171">
        <f t="shared" si="11"/>
        <v>7</v>
      </c>
      <c r="I171">
        <f t="shared" si="12"/>
        <v>8</v>
      </c>
      <c r="J171">
        <f t="shared" si="13"/>
        <v>3</v>
      </c>
      <c r="K171">
        <f t="shared" si="14"/>
        <v>2014</v>
      </c>
      <c r="M171">
        <v>7</v>
      </c>
      <c r="N171" t="str">
        <f>VLOOKUP(M171,'Cadastro Vendedores'!A:H,2,2)</f>
        <v>Benedito</v>
      </c>
      <c r="O171" s="2"/>
      <c r="P171" s="16">
        <v>5300</v>
      </c>
      <c r="Q171" s="2">
        <f>VLOOKUP(B171,'Cadastro Produtos'!A:F,5,2)</f>
        <v>8.5</v>
      </c>
      <c r="R171" s="14">
        <f t="shared" si="10"/>
        <v>45050</v>
      </c>
    </row>
    <row r="172" spans="1:18" x14ac:dyDescent="0.25">
      <c r="A172">
        <v>171</v>
      </c>
      <c r="B172">
        <v>1</v>
      </c>
      <c r="C172" t="str">
        <f>VLOOKUP(B172,'Cadastro Produtos'!A:E,2,2)</f>
        <v>Limonada Alfa com Açúcar 500 ml</v>
      </c>
      <c r="D172">
        <v>11</v>
      </c>
      <c r="E172" t="str">
        <f>VLOOKUP(D172,'Cadatro Clientes'!A:O,2,2)</f>
        <v>Red Lemon</v>
      </c>
      <c r="F172" t="str">
        <f>VLOOKUP(D172,'Cadatro Clientes'!A:O,9,2)</f>
        <v>Sul</v>
      </c>
      <c r="G172" s="15">
        <v>41706</v>
      </c>
      <c r="H172">
        <f t="shared" si="11"/>
        <v>7</v>
      </c>
      <c r="I172">
        <f t="shared" si="12"/>
        <v>8</v>
      </c>
      <c r="J172">
        <f t="shared" si="13"/>
        <v>3</v>
      </c>
      <c r="K172">
        <f t="shared" si="14"/>
        <v>2014</v>
      </c>
      <c r="M172">
        <v>3</v>
      </c>
      <c r="N172" t="str">
        <f>VLOOKUP(M172,'Cadastro Vendedores'!A:H,2,2)</f>
        <v>Antônia</v>
      </c>
      <c r="O172" s="2"/>
      <c r="P172" s="16">
        <v>3300</v>
      </c>
      <c r="Q172" s="2">
        <f>VLOOKUP(B172,'Cadastro Produtos'!A:F,5,2)</f>
        <v>8.5</v>
      </c>
      <c r="R172" s="14">
        <f t="shared" si="10"/>
        <v>28050</v>
      </c>
    </row>
    <row r="173" spans="1:18" x14ac:dyDescent="0.25">
      <c r="A173">
        <v>172</v>
      </c>
      <c r="B173">
        <v>4</v>
      </c>
      <c r="C173" t="str">
        <f>VLOOKUP(B173,'Cadastro Produtos'!A:E,2,2)</f>
        <v>Limonada Beta Zero 500 ml</v>
      </c>
      <c r="D173">
        <v>8</v>
      </c>
      <c r="E173" t="str">
        <f>VLOOKUP(D173,'Cadatro Clientes'!A:O,2,2)</f>
        <v>Refresko</v>
      </c>
      <c r="F173" t="str">
        <f>VLOOKUP(D173,'Cadatro Clientes'!A:O,9,2)</f>
        <v>Sul</v>
      </c>
      <c r="G173" s="15">
        <v>41707</v>
      </c>
      <c r="H173">
        <f t="shared" si="11"/>
        <v>1</v>
      </c>
      <c r="I173">
        <f t="shared" si="12"/>
        <v>9</v>
      </c>
      <c r="J173">
        <f t="shared" si="13"/>
        <v>3</v>
      </c>
      <c r="K173">
        <f t="shared" si="14"/>
        <v>2014</v>
      </c>
      <c r="M173">
        <v>2</v>
      </c>
      <c r="N173" t="str">
        <f>VLOOKUP(M173,'Cadastro Vendedores'!A:H,2,2)</f>
        <v>Luis</v>
      </c>
      <c r="O173" s="2"/>
      <c r="P173" s="16">
        <v>1900</v>
      </c>
      <c r="Q173" s="2">
        <f>VLOOKUP(B173,'Cadastro Produtos'!A:F,5,2)</f>
        <v>7</v>
      </c>
      <c r="R173" s="14">
        <f t="shared" si="10"/>
        <v>13300</v>
      </c>
    </row>
    <row r="174" spans="1:18" x14ac:dyDescent="0.25">
      <c r="A174">
        <v>173</v>
      </c>
      <c r="B174">
        <v>3</v>
      </c>
      <c r="C174" t="str">
        <f>VLOOKUP(B174,'Cadastro Produtos'!A:E,2,2)</f>
        <v>Limonada Alfa Zero 500 ml</v>
      </c>
      <c r="D174">
        <v>2</v>
      </c>
      <c r="E174" t="str">
        <f>VLOOKUP(D174,'Cadatro Clientes'!A:O,2,2)</f>
        <v>Limão S/A</v>
      </c>
      <c r="F174" t="str">
        <f>VLOOKUP(D174,'Cadatro Clientes'!A:O,9,2)</f>
        <v>Centro-Oeste</v>
      </c>
      <c r="G174" s="15">
        <v>41707</v>
      </c>
      <c r="H174">
        <f t="shared" si="11"/>
        <v>1</v>
      </c>
      <c r="I174">
        <f t="shared" si="12"/>
        <v>9</v>
      </c>
      <c r="J174">
        <f t="shared" si="13"/>
        <v>3</v>
      </c>
      <c r="K174">
        <f t="shared" si="14"/>
        <v>2014</v>
      </c>
      <c r="M174">
        <v>2</v>
      </c>
      <c r="N174" t="str">
        <f>VLOOKUP(M174,'Cadastro Vendedores'!A:H,2,2)</f>
        <v>Luis</v>
      </c>
      <c r="O174" s="2"/>
      <c r="P174" s="16">
        <v>3500</v>
      </c>
      <c r="Q174" s="2">
        <f>VLOOKUP(B174,'Cadastro Produtos'!A:F,5,2)</f>
        <v>9</v>
      </c>
      <c r="R174" s="14">
        <f t="shared" si="10"/>
        <v>31500</v>
      </c>
    </row>
    <row r="175" spans="1:18" x14ac:dyDescent="0.25">
      <c r="A175">
        <v>174</v>
      </c>
      <c r="B175">
        <v>5</v>
      </c>
      <c r="C175" t="str">
        <f>VLOOKUP(B175,'Cadastro Produtos'!A:E,2,2)</f>
        <v>Limonada Alfa com Açúcar 1 L</v>
      </c>
      <c r="D175">
        <v>17</v>
      </c>
      <c r="E175" t="str">
        <f>VLOOKUP(D175,'Cadatro Clientes'!A:O,2,2)</f>
        <v>Aracasuco</v>
      </c>
      <c r="F175" t="str">
        <f>VLOOKUP(D175,'Cadatro Clientes'!A:O,9,2)</f>
        <v>Nordeste</v>
      </c>
      <c r="G175" s="15">
        <v>41707</v>
      </c>
      <c r="H175">
        <f t="shared" si="11"/>
        <v>1</v>
      </c>
      <c r="I175">
        <f t="shared" si="12"/>
        <v>9</v>
      </c>
      <c r="J175">
        <f t="shared" si="13"/>
        <v>3</v>
      </c>
      <c r="K175">
        <f t="shared" si="14"/>
        <v>2014</v>
      </c>
      <c r="M175">
        <v>8</v>
      </c>
      <c r="N175" t="str">
        <f>VLOOKUP(M175,'Cadastro Vendedores'!A:H,2,2)</f>
        <v>Sérgio</v>
      </c>
      <c r="O175" s="2"/>
      <c r="P175" s="16">
        <v>2100</v>
      </c>
      <c r="Q175" s="2">
        <f>VLOOKUP(B175,'Cadastro Produtos'!A:F,5,2)</f>
        <v>15</v>
      </c>
      <c r="R175" s="14">
        <f t="shared" si="10"/>
        <v>31500</v>
      </c>
    </row>
    <row r="176" spans="1:18" x14ac:dyDescent="0.25">
      <c r="A176">
        <v>175</v>
      </c>
      <c r="B176">
        <v>8</v>
      </c>
      <c r="C176" t="str">
        <f>VLOOKUP(B176,'Cadastro Produtos'!A:E,2,2)</f>
        <v>Limonada Beta Zero 1 L</v>
      </c>
      <c r="D176">
        <v>16</v>
      </c>
      <c r="E176" t="str">
        <f>VLOOKUP(D176,'Cadatro Clientes'!A:O,2,2)</f>
        <v>Norte Suco</v>
      </c>
      <c r="F176" t="str">
        <f>VLOOKUP(D176,'Cadatro Clientes'!A:O,9,2)</f>
        <v>Nordeste</v>
      </c>
      <c r="G176" s="15">
        <v>41707</v>
      </c>
      <c r="H176">
        <f t="shared" si="11"/>
        <v>1</v>
      </c>
      <c r="I176">
        <f t="shared" si="12"/>
        <v>9</v>
      </c>
      <c r="J176">
        <f t="shared" si="13"/>
        <v>3</v>
      </c>
      <c r="K176">
        <f t="shared" si="14"/>
        <v>2014</v>
      </c>
      <c r="M176">
        <v>6</v>
      </c>
      <c r="N176" t="str">
        <f>VLOOKUP(M176,'Cadastro Vendedores'!A:H,2,2)</f>
        <v>Antônia</v>
      </c>
      <c r="O176" s="2"/>
      <c r="P176" s="16">
        <v>4500</v>
      </c>
      <c r="Q176" s="2">
        <f>VLOOKUP(B176,'Cadastro Produtos'!A:F,5,2)</f>
        <v>12</v>
      </c>
      <c r="R176" s="14">
        <f t="shared" si="10"/>
        <v>54000</v>
      </c>
    </row>
    <row r="177" spans="1:18" x14ac:dyDescent="0.25">
      <c r="A177">
        <v>176</v>
      </c>
      <c r="B177">
        <v>4</v>
      </c>
      <c r="C177" t="str">
        <f>VLOOKUP(B177,'Cadastro Produtos'!A:E,2,2)</f>
        <v>Limonada Beta Zero 500 ml</v>
      </c>
      <c r="D177">
        <v>11</v>
      </c>
      <c r="E177" t="str">
        <f>VLOOKUP(D177,'Cadatro Clientes'!A:O,2,2)</f>
        <v>Red Lemon</v>
      </c>
      <c r="F177" t="str">
        <f>VLOOKUP(D177,'Cadatro Clientes'!A:O,9,2)</f>
        <v>Sul</v>
      </c>
      <c r="G177" s="15">
        <v>41707</v>
      </c>
      <c r="H177">
        <f t="shared" si="11"/>
        <v>1</v>
      </c>
      <c r="I177">
        <f t="shared" si="12"/>
        <v>9</v>
      </c>
      <c r="J177">
        <f t="shared" si="13"/>
        <v>3</v>
      </c>
      <c r="K177">
        <f t="shared" si="14"/>
        <v>2014</v>
      </c>
      <c r="M177">
        <v>6</v>
      </c>
      <c r="N177" t="str">
        <f>VLOOKUP(M177,'Cadastro Vendedores'!A:H,2,2)</f>
        <v>Antônia</v>
      </c>
      <c r="O177" s="2"/>
      <c r="P177" s="16">
        <v>5800</v>
      </c>
      <c r="Q177" s="2">
        <f>VLOOKUP(B177,'Cadastro Produtos'!A:F,5,2)</f>
        <v>7</v>
      </c>
      <c r="R177" s="14">
        <f t="shared" si="10"/>
        <v>40600</v>
      </c>
    </row>
    <row r="178" spans="1:18" x14ac:dyDescent="0.25">
      <c r="A178">
        <v>177</v>
      </c>
      <c r="B178">
        <v>10</v>
      </c>
      <c r="C178" t="str">
        <f>VLOOKUP(B178,'Cadastro Produtos'!A:E,2,2)</f>
        <v>Limonada Alfa com Hortelã Zero 1 L</v>
      </c>
      <c r="D178">
        <v>8</v>
      </c>
      <c r="E178" t="str">
        <f>VLOOKUP(D178,'Cadatro Clientes'!A:O,2,2)</f>
        <v>Refresko</v>
      </c>
      <c r="F178" t="str">
        <f>VLOOKUP(D178,'Cadatro Clientes'!A:O,9,2)</f>
        <v>Sul</v>
      </c>
      <c r="G178" s="15">
        <v>41707</v>
      </c>
      <c r="H178">
        <f t="shared" si="11"/>
        <v>1</v>
      </c>
      <c r="I178">
        <f t="shared" si="12"/>
        <v>9</v>
      </c>
      <c r="J178">
        <f t="shared" si="13"/>
        <v>3</v>
      </c>
      <c r="K178">
        <f t="shared" si="14"/>
        <v>2014</v>
      </c>
      <c r="M178">
        <v>9</v>
      </c>
      <c r="N178" t="str">
        <f>VLOOKUP(M178,'Cadastro Vendedores'!A:H,2,2)</f>
        <v>Adriana</v>
      </c>
      <c r="O178" s="2"/>
      <c r="P178" s="16">
        <v>3100</v>
      </c>
      <c r="Q178" s="2">
        <f>VLOOKUP(B178,'Cadastro Produtos'!A:F,5,2)</f>
        <v>21</v>
      </c>
      <c r="R178" s="14">
        <f t="shared" si="10"/>
        <v>65100</v>
      </c>
    </row>
    <row r="179" spans="1:18" x14ac:dyDescent="0.25">
      <c r="A179">
        <v>178</v>
      </c>
      <c r="B179">
        <v>5</v>
      </c>
      <c r="C179" t="str">
        <f>VLOOKUP(B179,'Cadastro Produtos'!A:E,2,2)</f>
        <v>Limonada Alfa com Açúcar 1 L</v>
      </c>
      <c r="D179">
        <v>6</v>
      </c>
      <c r="E179" t="str">
        <f>VLOOKUP(D179,'Cadatro Clientes'!A:O,2,2)</f>
        <v>Lemonade</v>
      </c>
      <c r="F179" t="str">
        <f>VLOOKUP(D179,'Cadatro Clientes'!A:O,9,2)</f>
        <v>Norte</v>
      </c>
      <c r="G179" s="15">
        <v>41708</v>
      </c>
      <c r="H179">
        <f t="shared" si="11"/>
        <v>2</v>
      </c>
      <c r="I179">
        <f t="shared" si="12"/>
        <v>10</v>
      </c>
      <c r="J179">
        <f t="shared" si="13"/>
        <v>3</v>
      </c>
      <c r="K179">
        <f t="shared" si="14"/>
        <v>2014</v>
      </c>
      <c r="M179">
        <v>2</v>
      </c>
      <c r="N179" t="str">
        <f>VLOOKUP(M179,'Cadastro Vendedores'!A:H,2,2)</f>
        <v>Luis</v>
      </c>
      <c r="O179" s="2"/>
      <c r="P179" s="16">
        <v>3400</v>
      </c>
      <c r="Q179" s="2">
        <f>VLOOKUP(B179,'Cadastro Produtos'!A:F,5,2)</f>
        <v>15</v>
      </c>
      <c r="R179" s="14">
        <f t="shared" si="10"/>
        <v>51000</v>
      </c>
    </row>
    <row r="180" spans="1:18" x14ac:dyDescent="0.25">
      <c r="A180">
        <v>179</v>
      </c>
      <c r="B180">
        <v>7</v>
      </c>
      <c r="C180" t="str">
        <f>VLOOKUP(B180,'Cadastro Produtos'!A:E,2,2)</f>
        <v>Limonada Alfa Zero 1 L</v>
      </c>
      <c r="D180">
        <v>13</v>
      </c>
      <c r="E180" t="str">
        <f>VLOOKUP(D180,'Cadatro Clientes'!A:O,2,2)</f>
        <v>Monster Lemon</v>
      </c>
      <c r="F180" t="str">
        <f>VLOOKUP(D180,'Cadatro Clientes'!A:O,9,2)</f>
        <v>Nordeste</v>
      </c>
      <c r="G180" s="15">
        <v>41708</v>
      </c>
      <c r="H180">
        <f t="shared" si="11"/>
        <v>2</v>
      </c>
      <c r="I180">
        <f t="shared" si="12"/>
        <v>10</v>
      </c>
      <c r="J180">
        <f t="shared" si="13"/>
        <v>3</v>
      </c>
      <c r="K180">
        <f t="shared" si="14"/>
        <v>2014</v>
      </c>
      <c r="M180">
        <v>6</v>
      </c>
      <c r="N180" t="str">
        <f>VLOOKUP(M180,'Cadastro Vendedores'!A:H,2,2)</f>
        <v>Antônia</v>
      </c>
      <c r="O180" s="2"/>
      <c r="P180" s="16">
        <v>3100</v>
      </c>
      <c r="Q180" s="2">
        <f>VLOOKUP(B180,'Cadastro Produtos'!A:F,5,2)</f>
        <v>15</v>
      </c>
      <c r="R180" s="14">
        <f t="shared" si="10"/>
        <v>46500</v>
      </c>
    </row>
    <row r="181" spans="1:18" x14ac:dyDescent="0.25">
      <c r="A181">
        <v>180</v>
      </c>
      <c r="B181">
        <v>8</v>
      </c>
      <c r="C181" t="str">
        <f>VLOOKUP(B181,'Cadastro Produtos'!A:E,2,2)</f>
        <v>Limonada Beta Zero 1 L</v>
      </c>
      <c r="D181">
        <v>1</v>
      </c>
      <c r="E181" t="str">
        <f>VLOOKUP(D181,'Cadatro Clientes'!A:O,2,2)</f>
        <v>Meu Suco de Limão</v>
      </c>
      <c r="F181" t="str">
        <f>VLOOKUP(D181,'Cadatro Clientes'!A:O,9,2)</f>
        <v>Norte</v>
      </c>
      <c r="G181" s="15">
        <v>41708</v>
      </c>
      <c r="H181">
        <f t="shared" si="11"/>
        <v>2</v>
      </c>
      <c r="I181">
        <f t="shared" si="12"/>
        <v>10</v>
      </c>
      <c r="J181">
        <f t="shared" si="13"/>
        <v>3</v>
      </c>
      <c r="K181">
        <f t="shared" si="14"/>
        <v>2014</v>
      </c>
      <c r="M181">
        <v>2</v>
      </c>
      <c r="N181" t="str">
        <f>VLOOKUP(M181,'Cadastro Vendedores'!A:H,2,2)</f>
        <v>Luis</v>
      </c>
      <c r="O181" s="2"/>
      <c r="P181" s="16">
        <v>2700</v>
      </c>
      <c r="Q181" s="2">
        <f>VLOOKUP(B181,'Cadastro Produtos'!A:F,5,2)</f>
        <v>12</v>
      </c>
      <c r="R181" s="14">
        <f t="shared" si="10"/>
        <v>32400</v>
      </c>
    </row>
    <row r="182" spans="1:18" x14ac:dyDescent="0.25">
      <c r="A182">
        <v>181</v>
      </c>
      <c r="B182">
        <v>4</v>
      </c>
      <c r="C182" t="str">
        <f>VLOOKUP(B182,'Cadastro Produtos'!A:E,2,2)</f>
        <v>Limonada Beta Zero 500 ml</v>
      </c>
      <c r="D182">
        <v>5</v>
      </c>
      <c r="E182" t="str">
        <f>VLOOKUP(D182,'Cadatro Clientes'!A:O,2,2)</f>
        <v>Axé com Limão</v>
      </c>
      <c r="F182" t="str">
        <f>VLOOKUP(D182,'Cadatro Clientes'!A:O,9,2)</f>
        <v>Nordeste</v>
      </c>
      <c r="G182" s="15">
        <v>41709</v>
      </c>
      <c r="H182">
        <f t="shared" si="11"/>
        <v>3</v>
      </c>
      <c r="I182">
        <f t="shared" si="12"/>
        <v>11</v>
      </c>
      <c r="J182">
        <f t="shared" si="13"/>
        <v>3</v>
      </c>
      <c r="K182">
        <f t="shared" si="14"/>
        <v>2014</v>
      </c>
      <c r="M182">
        <v>4</v>
      </c>
      <c r="N182" t="str">
        <f>VLOOKUP(M182,'Cadastro Vendedores'!A:H,2,2)</f>
        <v>José</v>
      </c>
      <c r="O182" s="2"/>
      <c r="P182" s="16">
        <v>9800</v>
      </c>
      <c r="Q182" s="2">
        <f>VLOOKUP(B182,'Cadastro Produtos'!A:F,5,2)</f>
        <v>7</v>
      </c>
      <c r="R182" s="14">
        <f t="shared" si="10"/>
        <v>68600</v>
      </c>
    </row>
    <row r="183" spans="1:18" x14ac:dyDescent="0.25">
      <c r="A183">
        <v>182</v>
      </c>
      <c r="B183">
        <v>10</v>
      </c>
      <c r="C183" t="str">
        <f>VLOOKUP(B183,'Cadastro Produtos'!A:E,2,2)</f>
        <v>Limonada Alfa com Hortelã Zero 1 L</v>
      </c>
      <c r="D183">
        <v>9</v>
      </c>
      <c r="E183" t="str">
        <f>VLOOKUP(D183,'Cadatro Clientes'!A:O,2,2)</f>
        <v>Fresh Lemon</v>
      </c>
      <c r="F183" t="str">
        <f>VLOOKUP(D183,'Cadatro Clientes'!A:O,9,2)</f>
        <v>Sudeste</v>
      </c>
      <c r="G183" s="15">
        <v>41710</v>
      </c>
      <c r="H183">
        <f t="shared" si="11"/>
        <v>4</v>
      </c>
      <c r="I183">
        <f t="shared" si="12"/>
        <v>12</v>
      </c>
      <c r="J183">
        <f t="shared" si="13"/>
        <v>3</v>
      </c>
      <c r="K183">
        <f t="shared" si="14"/>
        <v>2014</v>
      </c>
      <c r="M183">
        <v>8</v>
      </c>
      <c r="N183" t="str">
        <f>VLOOKUP(M183,'Cadastro Vendedores'!A:H,2,2)</f>
        <v>Sérgio</v>
      </c>
      <c r="O183" s="2"/>
      <c r="P183" s="16">
        <v>2100</v>
      </c>
      <c r="Q183" s="2">
        <f>VLOOKUP(B183,'Cadastro Produtos'!A:F,5,2)</f>
        <v>21</v>
      </c>
      <c r="R183" s="14">
        <f t="shared" si="10"/>
        <v>44100</v>
      </c>
    </row>
    <row r="184" spans="1:18" x14ac:dyDescent="0.25">
      <c r="A184">
        <v>183</v>
      </c>
      <c r="B184">
        <v>5</v>
      </c>
      <c r="C184" t="str">
        <f>VLOOKUP(B184,'Cadastro Produtos'!A:E,2,2)</f>
        <v>Limonada Alfa com Açúcar 1 L</v>
      </c>
      <c r="D184">
        <v>11</v>
      </c>
      <c r="E184" t="str">
        <f>VLOOKUP(D184,'Cadatro Clientes'!A:O,2,2)</f>
        <v>Red Lemon</v>
      </c>
      <c r="F184" t="str">
        <f>VLOOKUP(D184,'Cadatro Clientes'!A:O,9,2)</f>
        <v>Sul</v>
      </c>
      <c r="G184" s="15">
        <v>41711</v>
      </c>
      <c r="H184">
        <f t="shared" si="11"/>
        <v>5</v>
      </c>
      <c r="I184">
        <f t="shared" si="12"/>
        <v>13</v>
      </c>
      <c r="J184">
        <f t="shared" si="13"/>
        <v>3</v>
      </c>
      <c r="K184">
        <f t="shared" si="14"/>
        <v>2014</v>
      </c>
      <c r="M184">
        <v>7</v>
      </c>
      <c r="N184" t="str">
        <f>VLOOKUP(M184,'Cadastro Vendedores'!A:H,2,2)</f>
        <v>Benedito</v>
      </c>
      <c r="O184" s="2"/>
      <c r="P184" s="16">
        <v>1400</v>
      </c>
      <c r="Q184" s="2">
        <f>VLOOKUP(B184,'Cadastro Produtos'!A:F,5,2)</f>
        <v>15</v>
      </c>
      <c r="R184" s="14">
        <f t="shared" si="10"/>
        <v>21000</v>
      </c>
    </row>
    <row r="185" spans="1:18" x14ac:dyDescent="0.25">
      <c r="A185">
        <v>184</v>
      </c>
      <c r="B185">
        <v>5</v>
      </c>
      <c r="C185" t="str">
        <f>VLOOKUP(B185,'Cadastro Produtos'!A:E,2,2)</f>
        <v>Limonada Alfa com Açúcar 1 L</v>
      </c>
      <c r="D185">
        <v>8</v>
      </c>
      <c r="E185" t="str">
        <f>VLOOKUP(D185,'Cadatro Clientes'!A:O,2,2)</f>
        <v>Refresko</v>
      </c>
      <c r="F185" t="str">
        <f>VLOOKUP(D185,'Cadatro Clientes'!A:O,9,2)</f>
        <v>Sul</v>
      </c>
      <c r="G185" s="15">
        <v>41711</v>
      </c>
      <c r="H185">
        <f t="shared" si="11"/>
        <v>5</v>
      </c>
      <c r="I185">
        <f t="shared" si="12"/>
        <v>13</v>
      </c>
      <c r="J185">
        <f t="shared" si="13"/>
        <v>3</v>
      </c>
      <c r="K185">
        <f t="shared" si="14"/>
        <v>2014</v>
      </c>
      <c r="M185">
        <v>9</v>
      </c>
      <c r="N185" t="str">
        <f>VLOOKUP(M185,'Cadastro Vendedores'!A:H,2,2)</f>
        <v>Adriana</v>
      </c>
      <c r="O185" s="2"/>
      <c r="P185" s="16">
        <v>2900</v>
      </c>
      <c r="Q185" s="2">
        <f>VLOOKUP(B185,'Cadastro Produtos'!A:F,5,2)</f>
        <v>15</v>
      </c>
      <c r="R185" s="14">
        <f t="shared" si="10"/>
        <v>43500</v>
      </c>
    </row>
    <row r="186" spans="1:18" x14ac:dyDescent="0.25">
      <c r="A186">
        <v>185</v>
      </c>
      <c r="B186">
        <v>8</v>
      </c>
      <c r="C186" t="str">
        <f>VLOOKUP(B186,'Cadastro Produtos'!A:E,2,2)</f>
        <v>Limonada Beta Zero 1 L</v>
      </c>
      <c r="D186">
        <v>14</v>
      </c>
      <c r="E186" t="str">
        <f>VLOOKUP(D186,'Cadatro Clientes'!A:O,2,2)</f>
        <v>Sprite</v>
      </c>
      <c r="F186" t="str">
        <f>VLOOKUP(D186,'Cadatro Clientes'!A:O,9,2)</f>
        <v>Norte</v>
      </c>
      <c r="G186" s="15">
        <v>41711</v>
      </c>
      <c r="H186">
        <f t="shared" si="11"/>
        <v>5</v>
      </c>
      <c r="I186">
        <f t="shared" si="12"/>
        <v>13</v>
      </c>
      <c r="J186">
        <f t="shared" si="13"/>
        <v>3</v>
      </c>
      <c r="K186">
        <f t="shared" si="14"/>
        <v>2014</v>
      </c>
      <c r="M186">
        <v>9</v>
      </c>
      <c r="N186" t="str">
        <f>VLOOKUP(M186,'Cadastro Vendedores'!A:H,2,2)</f>
        <v>Adriana</v>
      </c>
      <c r="O186" s="2"/>
      <c r="P186" s="16">
        <v>2700</v>
      </c>
      <c r="Q186" s="2">
        <f>VLOOKUP(B186,'Cadastro Produtos'!A:F,5,2)</f>
        <v>12</v>
      </c>
      <c r="R186" s="14">
        <f t="shared" si="10"/>
        <v>32400</v>
      </c>
    </row>
    <row r="187" spans="1:18" x14ac:dyDescent="0.25">
      <c r="A187">
        <v>186</v>
      </c>
      <c r="B187">
        <v>4</v>
      </c>
      <c r="C187" t="str">
        <f>VLOOKUP(B187,'Cadastro Produtos'!A:E,2,2)</f>
        <v>Limonada Beta Zero 500 ml</v>
      </c>
      <c r="D187">
        <v>4</v>
      </c>
      <c r="E187" t="str">
        <f>VLOOKUP(D187,'Cadatro Clientes'!A:O,2,2)</f>
        <v>Limão Carioca e Cia</v>
      </c>
      <c r="F187" t="str">
        <f>VLOOKUP(D187,'Cadatro Clientes'!A:O,9,2)</f>
        <v>Sudeste</v>
      </c>
      <c r="G187" s="15">
        <v>41711</v>
      </c>
      <c r="H187">
        <f t="shared" si="11"/>
        <v>5</v>
      </c>
      <c r="I187">
        <f t="shared" si="12"/>
        <v>13</v>
      </c>
      <c r="J187">
        <f t="shared" si="13"/>
        <v>3</v>
      </c>
      <c r="K187">
        <f t="shared" si="14"/>
        <v>2014</v>
      </c>
      <c r="M187">
        <v>2</v>
      </c>
      <c r="N187" t="str">
        <f>VLOOKUP(M187,'Cadastro Vendedores'!A:H,2,2)</f>
        <v>Luis</v>
      </c>
      <c r="O187" s="2"/>
      <c r="P187" s="16">
        <v>3600</v>
      </c>
      <c r="Q187" s="2">
        <f>VLOOKUP(B187,'Cadastro Produtos'!A:F,5,2)</f>
        <v>7</v>
      </c>
      <c r="R187" s="14">
        <f t="shared" si="10"/>
        <v>25200</v>
      </c>
    </row>
    <row r="188" spans="1:18" x14ac:dyDescent="0.25">
      <c r="A188">
        <v>187</v>
      </c>
      <c r="B188">
        <v>5</v>
      </c>
      <c r="C188" t="str">
        <f>VLOOKUP(B188,'Cadastro Produtos'!A:E,2,2)</f>
        <v>Limonada Alfa com Açúcar 1 L</v>
      </c>
      <c r="D188">
        <v>6</v>
      </c>
      <c r="E188" t="str">
        <f>VLOOKUP(D188,'Cadatro Clientes'!A:O,2,2)</f>
        <v>Lemonade</v>
      </c>
      <c r="F188" t="str">
        <f>VLOOKUP(D188,'Cadatro Clientes'!A:O,9,2)</f>
        <v>Norte</v>
      </c>
      <c r="G188" s="15">
        <v>41711</v>
      </c>
      <c r="H188">
        <f t="shared" si="11"/>
        <v>5</v>
      </c>
      <c r="I188">
        <f t="shared" si="12"/>
        <v>13</v>
      </c>
      <c r="J188">
        <f t="shared" si="13"/>
        <v>3</v>
      </c>
      <c r="K188">
        <f t="shared" si="14"/>
        <v>2014</v>
      </c>
      <c r="M188">
        <v>6</v>
      </c>
      <c r="N188" t="str">
        <f>VLOOKUP(M188,'Cadastro Vendedores'!A:H,2,2)</f>
        <v>Antônia</v>
      </c>
      <c r="O188" s="2"/>
      <c r="P188" s="16">
        <v>3800</v>
      </c>
      <c r="Q188" s="2">
        <f>VLOOKUP(B188,'Cadastro Produtos'!A:F,5,2)</f>
        <v>15</v>
      </c>
      <c r="R188" s="14">
        <f t="shared" si="10"/>
        <v>57000</v>
      </c>
    </row>
    <row r="189" spans="1:18" x14ac:dyDescent="0.25">
      <c r="A189">
        <v>188</v>
      </c>
      <c r="B189">
        <v>6</v>
      </c>
      <c r="C189" t="str">
        <f>VLOOKUP(B189,'Cadastro Produtos'!A:E,2,2)</f>
        <v>Limonada Beta com Açúcar 1 L</v>
      </c>
      <c r="D189">
        <v>1</v>
      </c>
      <c r="E189" t="str">
        <f>VLOOKUP(D189,'Cadatro Clientes'!A:O,2,2)</f>
        <v>Meu Suco de Limão</v>
      </c>
      <c r="F189" t="str">
        <f>VLOOKUP(D189,'Cadatro Clientes'!A:O,9,2)</f>
        <v>Norte</v>
      </c>
      <c r="G189" s="15">
        <v>41712</v>
      </c>
      <c r="H189">
        <f t="shared" si="11"/>
        <v>6</v>
      </c>
      <c r="I189">
        <f t="shared" si="12"/>
        <v>14</v>
      </c>
      <c r="J189">
        <f t="shared" si="13"/>
        <v>3</v>
      </c>
      <c r="K189">
        <f t="shared" si="14"/>
        <v>2014</v>
      </c>
      <c r="M189">
        <v>2</v>
      </c>
      <c r="N189" t="str">
        <f>VLOOKUP(M189,'Cadastro Vendedores'!A:H,2,2)</f>
        <v>Luis</v>
      </c>
      <c r="O189" s="2"/>
      <c r="P189" s="16">
        <v>4700</v>
      </c>
      <c r="Q189" s="2">
        <f>VLOOKUP(B189,'Cadastro Produtos'!A:F,5,2)</f>
        <v>12</v>
      </c>
      <c r="R189" s="14">
        <f t="shared" si="10"/>
        <v>56400</v>
      </c>
    </row>
    <row r="190" spans="1:18" x14ac:dyDescent="0.25">
      <c r="A190">
        <v>189</v>
      </c>
      <c r="B190">
        <v>10</v>
      </c>
      <c r="C190" t="str">
        <f>VLOOKUP(B190,'Cadastro Produtos'!A:E,2,2)</f>
        <v>Limonada Alfa com Hortelã Zero 1 L</v>
      </c>
      <c r="D190">
        <v>16</v>
      </c>
      <c r="E190" t="str">
        <f>VLOOKUP(D190,'Cadatro Clientes'!A:O,2,2)</f>
        <v>Norte Suco</v>
      </c>
      <c r="F190" t="str">
        <f>VLOOKUP(D190,'Cadatro Clientes'!A:O,9,2)</f>
        <v>Nordeste</v>
      </c>
      <c r="G190" s="15">
        <v>41712</v>
      </c>
      <c r="H190">
        <f t="shared" si="11"/>
        <v>6</v>
      </c>
      <c r="I190">
        <f t="shared" si="12"/>
        <v>14</v>
      </c>
      <c r="J190">
        <f t="shared" si="13"/>
        <v>3</v>
      </c>
      <c r="K190">
        <f t="shared" si="14"/>
        <v>2014</v>
      </c>
      <c r="M190">
        <v>2</v>
      </c>
      <c r="N190" t="str">
        <f>VLOOKUP(M190,'Cadastro Vendedores'!A:H,2,2)</f>
        <v>Luis</v>
      </c>
      <c r="O190" s="2"/>
      <c r="P190" s="16">
        <v>1600</v>
      </c>
      <c r="Q190" s="2">
        <f>VLOOKUP(B190,'Cadastro Produtos'!A:F,5,2)</f>
        <v>21</v>
      </c>
      <c r="R190" s="14">
        <f t="shared" si="10"/>
        <v>33600</v>
      </c>
    </row>
    <row r="191" spans="1:18" x14ac:dyDescent="0.25">
      <c r="A191">
        <v>190</v>
      </c>
      <c r="B191">
        <v>4</v>
      </c>
      <c r="C191" t="str">
        <f>VLOOKUP(B191,'Cadastro Produtos'!A:E,2,2)</f>
        <v>Limonada Beta Zero 500 ml</v>
      </c>
      <c r="D191">
        <v>9</v>
      </c>
      <c r="E191" t="str">
        <f>VLOOKUP(D191,'Cadatro Clientes'!A:O,2,2)</f>
        <v>Fresh Lemon</v>
      </c>
      <c r="F191" t="str">
        <f>VLOOKUP(D191,'Cadatro Clientes'!A:O,9,2)</f>
        <v>Sudeste</v>
      </c>
      <c r="G191" s="15">
        <v>41712</v>
      </c>
      <c r="H191">
        <f t="shared" si="11"/>
        <v>6</v>
      </c>
      <c r="I191">
        <f t="shared" si="12"/>
        <v>14</v>
      </c>
      <c r="J191">
        <f t="shared" si="13"/>
        <v>3</v>
      </c>
      <c r="K191">
        <f t="shared" si="14"/>
        <v>2014</v>
      </c>
      <c r="M191">
        <v>2</v>
      </c>
      <c r="N191" t="str">
        <f>VLOOKUP(M191,'Cadastro Vendedores'!A:H,2,2)</f>
        <v>Luis</v>
      </c>
      <c r="O191" s="2"/>
      <c r="P191" s="16">
        <v>7500</v>
      </c>
      <c r="Q191" s="2">
        <f>VLOOKUP(B191,'Cadastro Produtos'!A:F,5,2)</f>
        <v>7</v>
      </c>
      <c r="R191" s="14">
        <f t="shared" si="10"/>
        <v>52500</v>
      </c>
    </row>
    <row r="192" spans="1:18" x14ac:dyDescent="0.25">
      <c r="A192">
        <v>191</v>
      </c>
      <c r="B192">
        <v>10</v>
      </c>
      <c r="C192" t="str">
        <f>VLOOKUP(B192,'Cadastro Produtos'!A:E,2,2)</f>
        <v>Limonada Alfa com Hortelã Zero 1 L</v>
      </c>
      <c r="D192">
        <v>16</v>
      </c>
      <c r="E192" t="str">
        <f>VLOOKUP(D192,'Cadatro Clientes'!A:O,2,2)</f>
        <v>Norte Suco</v>
      </c>
      <c r="F192" t="str">
        <f>VLOOKUP(D192,'Cadatro Clientes'!A:O,9,2)</f>
        <v>Nordeste</v>
      </c>
      <c r="G192" s="15">
        <v>41713</v>
      </c>
      <c r="H192">
        <f t="shared" si="11"/>
        <v>7</v>
      </c>
      <c r="I192">
        <f t="shared" si="12"/>
        <v>15</v>
      </c>
      <c r="J192">
        <f t="shared" si="13"/>
        <v>3</v>
      </c>
      <c r="K192">
        <f t="shared" si="14"/>
        <v>2014</v>
      </c>
      <c r="M192">
        <v>8</v>
      </c>
      <c r="N192" t="str">
        <f>VLOOKUP(M192,'Cadastro Vendedores'!A:H,2,2)</f>
        <v>Sérgio</v>
      </c>
      <c r="O192" s="2"/>
      <c r="P192" s="16">
        <v>1400</v>
      </c>
      <c r="Q192" s="2">
        <f>VLOOKUP(B192,'Cadastro Produtos'!A:F,5,2)</f>
        <v>21</v>
      </c>
      <c r="R192" s="14">
        <f t="shared" si="10"/>
        <v>29400</v>
      </c>
    </row>
    <row r="193" spans="1:18" x14ac:dyDescent="0.25">
      <c r="A193">
        <v>192</v>
      </c>
      <c r="B193">
        <v>3</v>
      </c>
      <c r="C193" t="str">
        <f>VLOOKUP(B193,'Cadastro Produtos'!A:E,2,2)</f>
        <v>Limonada Alfa Zero 500 ml</v>
      </c>
      <c r="D193">
        <v>18</v>
      </c>
      <c r="E193" t="str">
        <f>VLOOKUP(D193,'Cadatro Clientes'!A:O,2,2)</f>
        <v>Rio Branco Limonada Ltda</v>
      </c>
      <c r="F193" t="str">
        <f>VLOOKUP(D193,'Cadatro Clientes'!A:O,9,2)</f>
        <v>Norte</v>
      </c>
      <c r="G193" s="15">
        <v>41713</v>
      </c>
      <c r="H193">
        <f t="shared" si="11"/>
        <v>7</v>
      </c>
      <c r="I193">
        <f t="shared" si="12"/>
        <v>15</v>
      </c>
      <c r="J193">
        <f t="shared" si="13"/>
        <v>3</v>
      </c>
      <c r="K193">
        <f t="shared" si="14"/>
        <v>2014</v>
      </c>
      <c r="M193">
        <v>2</v>
      </c>
      <c r="N193" t="str">
        <f>VLOOKUP(M193,'Cadastro Vendedores'!A:H,2,2)</f>
        <v>Luis</v>
      </c>
      <c r="O193" s="2"/>
      <c r="P193" s="16">
        <v>2500</v>
      </c>
      <c r="Q193" s="2">
        <f>VLOOKUP(B193,'Cadastro Produtos'!A:F,5,2)</f>
        <v>9</v>
      </c>
      <c r="R193" s="14">
        <f t="shared" si="10"/>
        <v>22500</v>
      </c>
    </row>
    <row r="194" spans="1:18" x14ac:dyDescent="0.25">
      <c r="A194">
        <v>193</v>
      </c>
      <c r="B194">
        <v>10</v>
      </c>
      <c r="C194" t="str">
        <f>VLOOKUP(B194,'Cadastro Produtos'!A:E,2,2)</f>
        <v>Limonada Alfa com Hortelã Zero 1 L</v>
      </c>
      <c r="D194">
        <v>6</v>
      </c>
      <c r="E194" t="str">
        <f>VLOOKUP(D194,'Cadatro Clientes'!A:O,2,2)</f>
        <v>Lemonade</v>
      </c>
      <c r="F194" t="str">
        <f>VLOOKUP(D194,'Cadatro Clientes'!A:O,9,2)</f>
        <v>Norte</v>
      </c>
      <c r="G194" s="15">
        <v>41713</v>
      </c>
      <c r="H194">
        <f t="shared" si="11"/>
        <v>7</v>
      </c>
      <c r="I194">
        <f t="shared" si="12"/>
        <v>15</v>
      </c>
      <c r="J194">
        <f t="shared" si="13"/>
        <v>3</v>
      </c>
      <c r="K194">
        <f t="shared" si="14"/>
        <v>2014</v>
      </c>
      <c r="M194">
        <v>7</v>
      </c>
      <c r="N194" t="str">
        <f>VLOOKUP(M194,'Cadastro Vendedores'!A:H,2,2)</f>
        <v>Benedito</v>
      </c>
      <c r="O194" s="2"/>
      <c r="P194" s="16">
        <v>2900</v>
      </c>
      <c r="Q194" s="2">
        <f>VLOOKUP(B194,'Cadastro Produtos'!A:F,5,2)</f>
        <v>21</v>
      </c>
      <c r="R194" s="14">
        <f t="shared" ref="R194:R257" si="15">Q194*P194</f>
        <v>60900</v>
      </c>
    </row>
    <row r="195" spans="1:18" x14ac:dyDescent="0.25">
      <c r="A195">
        <v>194</v>
      </c>
      <c r="B195">
        <v>6</v>
      </c>
      <c r="C195" t="str">
        <f>VLOOKUP(B195,'Cadastro Produtos'!A:E,2,2)</f>
        <v>Limonada Beta com Açúcar 1 L</v>
      </c>
      <c r="D195">
        <v>8</v>
      </c>
      <c r="E195" t="str">
        <f>VLOOKUP(D195,'Cadatro Clientes'!A:O,2,2)</f>
        <v>Refresko</v>
      </c>
      <c r="F195" t="str">
        <f>VLOOKUP(D195,'Cadatro Clientes'!A:O,9,2)</f>
        <v>Sul</v>
      </c>
      <c r="G195" s="15">
        <v>41714</v>
      </c>
      <c r="H195">
        <f t="shared" ref="H195:H258" si="16">WEEKDAY(G195)</f>
        <v>1</v>
      </c>
      <c r="I195">
        <f t="shared" ref="I195:I258" si="17">DAY(G195)</f>
        <v>16</v>
      </c>
      <c r="J195">
        <f t="shared" ref="J195:J258" si="18">MONTH(G195)</f>
        <v>3</v>
      </c>
      <c r="K195">
        <f t="shared" ref="K195:K258" si="19">YEAR(G195)</f>
        <v>2014</v>
      </c>
      <c r="M195">
        <v>6</v>
      </c>
      <c r="N195" t="str">
        <f>VLOOKUP(M195,'Cadastro Vendedores'!A:H,2,2)</f>
        <v>Antônia</v>
      </c>
      <c r="O195" s="2"/>
      <c r="P195" s="16">
        <v>5300</v>
      </c>
      <c r="Q195" s="2">
        <f>VLOOKUP(B195,'Cadastro Produtos'!A:F,5,2)</f>
        <v>12</v>
      </c>
      <c r="R195" s="14">
        <f t="shared" si="15"/>
        <v>63600</v>
      </c>
    </row>
    <row r="196" spans="1:18" x14ac:dyDescent="0.25">
      <c r="A196">
        <v>195</v>
      </c>
      <c r="B196">
        <v>5</v>
      </c>
      <c r="C196" t="str">
        <f>VLOOKUP(B196,'Cadastro Produtos'!A:E,2,2)</f>
        <v>Limonada Alfa com Açúcar 1 L</v>
      </c>
      <c r="D196">
        <v>20</v>
      </c>
      <c r="E196" t="str">
        <f>VLOOKUP(D196,'Cadatro Clientes'!A:O,2,2)</f>
        <v>Brasil Saúde</v>
      </c>
      <c r="F196" t="str">
        <f>VLOOKUP(D196,'Cadatro Clientes'!A:O,9,2)</f>
        <v>Nordeste</v>
      </c>
      <c r="G196" s="15">
        <v>41714</v>
      </c>
      <c r="H196">
        <f t="shared" si="16"/>
        <v>1</v>
      </c>
      <c r="I196">
        <f t="shared" si="17"/>
        <v>16</v>
      </c>
      <c r="J196">
        <f t="shared" si="18"/>
        <v>3</v>
      </c>
      <c r="K196">
        <f t="shared" si="19"/>
        <v>2014</v>
      </c>
      <c r="M196">
        <v>2</v>
      </c>
      <c r="N196" t="str">
        <f>VLOOKUP(M196,'Cadastro Vendedores'!A:H,2,2)</f>
        <v>Luis</v>
      </c>
      <c r="O196" s="2"/>
      <c r="P196" s="16">
        <v>2700</v>
      </c>
      <c r="Q196" s="2">
        <f>VLOOKUP(B196,'Cadastro Produtos'!A:F,5,2)</f>
        <v>15</v>
      </c>
      <c r="R196" s="14">
        <f t="shared" si="15"/>
        <v>40500</v>
      </c>
    </row>
    <row r="197" spans="1:18" x14ac:dyDescent="0.25">
      <c r="A197">
        <v>196</v>
      </c>
      <c r="B197">
        <v>6</v>
      </c>
      <c r="C197" t="str">
        <f>VLOOKUP(B197,'Cadastro Produtos'!A:E,2,2)</f>
        <v>Limonada Beta com Açúcar 1 L</v>
      </c>
      <c r="D197">
        <v>6</v>
      </c>
      <c r="E197" t="str">
        <f>VLOOKUP(D197,'Cadatro Clientes'!A:O,2,2)</f>
        <v>Lemonade</v>
      </c>
      <c r="F197" t="str">
        <f>VLOOKUP(D197,'Cadatro Clientes'!A:O,9,2)</f>
        <v>Norte</v>
      </c>
      <c r="G197" s="15">
        <v>41714</v>
      </c>
      <c r="H197">
        <f t="shared" si="16"/>
        <v>1</v>
      </c>
      <c r="I197">
        <f t="shared" si="17"/>
        <v>16</v>
      </c>
      <c r="J197">
        <f t="shared" si="18"/>
        <v>3</v>
      </c>
      <c r="K197">
        <f t="shared" si="19"/>
        <v>2014</v>
      </c>
      <c r="M197">
        <v>3</v>
      </c>
      <c r="N197" t="str">
        <f>VLOOKUP(M197,'Cadastro Vendedores'!A:H,2,2)</f>
        <v>Antônia</v>
      </c>
      <c r="O197" s="2"/>
      <c r="P197" s="16">
        <v>1800</v>
      </c>
      <c r="Q197" s="2">
        <f>VLOOKUP(B197,'Cadastro Produtos'!A:F,5,2)</f>
        <v>12</v>
      </c>
      <c r="R197" s="14">
        <f t="shared" si="15"/>
        <v>21600</v>
      </c>
    </row>
    <row r="198" spans="1:18" x14ac:dyDescent="0.25">
      <c r="A198">
        <v>197</v>
      </c>
      <c r="B198">
        <v>8</v>
      </c>
      <c r="C198" t="str">
        <f>VLOOKUP(B198,'Cadastro Produtos'!A:E,2,2)</f>
        <v>Limonada Beta Zero 1 L</v>
      </c>
      <c r="D198">
        <v>16</v>
      </c>
      <c r="E198" t="str">
        <f>VLOOKUP(D198,'Cadatro Clientes'!A:O,2,2)</f>
        <v>Norte Suco</v>
      </c>
      <c r="F198" t="str">
        <f>VLOOKUP(D198,'Cadatro Clientes'!A:O,9,2)</f>
        <v>Nordeste</v>
      </c>
      <c r="G198" s="15">
        <v>41715</v>
      </c>
      <c r="H198">
        <f t="shared" si="16"/>
        <v>2</v>
      </c>
      <c r="I198">
        <f t="shared" si="17"/>
        <v>17</v>
      </c>
      <c r="J198">
        <f t="shared" si="18"/>
        <v>3</v>
      </c>
      <c r="K198">
        <f t="shared" si="19"/>
        <v>2014</v>
      </c>
      <c r="M198">
        <v>2</v>
      </c>
      <c r="N198" t="str">
        <f>VLOOKUP(M198,'Cadastro Vendedores'!A:H,2,2)</f>
        <v>Luis</v>
      </c>
      <c r="O198" s="2"/>
      <c r="P198" s="16">
        <v>4300</v>
      </c>
      <c r="Q198" s="2">
        <f>VLOOKUP(B198,'Cadastro Produtos'!A:F,5,2)</f>
        <v>12</v>
      </c>
      <c r="R198" s="14">
        <f t="shared" si="15"/>
        <v>51600</v>
      </c>
    </row>
    <row r="199" spans="1:18" x14ac:dyDescent="0.25">
      <c r="A199">
        <v>198</v>
      </c>
      <c r="B199">
        <v>10</v>
      </c>
      <c r="C199" t="str">
        <f>VLOOKUP(B199,'Cadastro Produtos'!A:E,2,2)</f>
        <v>Limonada Alfa com Hortelã Zero 1 L</v>
      </c>
      <c r="D199">
        <v>8</v>
      </c>
      <c r="E199" t="str">
        <f>VLOOKUP(D199,'Cadatro Clientes'!A:O,2,2)</f>
        <v>Refresko</v>
      </c>
      <c r="F199" t="str">
        <f>VLOOKUP(D199,'Cadatro Clientes'!A:O,9,2)</f>
        <v>Sul</v>
      </c>
      <c r="G199" s="15">
        <v>41715</v>
      </c>
      <c r="H199">
        <f t="shared" si="16"/>
        <v>2</v>
      </c>
      <c r="I199">
        <f t="shared" si="17"/>
        <v>17</v>
      </c>
      <c r="J199">
        <f t="shared" si="18"/>
        <v>3</v>
      </c>
      <c r="K199">
        <f t="shared" si="19"/>
        <v>2014</v>
      </c>
      <c r="M199">
        <v>3</v>
      </c>
      <c r="N199" t="str">
        <f>VLOOKUP(M199,'Cadastro Vendedores'!A:H,2,2)</f>
        <v>Antônia</v>
      </c>
      <c r="O199" s="2"/>
      <c r="P199" s="16">
        <v>700</v>
      </c>
      <c r="Q199" s="2">
        <f>VLOOKUP(B199,'Cadastro Produtos'!A:F,5,2)</f>
        <v>21</v>
      </c>
      <c r="R199" s="14">
        <f t="shared" si="15"/>
        <v>14700</v>
      </c>
    </row>
    <row r="200" spans="1:18" x14ac:dyDescent="0.25">
      <c r="A200">
        <v>199</v>
      </c>
      <c r="B200">
        <v>7</v>
      </c>
      <c r="C200" t="str">
        <f>VLOOKUP(B200,'Cadastro Produtos'!A:E,2,2)</f>
        <v>Limonada Alfa Zero 1 L</v>
      </c>
      <c r="D200">
        <v>5</v>
      </c>
      <c r="E200" t="str">
        <f>VLOOKUP(D200,'Cadatro Clientes'!A:O,2,2)</f>
        <v>Axé com Limão</v>
      </c>
      <c r="F200" t="str">
        <f>VLOOKUP(D200,'Cadatro Clientes'!A:O,9,2)</f>
        <v>Nordeste</v>
      </c>
      <c r="G200" s="15">
        <v>41716</v>
      </c>
      <c r="H200">
        <f t="shared" si="16"/>
        <v>3</v>
      </c>
      <c r="I200">
        <f t="shared" si="17"/>
        <v>18</v>
      </c>
      <c r="J200">
        <f t="shared" si="18"/>
        <v>3</v>
      </c>
      <c r="K200">
        <f t="shared" si="19"/>
        <v>2014</v>
      </c>
      <c r="M200">
        <v>8</v>
      </c>
      <c r="N200" t="str">
        <f>VLOOKUP(M200,'Cadastro Vendedores'!A:H,2,2)</f>
        <v>Sérgio</v>
      </c>
      <c r="O200" s="2"/>
      <c r="P200" s="16">
        <v>3500</v>
      </c>
      <c r="Q200" s="2">
        <f>VLOOKUP(B200,'Cadastro Produtos'!A:F,5,2)</f>
        <v>15</v>
      </c>
      <c r="R200" s="14">
        <f t="shared" si="15"/>
        <v>52500</v>
      </c>
    </row>
    <row r="201" spans="1:18" x14ac:dyDescent="0.25">
      <c r="A201">
        <v>200</v>
      </c>
      <c r="B201">
        <v>10</v>
      </c>
      <c r="C201" t="str">
        <f>VLOOKUP(B201,'Cadastro Produtos'!A:E,2,2)</f>
        <v>Limonada Alfa com Hortelã Zero 1 L</v>
      </c>
      <c r="D201">
        <v>11</v>
      </c>
      <c r="E201" t="str">
        <f>VLOOKUP(D201,'Cadatro Clientes'!A:O,2,2)</f>
        <v>Red Lemon</v>
      </c>
      <c r="F201" t="str">
        <f>VLOOKUP(D201,'Cadatro Clientes'!A:O,9,2)</f>
        <v>Sul</v>
      </c>
      <c r="G201" s="15">
        <v>41716</v>
      </c>
      <c r="H201">
        <f t="shared" si="16"/>
        <v>3</v>
      </c>
      <c r="I201">
        <f t="shared" si="17"/>
        <v>18</v>
      </c>
      <c r="J201">
        <f t="shared" si="18"/>
        <v>3</v>
      </c>
      <c r="K201">
        <f t="shared" si="19"/>
        <v>2014</v>
      </c>
      <c r="M201">
        <v>9</v>
      </c>
      <c r="N201" t="str">
        <f>VLOOKUP(M201,'Cadastro Vendedores'!A:H,2,2)</f>
        <v>Adriana</v>
      </c>
      <c r="O201" s="2"/>
      <c r="P201" s="16">
        <v>1700</v>
      </c>
      <c r="Q201" s="2">
        <f>VLOOKUP(B201,'Cadastro Produtos'!A:F,5,2)</f>
        <v>21</v>
      </c>
      <c r="R201" s="14">
        <f t="shared" si="15"/>
        <v>35700</v>
      </c>
    </row>
    <row r="202" spans="1:18" x14ac:dyDescent="0.25">
      <c r="A202">
        <v>201</v>
      </c>
      <c r="B202">
        <v>5</v>
      </c>
      <c r="C202" t="str">
        <f>VLOOKUP(B202,'Cadastro Produtos'!A:E,2,2)</f>
        <v>Limonada Alfa com Açúcar 1 L</v>
      </c>
      <c r="D202">
        <v>18</v>
      </c>
      <c r="E202" t="str">
        <f>VLOOKUP(D202,'Cadatro Clientes'!A:O,2,2)</f>
        <v>Rio Branco Limonada Ltda</v>
      </c>
      <c r="F202" t="str">
        <f>VLOOKUP(D202,'Cadatro Clientes'!A:O,9,2)</f>
        <v>Norte</v>
      </c>
      <c r="G202" s="15">
        <v>41719</v>
      </c>
      <c r="H202">
        <f t="shared" si="16"/>
        <v>6</v>
      </c>
      <c r="I202">
        <f t="shared" si="17"/>
        <v>21</v>
      </c>
      <c r="J202">
        <f t="shared" si="18"/>
        <v>3</v>
      </c>
      <c r="K202">
        <f t="shared" si="19"/>
        <v>2014</v>
      </c>
      <c r="M202">
        <v>9</v>
      </c>
      <c r="N202" t="str">
        <f>VLOOKUP(M202,'Cadastro Vendedores'!A:H,2,2)</f>
        <v>Adriana</v>
      </c>
      <c r="O202" s="2"/>
      <c r="P202" s="16">
        <v>4100</v>
      </c>
      <c r="Q202" s="2">
        <f>VLOOKUP(B202,'Cadastro Produtos'!A:F,5,2)</f>
        <v>15</v>
      </c>
      <c r="R202" s="14">
        <f t="shared" si="15"/>
        <v>61500</v>
      </c>
    </row>
    <row r="203" spans="1:18" x14ac:dyDescent="0.25">
      <c r="A203">
        <v>202</v>
      </c>
      <c r="B203">
        <v>3</v>
      </c>
      <c r="C203" t="str">
        <f>VLOOKUP(B203,'Cadastro Produtos'!A:E,2,2)</f>
        <v>Limonada Alfa Zero 500 ml</v>
      </c>
      <c r="D203">
        <v>1</v>
      </c>
      <c r="E203" t="str">
        <f>VLOOKUP(D203,'Cadatro Clientes'!A:O,2,2)</f>
        <v>Meu Suco de Limão</v>
      </c>
      <c r="F203" t="str">
        <f>VLOOKUP(D203,'Cadatro Clientes'!A:O,9,2)</f>
        <v>Norte</v>
      </c>
      <c r="G203" s="15">
        <v>41720</v>
      </c>
      <c r="H203">
        <f t="shared" si="16"/>
        <v>7</v>
      </c>
      <c r="I203">
        <f t="shared" si="17"/>
        <v>22</v>
      </c>
      <c r="J203">
        <f t="shared" si="18"/>
        <v>3</v>
      </c>
      <c r="K203">
        <f t="shared" si="19"/>
        <v>2014</v>
      </c>
      <c r="M203">
        <v>2</v>
      </c>
      <c r="N203" t="str">
        <f>VLOOKUP(M203,'Cadastro Vendedores'!A:H,2,2)</f>
        <v>Luis</v>
      </c>
      <c r="O203" s="2"/>
      <c r="P203" s="16">
        <v>5600</v>
      </c>
      <c r="Q203" s="2">
        <f>VLOOKUP(B203,'Cadastro Produtos'!A:F,5,2)</f>
        <v>9</v>
      </c>
      <c r="R203" s="14">
        <f t="shared" si="15"/>
        <v>50400</v>
      </c>
    </row>
    <row r="204" spans="1:18" x14ac:dyDescent="0.25">
      <c r="A204">
        <v>203</v>
      </c>
      <c r="B204">
        <v>8</v>
      </c>
      <c r="C204" t="str">
        <f>VLOOKUP(B204,'Cadastro Produtos'!A:E,2,2)</f>
        <v>Limonada Beta Zero 1 L</v>
      </c>
      <c r="D204">
        <v>2</v>
      </c>
      <c r="E204" t="str">
        <f>VLOOKUP(D204,'Cadatro Clientes'!A:O,2,2)</f>
        <v>Limão S/A</v>
      </c>
      <c r="F204" t="str">
        <f>VLOOKUP(D204,'Cadatro Clientes'!A:O,9,2)</f>
        <v>Centro-Oeste</v>
      </c>
      <c r="G204" s="15">
        <v>41720</v>
      </c>
      <c r="H204">
        <f t="shared" si="16"/>
        <v>7</v>
      </c>
      <c r="I204">
        <f t="shared" si="17"/>
        <v>22</v>
      </c>
      <c r="J204">
        <f t="shared" si="18"/>
        <v>3</v>
      </c>
      <c r="K204">
        <f t="shared" si="19"/>
        <v>2014</v>
      </c>
      <c r="M204">
        <v>9</v>
      </c>
      <c r="N204" t="str">
        <f>VLOOKUP(M204,'Cadastro Vendedores'!A:H,2,2)</f>
        <v>Adriana</v>
      </c>
      <c r="O204" s="2"/>
      <c r="P204" s="16">
        <v>1600</v>
      </c>
      <c r="Q204" s="2">
        <f>VLOOKUP(B204,'Cadastro Produtos'!A:F,5,2)</f>
        <v>12</v>
      </c>
      <c r="R204" s="14">
        <f t="shared" si="15"/>
        <v>19200</v>
      </c>
    </row>
    <row r="205" spans="1:18" x14ac:dyDescent="0.25">
      <c r="A205">
        <v>204</v>
      </c>
      <c r="B205">
        <v>9</v>
      </c>
      <c r="C205" t="str">
        <f>VLOOKUP(B205,'Cadastro Produtos'!A:E,2,2)</f>
        <v>Limonada Alfa com Hortelã e Açúcar 1 L</v>
      </c>
      <c r="D205">
        <v>1</v>
      </c>
      <c r="E205" t="str">
        <f>VLOOKUP(D205,'Cadatro Clientes'!A:O,2,2)</f>
        <v>Meu Suco de Limão</v>
      </c>
      <c r="F205" t="str">
        <f>VLOOKUP(D205,'Cadatro Clientes'!A:O,9,2)</f>
        <v>Norte</v>
      </c>
      <c r="G205" s="15">
        <v>41721</v>
      </c>
      <c r="H205">
        <f t="shared" si="16"/>
        <v>1</v>
      </c>
      <c r="I205">
        <f t="shared" si="17"/>
        <v>23</v>
      </c>
      <c r="J205">
        <f t="shared" si="18"/>
        <v>3</v>
      </c>
      <c r="K205">
        <f t="shared" si="19"/>
        <v>2014</v>
      </c>
      <c r="M205">
        <v>3</v>
      </c>
      <c r="N205" t="str">
        <f>VLOOKUP(M205,'Cadastro Vendedores'!A:H,2,2)</f>
        <v>Antônia</v>
      </c>
      <c r="O205" s="2"/>
      <c r="P205" s="16">
        <v>1700</v>
      </c>
      <c r="Q205" s="2">
        <f>VLOOKUP(B205,'Cadastro Produtos'!A:F,5,2)</f>
        <v>17.5</v>
      </c>
      <c r="R205" s="14">
        <f t="shared" si="15"/>
        <v>29750</v>
      </c>
    </row>
    <row r="206" spans="1:18" x14ac:dyDescent="0.25">
      <c r="A206">
        <v>205</v>
      </c>
      <c r="B206">
        <v>9</v>
      </c>
      <c r="C206" t="str">
        <f>VLOOKUP(B206,'Cadastro Produtos'!A:E,2,2)</f>
        <v>Limonada Alfa com Hortelã e Açúcar 1 L</v>
      </c>
      <c r="D206">
        <v>5</v>
      </c>
      <c r="E206" t="str">
        <f>VLOOKUP(D206,'Cadatro Clientes'!A:O,2,2)</f>
        <v>Axé com Limão</v>
      </c>
      <c r="F206" t="str">
        <f>VLOOKUP(D206,'Cadatro Clientes'!A:O,9,2)</f>
        <v>Nordeste</v>
      </c>
      <c r="G206" s="15">
        <v>41721</v>
      </c>
      <c r="H206">
        <f t="shared" si="16"/>
        <v>1</v>
      </c>
      <c r="I206">
        <f t="shared" si="17"/>
        <v>23</v>
      </c>
      <c r="J206">
        <f t="shared" si="18"/>
        <v>3</v>
      </c>
      <c r="K206">
        <f t="shared" si="19"/>
        <v>2014</v>
      </c>
      <c r="M206">
        <v>2</v>
      </c>
      <c r="N206" t="str">
        <f>VLOOKUP(M206,'Cadastro Vendedores'!A:H,2,2)</f>
        <v>Luis</v>
      </c>
      <c r="O206" s="2"/>
      <c r="P206" s="16">
        <v>1200</v>
      </c>
      <c r="Q206" s="2">
        <f>VLOOKUP(B206,'Cadastro Produtos'!A:F,5,2)</f>
        <v>17.5</v>
      </c>
      <c r="R206" s="14">
        <f t="shared" si="15"/>
        <v>21000</v>
      </c>
    </row>
    <row r="207" spans="1:18" x14ac:dyDescent="0.25">
      <c r="A207">
        <v>206</v>
      </c>
      <c r="B207">
        <v>6</v>
      </c>
      <c r="C207" t="str">
        <f>VLOOKUP(B207,'Cadastro Produtos'!A:E,2,2)</f>
        <v>Limonada Beta com Açúcar 1 L</v>
      </c>
      <c r="D207">
        <v>1</v>
      </c>
      <c r="E207" t="str">
        <f>VLOOKUP(D207,'Cadatro Clientes'!A:O,2,2)</f>
        <v>Meu Suco de Limão</v>
      </c>
      <c r="F207" t="str">
        <f>VLOOKUP(D207,'Cadatro Clientes'!A:O,9,2)</f>
        <v>Norte</v>
      </c>
      <c r="G207" s="15">
        <v>41721</v>
      </c>
      <c r="H207">
        <f t="shared" si="16"/>
        <v>1</v>
      </c>
      <c r="I207">
        <f t="shared" si="17"/>
        <v>23</v>
      </c>
      <c r="J207">
        <f t="shared" si="18"/>
        <v>3</v>
      </c>
      <c r="K207">
        <f t="shared" si="19"/>
        <v>2014</v>
      </c>
      <c r="M207">
        <v>3</v>
      </c>
      <c r="N207" t="str">
        <f>VLOOKUP(M207,'Cadastro Vendedores'!A:H,2,2)</f>
        <v>Antônia</v>
      </c>
      <c r="O207" s="2"/>
      <c r="P207" s="16">
        <v>3000</v>
      </c>
      <c r="Q207" s="2">
        <f>VLOOKUP(B207,'Cadastro Produtos'!A:F,5,2)</f>
        <v>12</v>
      </c>
      <c r="R207" s="14">
        <f t="shared" si="15"/>
        <v>36000</v>
      </c>
    </row>
    <row r="208" spans="1:18" x14ac:dyDescent="0.25">
      <c r="A208">
        <v>207</v>
      </c>
      <c r="B208">
        <v>10</v>
      </c>
      <c r="C208" t="str">
        <f>VLOOKUP(B208,'Cadastro Produtos'!A:E,2,2)</f>
        <v>Limonada Alfa com Hortelã Zero 1 L</v>
      </c>
      <c r="D208">
        <v>2</v>
      </c>
      <c r="E208" t="str">
        <f>VLOOKUP(D208,'Cadatro Clientes'!A:O,2,2)</f>
        <v>Limão S/A</v>
      </c>
      <c r="F208" t="str">
        <f>VLOOKUP(D208,'Cadatro Clientes'!A:O,9,2)</f>
        <v>Centro-Oeste</v>
      </c>
      <c r="G208" s="15">
        <v>41722</v>
      </c>
      <c r="H208">
        <f t="shared" si="16"/>
        <v>2</v>
      </c>
      <c r="I208">
        <f t="shared" si="17"/>
        <v>24</v>
      </c>
      <c r="J208">
        <f t="shared" si="18"/>
        <v>3</v>
      </c>
      <c r="K208">
        <f t="shared" si="19"/>
        <v>2014</v>
      </c>
      <c r="M208">
        <v>3</v>
      </c>
      <c r="N208" t="str">
        <f>VLOOKUP(M208,'Cadastro Vendedores'!A:H,2,2)</f>
        <v>Antônia</v>
      </c>
      <c r="O208" s="2"/>
      <c r="P208" s="16">
        <v>2000</v>
      </c>
      <c r="Q208" s="2">
        <f>VLOOKUP(B208,'Cadastro Produtos'!A:F,5,2)</f>
        <v>21</v>
      </c>
      <c r="R208" s="14">
        <f t="shared" si="15"/>
        <v>42000</v>
      </c>
    </row>
    <row r="209" spans="1:18" x14ac:dyDescent="0.25">
      <c r="A209">
        <v>208</v>
      </c>
      <c r="B209">
        <v>9</v>
      </c>
      <c r="C209" t="str">
        <f>VLOOKUP(B209,'Cadastro Produtos'!A:E,2,2)</f>
        <v>Limonada Alfa com Hortelã e Açúcar 1 L</v>
      </c>
      <c r="D209">
        <v>19</v>
      </c>
      <c r="E209" t="str">
        <f>VLOOKUP(D209,'Cadatro Clientes'!A:O,2,2)</f>
        <v>Lima Limão</v>
      </c>
      <c r="F209" t="str">
        <f>VLOOKUP(D209,'Cadatro Clientes'!A:O,9,2)</f>
        <v>Sudeste</v>
      </c>
      <c r="G209" s="15">
        <v>41724</v>
      </c>
      <c r="H209">
        <f t="shared" si="16"/>
        <v>4</v>
      </c>
      <c r="I209">
        <f t="shared" si="17"/>
        <v>26</v>
      </c>
      <c r="J209">
        <f t="shared" si="18"/>
        <v>3</v>
      </c>
      <c r="K209">
        <f t="shared" si="19"/>
        <v>2014</v>
      </c>
      <c r="M209">
        <v>2</v>
      </c>
      <c r="N209" t="str">
        <f>VLOOKUP(M209,'Cadastro Vendedores'!A:H,2,2)</f>
        <v>Luis</v>
      </c>
      <c r="O209" s="2"/>
      <c r="P209" s="16">
        <v>1800</v>
      </c>
      <c r="Q209" s="2">
        <f>VLOOKUP(B209,'Cadastro Produtos'!A:F,5,2)</f>
        <v>17.5</v>
      </c>
      <c r="R209" s="14">
        <f t="shared" si="15"/>
        <v>31500</v>
      </c>
    </row>
    <row r="210" spans="1:18" x14ac:dyDescent="0.25">
      <c r="A210">
        <v>209</v>
      </c>
      <c r="B210">
        <v>2</v>
      </c>
      <c r="C210" t="str">
        <f>VLOOKUP(B210,'Cadastro Produtos'!A:E,2,2)</f>
        <v>Limonada Beta com Açúcar 500 ml</v>
      </c>
      <c r="D210">
        <v>1</v>
      </c>
      <c r="E210" t="str">
        <f>VLOOKUP(D210,'Cadatro Clientes'!A:O,2,2)</f>
        <v>Meu Suco de Limão</v>
      </c>
      <c r="F210" t="str">
        <f>VLOOKUP(D210,'Cadatro Clientes'!A:O,9,2)</f>
        <v>Norte</v>
      </c>
      <c r="G210" s="15">
        <v>41725</v>
      </c>
      <c r="H210">
        <f t="shared" si="16"/>
        <v>5</v>
      </c>
      <c r="I210">
        <f t="shared" si="17"/>
        <v>27</v>
      </c>
      <c r="J210">
        <f t="shared" si="18"/>
        <v>3</v>
      </c>
      <c r="K210">
        <f t="shared" si="19"/>
        <v>2014</v>
      </c>
      <c r="M210">
        <v>9</v>
      </c>
      <c r="N210" t="str">
        <f>VLOOKUP(M210,'Cadastro Vendedores'!A:H,2,2)</f>
        <v>Adriana</v>
      </c>
      <c r="O210" s="2"/>
      <c r="P210" s="16">
        <v>8300</v>
      </c>
      <c r="Q210" s="2">
        <f>VLOOKUP(B210,'Cadastro Produtos'!A:F,5,2)</f>
        <v>6.5</v>
      </c>
      <c r="R210" s="14">
        <f t="shared" si="15"/>
        <v>53950</v>
      </c>
    </row>
    <row r="211" spans="1:18" x14ac:dyDescent="0.25">
      <c r="A211">
        <v>210</v>
      </c>
      <c r="B211">
        <v>1</v>
      </c>
      <c r="C211" t="str">
        <f>VLOOKUP(B211,'Cadastro Produtos'!A:E,2,2)</f>
        <v>Limonada Alfa com Açúcar 500 ml</v>
      </c>
      <c r="D211">
        <v>6</v>
      </c>
      <c r="E211" t="str">
        <f>VLOOKUP(D211,'Cadatro Clientes'!A:O,2,2)</f>
        <v>Lemonade</v>
      </c>
      <c r="F211" t="str">
        <f>VLOOKUP(D211,'Cadatro Clientes'!A:O,9,2)</f>
        <v>Norte</v>
      </c>
      <c r="G211" s="15">
        <v>41725</v>
      </c>
      <c r="H211">
        <f t="shared" si="16"/>
        <v>5</v>
      </c>
      <c r="I211">
        <f t="shared" si="17"/>
        <v>27</v>
      </c>
      <c r="J211">
        <f t="shared" si="18"/>
        <v>3</v>
      </c>
      <c r="K211">
        <f t="shared" si="19"/>
        <v>2014</v>
      </c>
      <c r="M211">
        <v>3</v>
      </c>
      <c r="N211" t="str">
        <f>VLOOKUP(M211,'Cadastro Vendedores'!A:H,2,2)</f>
        <v>Antônia</v>
      </c>
      <c r="O211" s="2"/>
      <c r="P211" s="16">
        <v>7300</v>
      </c>
      <c r="Q211" s="2">
        <f>VLOOKUP(B211,'Cadastro Produtos'!A:F,5,2)</f>
        <v>8.5</v>
      </c>
      <c r="R211" s="14">
        <f t="shared" si="15"/>
        <v>62050</v>
      </c>
    </row>
    <row r="212" spans="1:18" x14ac:dyDescent="0.25">
      <c r="A212">
        <v>211</v>
      </c>
      <c r="B212">
        <v>10</v>
      </c>
      <c r="C212" t="str">
        <f>VLOOKUP(B212,'Cadastro Produtos'!A:E,2,2)</f>
        <v>Limonada Alfa com Hortelã Zero 1 L</v>
      </c>
      <c r="D212">
        <v>4</v>
      </c>
      <c r="E212" t="str">
        <f>VLOOKUP(D212,'Cadatro Clientes'!A:O,2,2)</f>
        <v>Limão Carioca e Cia</v>
      </c>
      <c r="F212" t="str">
        <f>VLOOKUP(D212,'Cadatro Clientes'!A:O,9,2)</f>
        <v>Sudeste</v>
      </c>
      <c r="G212" s="15">
        <v>41725</v>
      </c>
      <c r="H212">
        <f t="shared" si="16"/>
        <v>5</v>
      </c>
      <c r="I212">
        <f t="shared" si="17"/>
        <v>27</v>
      </c>
      <c r="J212">
        <f t="shared" si="18"/>
        <v>3</v>
      </c>
      <c r="K212">
        <f t="shared" si="19"/>
        <v>2014</v>
      </c>
      <c r="M212">
        <v>3</v>
      </c>
      <c r="N212" t="str">
        <f>VLOOKUP(M212,'Cadastro Vendedores'!A:H,2,2)</f>
        <v>Antônia</v>
      </c>
      <c r="O212" s="2"/>
      <c r="P212" s="16">
        <v>1900</v>
      </c>
      <c r="Q212" s="2">
        <f>VLOOKUP(B212,'Cadastro Produtos'!A:F,5,2)</f>
        <v>21</v>
      </c>
      <c r="R212" s="14">
        <f t="shared" si="15"/>
        <v>39900</v>
      </c>
    </row>
    <row r="213" spans="1:18" x14ac:dyDescent="0.25">
      <c r="A213">
        <v>212</v>
      </c>
      <c r="B213">
        <v>4</v>
      </c>
      <c r="C213" t="str">
        <f>VLOOKUP(B213,'Cadastro Produtos'!A:E,2,2)</f>
        <v>Limonada Beta Zero 500 ml</v>
      </c>
      <c r="D213">
        <v>5</v>
      </c>
      <c r="E213" t="str">
        <f>VLOOKUP(D213,'Cadatro Clientes'!A:O,2,2)</f>
        <v>Axé com Limão</v>
      </c>
      <c r="F213" t="str">
        <f>VLOOKUP(D213,'Cadatro Clientes'!A:O,9,2)</f>
        <v>Nordeste</v>
      </c>
      <c r="G213" s="15">
        <v>41725</v>
      </c>
      <c r="H213">
        <f t="shared" si="16"/>
        <v>5</v>
      </c>
      <c r="I213">
        <f t="shared" si="17"/>
        <v>27</v>
      </c>
      <c r="J213">
        <f t="shared" si="18"/>
        <v>3</v>
      </c>
      <c r="K213">
        <f t="shared" si="19"/>
        <v>2014</v>
      </c>
      <c r="M213">
        <v>9</v>
      </c>
      <c r="N213" t="str">
        <f>VLOOKUP(M213,'Cadastro Vendedores'!A:H,2,2)</f>
        <v>Adriana</v>
      </c>
      <c r="O213" s="2"/>
      <c r="P213" s="16">
        <v>2700</v>
      </c>
      <c r="Q213" s="2">
        <f>VLOOKUP(B213,'Cadastro Produtos'!A:F,5,2)</f>
        <v>7</v>
      </c>
      <c r="R213" s="14">
        <f t="shared" si="15"/>
        <v>18900</v>
      </c>
    </row>
    <row r="214" spans="1:18" x14ac:dyDescent="0.25">
      <c r="A214">
        <v>213</v>
      </c>
      <c r="B214">
        <v>1</v>
      </c>
      <c r="C214" t="str">
        <f>VLOOKUP(B214,'Cadastro Produtos'!A:E,2,2)</f>
        <v>Limonada Alfa com Açúcar 500 ml</v>
      </c>
      <c r="D214">
        <v>5</v>
      </c>
      <c r="E214" t="str">
        <f>VLOOKUP(D214,'Cadatro Clientes'!A:O,2,2)</f>
        <v>Axé com Limão</v>
      </c>
      <c r="F214" t="str">
        <f>VLOOKUP(D214,'Cadatro Clientes'!A:O,9,2)</f>
        <v>Nordeste</v>
      </c>
      <c r="G214" s="15">
        <v>41725</v>
      </c>
      <c r="H214">
        <f t="shared" si="16"/>
        <v>5</v>
      </c>
      <c r="I214">
        <f t="shared" si="17"/>
        <v>27</v>
      </c>
      <c r="J214">
        <f t="shared" si="18"/>
        <v>3</v>
      </c>
      <c r="K214">
        <f t="shared" si="19"/>
        <v>2014</v>
      </c>
      <c r="M214">
        <v>3</v>
      </c>
      <c r="N214" t="str">
        <f>VLOOKUP(M214,'Cadastro Vendedores'!A:H,2,2)</f>
        <v>Antônia</v>
      </c>
      <c r="O214" s="2"/>
      <c r="P214" s="16">
        <v>2400</v>
      </c>
      <c r="Q214" s="2">
        <f>VLOOKUP(B214,'Cadastro Produtos'!A:F,5,2)</f>
        <v>8.5</v>
      </c>
      <c r="R214" s="14">
        <f t="shared" si="15"/>
        <v>20400</v>
      </c>
    </row>
    <row r="215" spans="1:18" x14ac:dyDescent="0.25">
      <c r="A215">
        <v>214</v>
      </c>
      <c r="B215">
        <v>6</v>
      </c>
      <c r="C215" t="str">
        <f>VLOOKUP(B215,'Cadastro Produtos'!A:E,2,2)</f>
        <v>Limonada Beta com Açúcar 1 L</v>
      </c>
      <c r="D215">
        <v>1</v>
      </c>
      <c r="E215" t="str">
        <f>VLOOKUP(D215,'Cadatro Clientes'!A:O,2,2)</f>
        <v>Meu Suco de Limão</v>
      </c>
      <c r="F215" t="str">
        <f>VLOOKUP(D215,'Cadatro Clientes'!A:O,9,2)</f>
        <v>Norte</v>
      </c>
      <c r="G215" s="15">
        <v>41726</v>
      </c>
      <c r="H215">
        <f t="shared" si="16"/>
        <v>6</v>
      </c>
      <c r="I215">
        <f t="shared" si="17"/>
        <v>28</v>
      </c>
      <c r="J215">
        <f t="shared" si="18"/>
        <v>3</v>
      </c>
      <c r="K215">
        <f t="shared" si="19"/>
        <v>2014</v>
      </c>
      <c r="M215">
        <v>7</v>
      </c>
      <c r="N215" t="str">
        <f>VLOOKUP(M215,'Cadastro Vendedores'!A:H,2,2)</f>
        <v>Benedito</v>
      </c>
      <c r="O215" s="2"/>
      <c r="P215" s="16">
        <v>3600</v>
      </c>
      <c r="Q215" s="2">
        <f>VLOOKUP(B215,'Cadastro Produtos'!A:F,5,2)</f>
        <v>12</v>
      </c>
      <c r="R215" s="14">
        <f t="shared" si="15"/>
        <v>43200</v>
      </c>
    </row>
    <row r="216" spans="1:18" x14ac:dyDescent="0.25">
      <c r="A216">
        <v>215</v>
      </c>
      <c r="B216">
        <v>2</v>
      </c>
      <c r="C216" t="str">
        <f>VLOOKUP(B216,'Cadastro Produtos'!A:E,2,2)</f>
        <v>Limonada Beta com Açúcar 500 ml</v>
      </c>
      <c r="D216">
        <v>16</v>
      </c>
      <c r="E216" t="str">
        <f>VLOOKUP(D216,'Cadatro Clientes'!A:O,2,2)</f>
        <v>Norte Suco</v>
      </c>
      <c r="F216" t="str">
        <f>VLOOKUP(D216,'Cadatro Clientes'!A:O,9,2)</f>
        <v>Nordeste</v>
      </c>
      <c r="G216" s="15">
        <v>41727</v>
      </c>
      <c r="H216">
        <f t="shared" si="16"/>
        <v>7</v>
      </c>
      <c r="I216">
        <f t="shared" si="17"/>
        <v>29</v>
      </c>
      <c r="J216">
        <f t="shared" si="18"/>
        <v>3</v>
      </c>
      <c r="K216">
        <f t="shared" si="19"/>
        <v>2014</v>
      </c>
      <c r="M216">
        <v>2</v>
      </c>
      <c r="N216" t="str">
        <f>VLOOKUP(M216,'Cadastro Vendedores'!A:H,2,2)</f>
        <v>Luis</v>
      </c>
      <c r="O216" s="2"/>
      <c r="P216" s="16">
        <v>5000</v>
      </c>
      <c r="Q216" s="2">
        <f>VLOOKUP(B216,'Cadastro Produtos'!A:F,5,2)</f>
        <v>6.5</v>
      </c>
      <c r="R216" s="14">
        <f t="shared" si="15"/>
        <v>32500</v>
      </c>
    </row>
    <row r="217" spans="1:18" x14ac:dyDescent="0.25">
      <c r="A217">
        <v>216</v>
      </c>
      <c r="B217">
        <v>3</v>
      </c>
      <c r="C217" t="str">
        <f>VLOOKUP(B217,'Cadastro Produtos'!A:E,2,2)</f>
        <v>Limonada Alfa Zero 500 ml</v>
      </c>
      <c r="D217">
        <v>5</v>
      </c>
      <c r="E217" t="str">
        <f>VLOOKUP(D217,'Cadatro Clientes'!A:O,2,2)</f>
        <v>Axé com Limão</v>
      </c>
      <c r="F217" t="str">
        <f>VLOOKUP(D217,'Cadatro Clientes'!A:O,9,2)</f>
        <v>Nordeste</v>
      </c>
      <c r="G217" s="15">
        <v>41727</v>
      </c>
      <c r="H217">
        <f t="shared" si="16"/>
        <v>7</v>
      </c>
      <c r="I217">
        <f t="shared" si="17"/>
        <v>29</v>
      </c>
      <c r="J217">
        <f t="shared" si="18"/>
        <v>3</v>
      </c>
      <c r="K217">
        <f t="shared" si="19"/>
        <v>2014</v>
      </c>
      <c r="M217">
        <v>2</v>
      </c>
      <c r="N217" t="str">
        <f>VLOOKUP(M217,'Cadastro Vendedores'!A:H,2,2)</f>
        <v>Luis</v>
      </c>
      <c r="O217" s="2"/>
      <c r="P217" s="16">
        <v>3800</v>
      </c>
      <c r="Q217" s="2">
        <f>VLOOKUP(B217,'Cadastro Produtos'!A:F,5,2)</f>
        <v>9</v>
      </c>
      <c r="R217" s="14">
        <f t="shared" si="15"/>
        <v>34200</v>
      </c>
    </row>
    <row r="218" spans="1:18" x14ac:dyDescent="0.25">
      <c r="A218">
        <v>217</v>
      </c>
      <c r="B218">
        <v>2</v>
      </c>
      <c r="C218" t="str">
        <f>VLOOKUP(B218,'Cadastro Produtos'!A:E,2,2)</f>
        <v>Limonada Beta com Açúcar 500 ml</v>
      </c>
      <c r="D218">
        <v>19</v>
      </c>
      <c r="E218" t="str">
        <f>VLOOKUP(D218,'Cadatro Clientes'!A:O,2,2)</f>
        <v>Lima Limão</v>
      </c>
      <c r="F218" t="str">
        <f>VLOOKUP(D218,'Cadatro Clientes'!A:O,9,2)</f>
        <v>Sudeste</v>
      </c>
      <c r="G218" s="15">
        <v>41728</v>
      </c>
      <c r="H218">
        <f t="shared" si="16"/>
        <v>1</v>
      </c>
      <c r="I218">
        <f t="shared" si="17"/>
        <v>30</v>
      </c>
      <c r="J218">
        <f t="shared" si="18"/>
        <v>3</v>
      </c>
      <c r="K218">
        <f t="shared" si="19"/>
        <v>2014</v>
      </c>
      <c r="M218">
        <v>2</v>
      </c>
      <c r="N218" t="str">
        <f>VLOOKUP(M218,'Cadastro Vendedores'!A:H,2,2)</f>
        <v>Luis</v>
      </c>
      <c r="O218" s="2"/>
      <c r="P218" s="16">
        <v>5200</v>
      </c>
      <c r="Q218" s="2">
        <f>VLOOKUP(B218,'Cadastro Produtos'!A:F,5,2)</f>
        <v>6.5</v>
      </c>
      <c r="R218" s="14">
        <f t="shared" si="15"/>
        <v>33800</v>
      </c>
    </row>
    <row r="219" spans="1:18" x14ac:dyDescent="0.25">
      <c r="A219">
        <v>218</v>
      </c>
      <c r="B219">
        <v>10</v>
      </c>
      <c r="C219" t="str">
        <f>VLOOKUP(B219,'Cadastro Produtos'!A:E,2,2)</f>
        <v>Limonada Alfa com Hortelã Zero 1 L</v>
      </c>
      <c r="D219">
        <v>5</v>
      </c>
      <c r="E219" t="str">
        <f>VLOOKUP(D219,'Cadatro Clientes'!A:O,2,2)</f>
        <v>Axé com Limão</v>
      </c>
      <c r="F219" t="str">
        <f>VLOOKUP(D219,'Cadatro Clientes'!A:O,9,2)</f>
        <v>Nordeste</v>
      </c>
      <c r="G219" s="15">
        <v>41728</v>
      </c>
      <c r="H219">
        <f t="shared" si="16"/>
        <v>1</v>
      </c>
      <c r="I219">
        <f t="shared" si="17"/>
        <v>30</v>
      </c>
      <c r="J219">
        <f t="shared" si="18"/>
        <v>3</v>
      </c>
      <c r="K219">
        <f t="shared" si="19"/>
        <v>2014</v>
      </c>
      <c r="M219">
        <v>4</v>
      </c>
      <c r="N219" t="str">
        <f>VLOOKUP(M219,'Cadastro Vendedores'!A:H,2,2)</f>
        <v>José</v>
      </c>
      <c r="O219" s="2"/>
      <c r="P219" s="16">
        <v>1100</v>
      </c>
      <c r="Q219" s="2">
        <f>VLOOKUP(B219,'Cadastro Produtos'!A:F,5,2)</f>
        <v>21</v>
      </c>
      <c r="R219" s="14">
        <f t="shared" si="15"/>
        <v>23100</v>
      </c>
    </row>
    <row r="220" spans="1:18" x14ac:dyDescent="0.25">
      <c r="A220">
        <v>219</v>
      </c>
      <c r="B220">
        <v>3</v>
      </c>
      <c r="C220" t="str">
        <f>VLOOKUP(B220,'Cadastro Produtos'!A:E,2,2)</f>
        <v>Limonada Alfa Zero 500 ml</v>
      </c>
      <c r="D220">
        <v>16</v>
      </c>
      <c r="E220" t="str">
        <f>VLOOKUP(D220,'Cadatro Clientes'!A:O,2,2)</f>
        <v>Norte Suco</v>
      </c>
      <c r="F220" t="str">
        <f>VLOOKUP(D220,'Cadatro Clientes'!A:O,9,2)</f>
        <v>Nordeste</v>
      </c>
      <c r="G220" s="15">
        <v>41729</v>
      </c>
      <c r="H220">
        <f t="shared" si="16"/>
        <v>2</v>
      </c>
      <c r="I220">
        <f t="shared" si="17"/>
        <v>31</v>
      </c>
      <c r="J220">
        <f t="shared" si="18"/>
        <v>3</v>
      </c>
      <c r="K220">
        <f t="shared" si="19"/>
        <v>2014</v>
      </c>
      <c r="M220">
        <v>4</v>
      </c>
      <c r="N220" t="str">
        <f>VLOOKUP(M220,'Cadastro Vendedores'!A:H,2,2)</f>
        <v>José</v>
      </c>
      <c r="O220" s="2"/>
      <c r="P220" s="16">
        <v>3600</v>
      </c>
      <c r="Q220" s="2">
        <f>VLOOKUP(B220,'Cadastro Produtos'!A:F,5,2)</f>
        <v>9</v>
      </c>
      <c r="R220" s="14">
        <f t="shared" si="15"/>
        <v>32400</v>
      </c>
    </row>
    <row r="221" spans="1:18" x14ac:dyDescent="0.25">
      <c r="A221">
        <v>220</v>
      </c>
      <c r="B221">
        <v>10</v>
      </c>
      <c r="C221" t="str">
        <f>VLOOKUP(B221,'Cadastro Produtos'!A:E,2,2)</f>
        <v>Limonada Alfa com Hortelã Zero 1 L</v>
      </c>
      <c r="D221">
        <v>1</v>
      </c>
      <c r="E221" t="str">
        <f>VLOOKUP(D221,'Cadatro Clientes'!A:O,2,2)</f>
        <v>Meu Suco de Limão</v>
      </c>
      <c r="F221" t="str">
        <f>VLOOKUP(D221,'Cadatro Clientes'!A:O,9,2)</f>
        <v>Norte</v>
      </c>
      <c r="G221" s="15">
        <v>41730</v>
      </c>
      <c r="H221">
        <f t="shared" si="16"/>
        <v>3</v>
      </c>
      <c r="I221">
        <f t="shared" si="17"/>
        <v>1</v>
      </c>
      <c r="J221">
        <f t="shared" si="18"/>
        <v>4</v>
      </c>
      <c r="K221">
        <f t="shared" si="19"/>
        <v>2014</v>
      </c>
      <c r="M221">
        <v>2</v>
      </c>
      <c r="N221" t="str">
        <f>VLOOKUP(M221,'Cadastro Vendedores'!A:H,2,2)</f>
        <v>Luis</v>
      </c>
      <c r="O221" s="2"/>
      <c r="P221" s="16">
        <v>1400</v>
      </c>
      <c r="Q221" s="2">
        <f>VLOOKUP(B221,'Cadastro Produtos'!A:F,5,2)</f>
        <v>21</v>
      </c>
      <c r="R221" s="14">
        <f t="shared" si="15"/>
        <v>29400</v>
      </c>
    </row>
    <row r="222" spans="1:18" x14ac:dyDescent="0.25">
      <c r="A222">
        <v>221</v>
      </c>
      <c r="B222">
        <v>6</v>
      </c>
      <c r="C222" t="str">
        <f>VLOOKUP(B222,'Cadastro Produtos'!A:E,2,2)</f>
        <v>Limonada Beta com Açúcar 1 L</v>
      </c>
      <c r="D222">
        <v>1</v>
      </c>
      <c r="E222" t="str">
        <f>VLOOKUP(D222,'Cadatro Clientes'!A:O,2,2)</f>
        <v>Meu Suco de Limão</v>
      </c>
      <c r="F222" t="str">
        <f>VLOOKUP(D222,'Cadatro Clientes'!A:O,9,2)</f>
        <v>Norte</v>
      </c>
      <c r="G222" s="15">
        <v>41730</v>
      </c>
      <c r="H222">
        <f t="shared" si="16"/>
        <v>3</v>
      </c>
      <c r="I222">
        <f t="shared" si="17"/>
        <v>1</v>
      </c>
      <c r="J222">
        <f t="shared" si="18"/>
        <v>4</v>
      </c>
      <c r="K222">
        <f t="shared" si="19"/>
        <v>2014</v>
      </c>
      <c r="M222">
        <v>4</v>
      </c>
      <c r="N222" t="str">
        <f>VLOOKUP(M222,'Cadastro Vendedores'!A:H,2,2)</f>
        <v>José</v>
      </c>
      <c r="O222" s="2"/>
      <c r="P222" s="16">
        <v>2500</v>
      </c>
      <c r="Q222" s="2">
        <f>VLOOKUP(B222,'Cadastro Produtos'!A:F,5,2)</f>
        <v>12</v>
      </c>
      <c r="R222" s="14">
        <f t="shared" si="15"/>
        <v>30000</v>
      </c>
    </row>
    <row r="223" spans="1:18" x14ac:dyDescent="0.25">
      <c r="A223">
        <v>222</v>
      </c>
      <c r="B223">
        <v>3</v>
      </c>
      <c r="C223" t="str">
        <f>VLOOKUP(B223,'Cadastro Produtos'!A:E,2,2)</f>
        <v>Limonada Alfa Zero 500 ml</v>
      </c>
      <c r="D223">
        <v>5</v>
      </c>
      <c r="E223" t="str">
        <f>VLOOKUP(D223,'Cadatro Clientes'!A:O,2,2)</f>
        <v>Axé com Limão</v>
      </c>
      <c r="F223" t="str">
        <f>VLOOKUP(D223,'Cadatro Clientes'!A:O,9,2)</f>
        <v>Nordeste</v>
      </c>
      <c r="G223" s="15">
        <v>41730</v>
      </c>
      <c r="H223">
        <f t="shared" si="16"/>
        <v>3</v>
      </c>
      <c r="I223">
        <f t="shared" si="17"/>
        <v>1</v>
      </c>
      <c r="J223">
        <f t="shared" si="18"/>
        <v>4</v>
      </c>
      <c r="K223">
        <f t="shared" si="19"/>
        <v>2014</v>
      </c>
      <c r="M223">
        <v>9</v>
      </c>
      <c r="N223" t="str">
        <f>VLOOKUP(M223,'Cadastro Vendedores'!A:H,2,2)</f>
        <v>Adriana</v>
      </c>
      <c r="O223" s="2"/>
      <c r="P223" s="16">
        <v>5900</v>
      </c>
      <c r="Q223" s="2">
        <f>VLOOKUP(B223,'Cadastro Produtos'!A:F,5,2)</f>
        <v>9</v>
      </c>
      <c r="R223" s="14">
        <f t="shared" si="15"/>
        <v>53100</v>
      </c>
    </row>
    <row r="224" spans="1:18" x14ac:dyDescent="0.25">
      <c r="A224">
        <v>223</v>
      </c>
      <c r="B224">
        <v>3</v>
      </c>
      <c r="C224" t="str">
        <f>VLOOKUP(B224,'Cadastro Produtos'!A:E,2,2)</f>
        <v>Limonada Alfa Zero 500 ml</v>
      </c>
      <c r="D224">
        <v>14</v>
      </c>
      <c r="E224" t="str">
        <f>VLOOKUP(D224,'Cadatro Clientes'!A:O,2,2)</f>
        <v>Sprite</v>
      </c>
      <c r="F224" t="str">
        <f>VLOOKUP(D224,'Cadatro Clientes'!A:O,9,2)</f>
        <v>Norte</v>
      </c>
      <c r="G224" s="15">
        <v>41730</v>
      </c>
      <c r="H224">
        <f t="shared" si="16"/>
        <v>3</v>
      </c>
      <c r="I224">
        <f t="shared" si="17"/>
        <v>1</v>
      </c>
      <c r="J224">
        <f t="shared" si="18"/>
        <v>4</v>
      </c>
      <c r="K224">
        <f t="shared" si="19"/>
        <v>2014</v>
      </c>
      <c r="M224">
        <v>2</v>
      </c>
      <c r="N224" t="str">
        <f>VLOOKUP(M224,'Cadastro Vendedores'!A:H,2,2)</f>
        <v>Luis</v>
      </c>
      <c r="O224" s="2"/>
      <c r="P224" s="16">
        <v>2600</v>
      </c>
      <c r="Q224" s="2">
        <f>VLOOKUP(B224,'Cadastro Produtos'!A:F,5,2)</f>
        <v>9</v>
      </c>
      <c r="R224" s="14">
        <f t="shared" si="15"/>
        <v>23400</v>
      </c>
    </row>
    <row r="225" spans="1:18" x14ac:dyDescent="0.25">
      <c r="A225">
        <v>224</v>
      </c>
      <c r="B225">
        <v>4</v>
      </c>
      <c r="C225" t="str">
        <f>VLOOKUP(B225,'Cadastro Produtos'!A:E,2,2)</f>
        <v>Limonada Beta Zero 500 ml</v>
      </c>
      <c r="D225">
        <v>2</v>
      </c>
      <c r="E225" t="str">
        <f>VLOOKUP(D225,'Cadatro Clientes'!A:O,2,2)</f>
        <v>Limão S/A</v>
      </c>
      <c r="F225" t="str">
        <f>VLOOKUP(D225,'Cadatro Clientes'!A:O,9,2)</f>
        <v>Centro-Oeste</v>
      </c>
      <c r="G225" s="15">
        <v>41730</v>
      </c>
      <c r="H225">
        <f t="shared" si="16"/>
        <v>3</v>
      </c>
      <c r="I225">
        <f t="shared" si="17"/>
        <v>1</v>
      </c>
      <c r="J225">
        <f t="shared" si="18"/>
        <v>4</v>
      </c>
      <c r="K225">
        <f t="shared" si="19"/>
        <v>2014</v>
      </c>
      <c r="M225">
        <v>4</v>
      </c>
      <c r="N225" t="str">
        <f>VLOOKUP(M225,'Cadastro Vendedores'!A:H,2,2)</f>
        <v>José</v>
      </c>
      <c r="O225" s="2"/>
      <c r="P225" s="16">
        <v>6700</v>
      </c>
      <c r="Q225" s="2">
        <f>VLOOKUP(B225,'Cadastro Produtos'!A:F,5,2)</f>
        <v>7</v>
      </c>
      <c r="R225" s="14">
        <f t="shared" si="15"/>
        <v>46900</v>
      </c>
    </row>
    <row r="226" spans="1:18" x14ac:dyDescent="0.25">
      <c r="A226">
        <v>225</v>
      </c>
      <c r="B226">
        <v>8</v>
      </c>
      <c r="C226" t="str">
        <f>VLOOKUP(B226,'Cadastro Produtos'!A:E,2,2)</f>
        <v>Limonada Beta Zero 1 L</v>
      </c>
      <c r="D226">
        <v>8</v>
      </c>
      <c r="E226" t="str">
        <f>VLOOKUP(D226,'Cadatro Clientes'!A:O,2,2)</f>
        <v>Refresko</v>
      </c>
      <c r="F226" t="str">
        <f>VLOOKUP(D226,'Cadatro Clientes'!A:O,9,2)</f>
        <v>Sul</v>
      </c>
      <c r="G226" s="15">
        <v>41730</v>
      </c>
      <c r="H226">
        <f t="shared" si="16"/>
        <v>3</v>
      </c>
      <c r="I226">
        <f t="shared" si="17"/>
        <v>1</v>
      </c>
      <c r="J226">
        <f t="shared" si="18"/>
        <v>4</v>
      </c>
      <c r="K226">
        <f t="shared" si="19"/>
        <v>2014</v>
      </c>
      <c r="M226">
        <v>3</v>
      </c>
      <c r="N226" t="str">
        <f>VLOOKUP(M226,'Cadastro Vendedores'!A:H,2,2)</f>
        <v>Antônia</v>
      </c>
      <c r="O226" s="2"/>
      <c r="P226" s="16">
        <v>3000</v>
      </c>
      <c r="Q226" s="2">
        <f>VLOOKUP(B226,'Cadastro Produtos'!A:F,5,2)</f>
        <v>12</v>
      </c>
      <c r="R226" s="14">
        <f t="shared" si="15"/>
        <v>36000</v>
      </c>
    </row>
    <row r="227" spans="1:18" x14ac:dyDescent="0.25">
      <c r="A227">
        <v>226</v>
      </c>
      <c r="B227">
        <v>6</v>
      </c>
      <c r="C227" t="str">
        <f>VLOOKUP(B227,'Cadastro Produtos'!A:E,2,2)</f>
        <v>Limonada Beta com Açúcar 1 L</v>
      </c>
      <c r="D227">
        <v>1</v>
      </c>
      <c r="E227" t="str">
        <f>VLOOKUP(D227,'Cadatro Clientes'!A:O,2,2)</f>
        <v>Meu Suco de Limão</v>
      </c>
      <c r="F227" t="str">
        <f>VLOOKUP(D227,'Cadatro Clientes'!A:O,9,2)</f>
        <v>Norte</v>
      </c>
      <c r="G227" s="15">
        <v>41731</v>
      </c>
      <c r="H227">
        <f t="shared" si="16"/>
        <v>4</v>
      </c>
      <c r="I227">
        <f t="shared" si="17"/>
        <v>2</v>
      </c>
      <c r="J227">
        <f t="shared" si="18"/>
        <v>4</v>
      </c>
      <c r="K227">
        <f t="shared" si="19"/>
        <v>2014</v>
      </c>
      <c r="M227">
        <v>7</v>
      </c>
      <c r="N227" t="str">
        <f>VLOOKUP(M227,'Cadastro Vendedores'!A:H,2,2)</f>
        <v>Benedito</v>
      </c>
      <c r="O227" s="2"/>
      <c r="P227" s="16">
        <v>3700</v>
      </c>
      <c r="Q227" s="2">
        <f>VLOOKUP(B227,'Cadastro Produtos'!A:F,5,2)</f>
        <v>12</v>
      </c>
      <c r="R227" s="14">
        <f t="shared" si="15"/>
        <v>44400</v>
      </c>
    </row>
    <row r="228" spans="1:18" x14ac:dyDescent="0.25">
      <c r="A228">
        <v>227</v>
      </c>
      <c r="B228">
        <v>6</v>
      </c>
      <c r="C228" t="str">
        <f>VLOOKUP(B228,'Cadastro Produtos'!A:E,2,2)</f>
        <v>Limonada Beta com Açúcar 1 L</v>
      </c>
      <c r="D228">
        <v>4</v>
      </c>
      <c r="E228" t="str">
        <f>VLOOKUP(D228,'Cadatro Clientes'!A:O,2,2)</f>
        <v>Limão Carioca e Cia</v>
      </c>
      <c r="F228" t="str">
        <f>VLOOKUP(D228,'Cadatro Clientes'!A:O,9,2)</f>
        <v>Sudeste</v>
      </c>
      <c r="G228" s="15">
        <v>41731</v>
      </c>
      <c r="H228">
        <f t="shared" si="16"/>
        <v>4</v>
      </c>
      <c r="I228">
        <f t="shared" si="17"/>
        <v>2</v>
      </c>
      <c r="J228">
        <f t="shared" si="18"/>
        <v>4</v>
      </c>
      <c r="K228">
        <f t="shared" si="19"/>
        <v>2014</v>
      </c>
      <c r="M228">
        <v>3</v>
      </c>
      <c r="N228" t="str">
        <f>VLOOKUP(M228,'Cadastro Vendedores'!A:H,2,2)</f>
        <v>Antônia</v>
      </c>
      <c r="O228" s="2"/>
      <c r="P228" s="16">
        <v>3900</v>
      </c>
      <c r="Q228" s="2">
        <f>VLOOKUP(B228,'Cadastro Produtos'!A:F,5,2)</f>
        <v>12</v>
      </c>
      <c r="R228" s="14">
        <f t="shared" si="15"/>
        <v>46800</v>
      </c>
    </row>
    <row r="229" spans="1:18" x14ac:dyDescent="0.25">
      <c r="A229">
        <v>228</v>
      </c>
      <c r="B229">
        <v>8</v>
      </c>
      <c r="C229" t="str">
        <f>VLOOKUP(B229,'Cadastro Produtos'!A:E,2,2)</f>
        <v>Limonada Beta Zero 1 L</v>
      </c>
      <c r="D229">
        <v>20</v>
      </c>
      <c r="E229" t="str">
        <f>VLOOKUP(D229,'Cadatro Clientes'!A:O,2,2)</f>
        <v>Brasil Saúde</v>
      </c>
      <c r="F229" t="str">
        <f>VLOOKUP(D229,'Cadatro Clientes'!A:O,9,2)</f>
        <v>Nordeste</v>
      </c>
      <c r="G229" s="15">
        <v>41731</v>
      </c>
      <c r="H229">
        <f t="shared" si="16"/>
        <v>4</v>
      </c>
      <c r="I229">
        <f t="shared" si="17"/>
        <v>2</v>
      </c>
      <c r="J229">
        <f t="shared" si="18"/>
        <v>4</v>
      </c>
      <c r="K229">
        <f t="shared" si="19"/>
        <v>2014</v>
      </c>
      <c r="M229">
        <v>7</v>
      </c>
      <c r="N229" t="str">
        <f>VLOOKUP(M229,'Cadastro Vendedores'!A:H,2,2)</f>
        <v>Benedito</v>
      </c>
      <c r="O229" s="2"/>
      <c r="P229" s="16">
        <v>1700</v>
      </c>
      <c r="Q229" s="2">
        <f>VLOOKUP(B229,'Cadastro Produtos'!A:F,5,2)</f>
        <v>12</v>
      </c>
      <c r="R229" s="14">
        <f t="shared" si="15"/>
        <v>20400</v>
      </c>
    </row>
    <row r="230" spans="1:18" x14ac:dyDescent="0.25">
      <c r="A230">
        <v>229</v>
      </c>
      <c r="B230">
        <v>6</v>
      </c>
      <c r="C230" t="str">
        <f>VLOOKUP(B230,'Cadastro Produtos'!A:E,2,2)</f>
        <v>Limonada Beta com Açúcar 1 L</v>
      </c>
      <c r="D230">
        <v>6</v>
      </c>
      <c r="E230" t="str">
        <f>VLOOKUP(D230,'Cadatro Clientes'!A:O,2,2)</f>
        <v>Lemonade</v>
      </c>
      <c r="F230" t="str">
        <f>VLOOKUP(D230,'Cadatro Clientes'!A:O,9,2)</f>
        <v>Norte</v>
      </c>
      <c r="G230" s="15">
        <v>41731</v>
      </c>
      <c r="H230">
        <f t="shared" si="16"/>
        <v>4</v>
      </c>
      <c r="I230">
        <f t="shared" si="17"/>
        <v>2</v>
      </c>
      <c r="J230">
        <f t="shared" si="18"/>
        <v>4</v>
      </c>
      <c r="K230">
        <f t="shared" si="19"/>
        <v>2014</v>
      </c>
      <c r="M230">
        <v>7</v>
      </c>
      <c r="N230" t="str">
        <f>VLOOKUP(M230,'Cadastro Vendedores'!A:H,2,2)</f>
        <v>Benedito</v>
      </c>
      <c r="O230" s="2"/>
      <c r="P230" s="16">
        <v>4000</v>
      </c>
      <c r="Q230" s="2">
        <f>VLOOKUP(B230,'Cadastro Produtos'!A:F,5,2)</f>
        <v>12</v>
      </c>
      <c r="R230" s="14">
        <f t="shared" si="15"/>
        <v>48000</v>
      </c>
    </row>
    <row r="231" spans="1:18" x14ac:dyDescent="0.25">
      <c r="A231">
        <v>230</v>
      </c>
      <c r="B231">
        <v>2</v>
      </c>
      <c r="C231" t="str">
        <f>VLOOKUP(B231,'Cadastro Produtos'!A:E,2,2)</f>
        <v>Limonada Beta com Açúcar 500 ml</v>
      </c>
      <c r="D231">
        <v>4</v>
      </c>
      <c r="E231" t="str">
        <f>VLOOKUP(D231,'Cadatro Clientes'!A:O,2,2)</f>
        <v>Limão Carioca e Cia</v>
      </c>
      <c r="F231" t="str">
        <f>VLOOKUP(D231,'Cadatro Clientes'!A:O,9,2)</f>
        <v>Sudeste</v>
      </c>
      <c r="G231" s="15">
        <v>41731</v>
      </c>
      <c r="H231">
        <f t="shared" si="16"/>
        <v>4</v>
      </c>
      <c r="I231">
        <f t="shared" si="17"/>
        <v>2</v>
      </c>
      <c r="J231">
        <f t="shared" si="18"/>
        <v>4</v>
      </c>
      <c r="K231">
        <f t="shared" si="19"/>
        <v>2014</v>
      </c>
      <c r="M231">
        <v>2</v>
      </c>
      <c r="N231" t="str">
        <f>VLOOKUP(M231,'Cadastro Vendedores'!A:H,2,2)</f>
        <v>Luis</v>
      </c>
      <c r="O231" s="2"/>
      <c r="P231" s="16">
        <v>2300</v>
      </c>
      <c r="Q231" s="2">
        <f>VLOOKUP(B231,'Cadastro Produtos'!A:F,5,2)</f>
        <v>6.5</v>
      </c>
      <c r="R231" s="14">
        <f t="shared" si="15"/>
        <v>14950</v>
      </c>
    </row>
    <row r="232" spans="1:18" x14ac:dyDescent="0.25">
      <c r="A232">
        <v>231</v>
      </c>
      <c r="B232">
        <v>8</v>
      </c>
      <c r="C232" t="str">
        <f>VLOOKUP(B232,'Cadastro Produtos'!A:E,2,2)</f>
        <v>Limonada Beta Zero 1 L</v>
      </c>
      <c r="D232">
        <v>1</v>
      </c>
      <c r="E232" t="str">
        <f>VLOOKUP(D232,'Cadatro Clientes'!A:O,2,2)</f>
        <v>Meu Suco de Limão</v>
      </c>
      <c r="F232" t="str">
        <f>VLOOKUP(D232,'Cadatro Clientes'!A:O,9,2)</f>
        <v>Norte</v>
      </c>
      <c r="G232" s="15">
        <v>41733</v>
      </c>
      <c r="H232">
        <f t="shared" si="16"/>
        <v>6</v>
      </c>
      <c r="I232">
        <f t="shared" si="17"/>
        <v>4</v>
      </c>
      <c r="J232">
        <f t="shared" si="18"/>
        <v>4</v>
      </c>
      <c r="K232">
        <f t="shared" si="19"/>
        <v>2014</v>
      </c>
      <c r="M232">
        <v>2</v>
      </c>
      <c r="N232" t="str">
        <f>VLOOKUP(M232,'Cadastro Vendedores'!A:H,2,2)</f>
        <v>Luis</v>
      </c>
      <c r="O232" s="2"/>
      <c r="P232" s="16">
        <v>2900</v>
      </c>
      <c r="Q232" s="2">
        <f>VLOOKUP(B232,'Cadastro Produtos'!A:F,5,2)</f>
        <v>12</v>
      </c>
      <c r="R232" s="14">
        <f t="shared" si="15"/>
        <v>34800</v>
      </c>
    </row>
    <row r="233" spans="1:18" x14ac:dyDescent="0.25">
      <c r="A233">
        <v>232</v>
      </c>
      <c r="B233">
        <v>1</v>
      </c>
      <c r="C233" t="str">
        <f>VLOOKUP(B233,'Cadastro Produtos'!A:E,2,2)</f>
        <v>Limonada Alfa com Açúcar 500 ml</v>
      </c>
      <c r="D233">
        <v>13</v>
      </c>
      <c r="E233" t="str">
        <f>VLOOKUP(D233,'Cadatro Clientes'!A:O,2,2)</f>
        <v>Monster Lemon</v>
      </c>
      <c r="F233" t="str">
        <f>VLOOKUP(D233,'Cadatro Clientes'!A:O,9,2)</f>
        <v>Nordeste</v>
      </c>
      <c r="G233" s="15">
        <v>41734</v>
      </c>
      <c r="H233">
        <f t="shared" si="16"/>
        <v>7</v>
      </c>
      <c r="I233">
        <f t="shared" si="17"/>
        <v>5</v>
      </c>
      <c r="J233">
        <f t="shared" si="18"/>
        <v>4</v>
      </c>
      <c r="K233">
        <f t="shared" si="19"/>
        <v>2014</v>
      </c>
      <c r="M233">
        <v>7</v>
      </c>
      <c r="N233" t="str">
        <f>VLOOKUP(M233,'Cadastro Vendedores'!A:H,2,2)</f>
        <v>Benedito</v>
      </c>
      <c r="O233" s="2"/>
      <c r="P233" s="16">
        <v>5700</v>
      </c>
      <c r="Q233" s="2">
        <f>VLOOKUP(B233,'Cadastro Produtos'!A:F,5,2)</f>
        <v>8.5</v>
      </c>
      <c r="R233" s="14">
        <f t="shared" si="15"/>
        <v>48450</v>
      </c>
    </row>
    <row r="234" spans="1:18" x14ac:dyDescent="0.25">
      <c r="A234">
        <v>233</v>
      </c>
      <c r="B234">
        <v>1</v>
      </c>
      <c r="C234" t="str">
        <f>VLOOKUP(B234,'Cadastro Produtos'!A:E,2,2)</f>
        <v>Limonada Alfa com Açúcar 500 ml</v>
      </c>
      <c r="D234">
        <v>8</v>
      </c>
      <c r="E234" t="str">
        <f>VLOOKUP(D234,'Cadatro Clientes'!A:O,2,2)</f>
        <v>Refresko</v>
      </c>
      <c r="F234" t="str">
        <f>VLOOKUP(D234,'Cadatro Clientes'!A:O,9,2)</f>
        <v>Sul</v>
      </c>
      <c r="G234" s="15">
        <v>41735</v>
      </c>
      <c r="H234">
        <f t="shared" si="16"/>
        <v>1</v>
      </c>
      <c r="I234">
        <f t="shared" si="17"/>
        <v>6</v>
      </c>
      <c r="J234">
        <f t="shared" si="18"/>
        <v>4</v>
      </c>
      <c r="K234">
        <f t="shared" si="19"/>
        <v>2014</v>
      </c>
      <c r="M234">
        <v>3</v>
      </c>
      <c r="N234" t="str">
        <f>VLOOKUP(M234,'Cadastro Vendedores'!A:H,2,2)</f>
        <v>Antônia</v>
      </c>
      <c r="O234" s="2"/>
      <c r="P234" s="16">
        <v>2600</v>
      </c>
      <c r="Q234" s="2">
        <f>VLOOKUP(B234,'Cadastro Produtos'!A:F,5,2)</f>
        <v>8.5</v>
      </c>
      <c r="R234" s="14">
        <f t="shared" si="15"/>
        <v>22100</v>
      </c>
    </row>
    <row r="235" spans="1:18" x14ac:dyDescent="0.25">
      <c r="A235">
        <v>234</v>
      </c>
      <c r="B235">
        <v>7</v>
      </c>
      <c r="C235" t="str">
        <f>VLOOKUP(B235,'Cadastro Produtos'!A:E,2,2)</f>
        <v>Limonada Alfa Zero 1 L</v>
      </c>
      <c r="D235">
        <v>5</v>
      </c>
      <c r="E235" t="str">
        <f>VLOOKUP(D235,'Cadatro Clientes'!A:O,2,2)</f>
        <v>Axé com Limão</v>
      </c>
      <c r="F235" t="str">
        <f>VLOOKUP(D235,'Cadatro Clientes'!A:O,9,2)</f>
        <v>Nordeste</v>
      </c>
      <c r="G235" s="15">
        <v>41735</v>
      </c>
      <c r="H235">
        <f t="shared" si="16"/>
        <v>1</v>
      </c>
      <c r="I235">
        <f t="shared" si="17"/>
        <v>6</v>
      </c>
      <c r="J235">
        <f t="shared" si="18"/>
        <v>4</v>
      </c>
      <c r="K235">
        <f t="shared" si="19"/>
        <v>2014</v>
      </c>
      <c r="M235">
        <v>9</v>
      </c>
      <c r="N235" t="str">
        <f>VLOOKUP(M235,'Cadastro Vendedores'!A:H,2,2)</f>
        <v>Adriana</v>
      </c>
      <c r="O235" s="2"/>
      <c r="P235" s="16">
        <v>2800</v>
      </c>
      <c r="Q235" s="2">
        <f>VLOOKUP(B235,'Cadastro Produtos'!A:F,5,2)</f>
        <v>15</v>
      </c>
      <c r="R235" s="14">
        <f t="shared" si="15"/>
        <v>42000</v>
      </c>
    </row>
    <row r="236" spans="1:18" x14ac:dyDescent="0.25">
      <c r="A236">
        <v>235</v>
      </c>
      <c r="B236">
        <v>6</v>
      </c>
      <c r="C236" t="str">
        <f>VLOOKUP(B236,'Cadastro Produtos'!A:E,2,2)</f>
        <v>Limonada Beta com Açúcar 1 L</v>
      </c>
      <c r="D236">
        <v>14</v>
      </c>
      <c r="E236" t="str">
        <f>VLOOKUP(D236,'Cadatro Clientes'!A:O,2,2)</f>
        <v>Sprite</v>
      </c>
      <c r="F236" t="str">
        <f>VLOOKUP(D236,'Cadatro Clientes'!A:O,9,2)</f>
        <v>Norte</v>
      </c>
      <c r="G236" s="15">
        <v>41735</v>
      </c>
      <c r="H236">
        <f t="shared" si="16"/>
        <v>1</v>
      </c>
      <c r="I236">
        <f t="shared" si="17"/>
        <v>6</v>
      </c>
      <c r="J236">
        <f t="shared" si="18"/>
        <v>4</v>
      </c>
      <c r="K236">
        <f t="shared" si="19"/>
        <v>2014</v>
      </c>
      <c r="M236">
        <v>7</v>
      </c>
      <c r="N236" t="str">
        <f>VLOOKUP(M236,'Cadastro Vendedores'!A:H,2,2)</f>
        <v>Benedito</v>
      </c>
      <c r="O236" s="2"/>
      <c r="P236" s="16">
        <v>2100</v>
      </c>
      <c r="Q236" s="2">
        <f>VLOOKUP(B236,'Cadastro Produtos'!A:F,5,2)</f>
        <v>12</v>
      </c>
      <c r="R236" s="14">
        <f t="shared" si="15"/>
        <v>25200</v>
      </c>
    </row>
    <row r="237" spans="1:18" x14ac:dyDescent="0.25">
      <c r="A237">
        <v>236</v>
      </c>
      <c r="B237">
        <v>3</v>
      </c>
      <c r="C237" t="str">
        <f>VLOOKUP(B237,'Cadastro Produtos'!A:E,2,2)</f>
        <v>Limonada Alfa Zero 500 ml</v>
      </c>
      <c r="D237">
        <v>18</v>
      </c>
      <c r="E237" t="str">
        <f>VLOOKUP(D237,'Cadatro Clientes'!A:O,2,2)</f>
        <v>Rio Branco Limonada Ltda</v>
      </c>
      <c r="F237" t="str">
        <f>VLOOKUP(D237,'Cadatro Clientes'!A:O,9,2)</f>
        <v>Norte</v>
      </c>
      <c r="G237" s="15">
        <v>41736</v>
      </c>
      <c r="H237">
        <f t="shared" si="16"/>
        <v>2</v>
      </c>
      <c r="I237">
        <f t="shared" si="17"/>
        <v>7</v>
      </c>
      <c r="J237">
        <f t="shared" si="18"/>
        <v>4</v>
      </c>
      <c r="K237">
        <f t="shared" si="19"/>
        <v>2014</v>
      </c>
      <c r="M237">
        <v>2</v>
      </c>
      <c r="N237" t="str">
        <f>VLOOKUP(M237,'Cadastro Vendedores'!A:H,2,2)</f>
        <v>Luis</v>
      </c>
      <c r="O237" s="2"/>
      <c r="P237" s="16">
        <v>3500</v>
      </c>
      <c r="Q237" s="2">
        <f>VLOOKUP(B237,'Cadastro Produtos'!A:F,5,2)</f>
        <v>9</v>
      </c>
      <c r="R237" s="14">
        <f t="shared" si="15"/>
        <v>31500</v>
      </c>
    </row>
    <row r="238" spans="1:18" x14ac:dyDescent="0.25">
      <c r="A238">
        <v>237</v>
      </c>
      <c r="B238">
        <v>3</v>
      </c>
      <c r="C238" t="str">
        <f>VLOOKUP(B238,'Cadastro Produtos'!A:E,2,2)</f>
        <v>Limonada Alfa Zero 500 ml</v>
      </c>
      <c r="D238">
        <v>1</v>
      </c>
      <c r="E238" t="str">
        <f>VLOOKUP(D238,'Cadatro Clientes'!A:O,2,2)</f>
        <v>Meu Suco de Limão</v>
      </c>
      <c r="F238" t="str">
        <f>VLOOKUP(D238,'Cadatro Clientes'!A:O,9,2)</f>
        <v>Norte</v>
      </c>
      <c r="G238" s="15">
        <v>41736</v>
      </c>
      <c r="H238">
        <f t="shared" si="16"/>
        <v>2</v>
      </c>
      <c r="I238">
        <f t="shared" si="17"/>
        <v>7</v>
      </c>
      <c r="J238">
        <f t="shared" si="18"/>
        <v>4</v>
      </c>
      <c r="K238">
        <f t="shared" si="19"/>
        <v>2014</v>
      </c>
      <c r="M238">
        <v>4</v>
      </c>
      <c r="N238" t="str">
        <f>VLOOKUP(M238,'Cadastro Vendedores'!A:H,2,2)</f>
        <v>José</v>
      </c>
      <c r="O238" s="2"/>
      <c r="P238" s="16">
        <v>1800</v>
      </c>
      <c r="Q238" s="2">
        <f>VLOOKUP(B238,'Cadastro Produtos'!A:F,5,2)</f>
        <v>9</v>
      </c>
      <c r="R238" s="14">
        <f t="shared" si="15"/>
        <v>16200</v>
      </c>
    </row>
    <row r="239" spans="1:18" x14ac:dyDescent="0.25">
      <c r="A239">
        <v>238</v>
      </c>
      <c r="B239">
        <v>7</v>
      </c>
      <c r="C239" t="str">
        <f>VLOOKUP(B239,'Cadastro Produtos'!A:E,2,2)</f>
        <v>Limonada Alfa Zero 1 L</v>
      </c>
      <c r="D239">
        <v>1</v>
      </c>
      <c r="E239" t="str">
        <f>VLOOKUP(D239,'Cadatro Clientes'!A:O,2,2)</f>
        <v>Meu Suco de Limão</v>
      </c>
      <c r="F239" t="str">
        <f>VLOOKUP(D239,'Cadatro Clientes'!A:O,9,2)</f>
        <v>Norte</v>
      </c>
      <c r="G239" s="15">
        <v>41736</v>
      </c>
      <c r="H239">
        <f t="shared" si="16"/>
        <v>2</v>
      </c>
      <c r="I239">
        <f t="shared" si="17"/>
        <v>7</v>
      </c>
      <c r="J239">
        <f t="shared" si="18"/>
        <v>4</v>
      </c>
      <c r="K239">
        <f t="shared" si="19"/>
        <v>2014</v>
      </c>
      <c r="M239">
        <v>2</v>
      </c>
      <c r="N239" t="str">
        <f>VLOOKUP(M239,'Cadastro Vendedores'!A:H,2,2)</f>
        <v>Luis</v>
      </c>
      <c r="O239" s="2"/>
      <c r="P239" s="16">
        <v>1400</v>
      </c>
      <c r="Q239" s="2">
        <f>VLOOKUP(B239,'Cadastro Produtos'!A:F,5,2)</f>
        <v>15</v>
      </c>
      <c r="R239" s="14">
        <f t="shared" si="15"/>
        <v>21000</v>
      </c>
    </row>
    <row r="240" spans="1:18" x14ac:dyDescent="0.25">
      <c r="A240">
        <v>239</v>
      </c>
      <c r="B240">
        <v>6</v>
      </c>
      <c r="C240" t="str">
        <f>VLOOKUP(B240,'Cadastro Produtos'!A:E,2,2)</f>
        <v>Limonada Beta com Açúcar 1 L</v>
      </c>
      <c r="D240">
        <v>7</v>
      </c>
      <c r="E240" t="str">
        <f>VLOOKUP(D240,'Cadatro Clientes'!A:O,2,2)</f>
        <v>Limo</v>
      </c>
      <c r="F240" t="str">
        <f>VLOOKUP(D240,'Cadatro Clientes'!A:O,9,2)</f>
        <v>Centro-Oeste</v>
      </c>
      <c r="G240" s="15">
        <v>41737</v>
      </c>
      <c r="H240">
        <f t="shared" si="16"/>
        <v>3</v>
      </c>
      <c r="I240">
        <f t="shared" si="17"/>
        <v>8</v>
      </c>
      <c r="J240">
        <f t="shared" si="18"/>
        <v>4</v>
      </c>
      <c r="K240">
        <f t="shared" si="19"/>
        <v>2014</v>
      </c>
      <c r="M240">
        <v>6</v>
      </c>
      <c r="N240" t="str">
        <f>VLOOKUP(M240,'Cadastro Vendedores'!A:H,2,2)</f>
        <v>Antônia</v>
      </c>
      <c r="O240" s="2"/>
      <c r="P240" s="16">
        <v>1000</v>
      </c>
      <c r="Q240" s="2">
        <f>VLOOKUP(B240,'Cadastro Produtos'!A:F,5,2)</f>
        <v>12</v>
      </c>
      <c r="R240" s="14">
        <f t="shared" si="15"/>
        <v>12000</v>
      </c>
    </row>
    <row r="241" spans="1:18" x14ac:dyDescent="0.25">
      <c r="A241">
        <v>240</v>
      </c>
      <c r="B241">
        <v>6</v>
      </c>
      <c r="C241" t="str">
        <f>VLOOKUP(B241,'Cadastro Produtos'!A:E,2,2)</f>
        <v>Limonada Beta com Açúcar 1 L</v>
      </c>
      <c r="D241">
        <v>17</v>
      </c>
      <c r="E241" t="str">
        <f>VLOOKUP(D241,'Cadatro Clientes'!A:O,2,2)</f>
        <v>Aracasuco</v>
      </c>
      <c r="F241" t="str">
        <f>VLOOKUP(D241,'Cadatro Clientes'!A:O,9,2)</f>
        <v>Nordeste</v>
      </c>
      <c r="G241" s="15">
        <v>41737</v>
      </c>
      <c r="H241">
        <f t="shared" si="16"/>
        <v>3</v>
      </c>
      <c r="I241">
        <f t="shared" si="17"/>
        <v>8</v>
      </c>
      <c r="J241">
        <f t="shared" si="18"/>
        <v>4</v>
      </c>
      <c r="K241">
        <f t="shared" si="19"/>
        <v>2014</v>
      </c>
      <c r="M241">
        <v>4</v>
      </c>
      <c r="N241" t="str">
        <f>VLOOKUP(M241,'Cadastro Vendedores'!A:H,2,2)</f>
        <v>José</v>
      </c>
      <c r="O241" s="2"/>
      <c r="P241" s="16">
        <v>4100</v>
      </c>
      <c r="Q241" s="2">
        <f>VLOOKUP(B241,'Cadastro Produtos'!A:F,5,2)</f>
        <v>12</v>
      </c>
      <c r="R241" s="14">
        <f t="shared" si="15"/>
        <v>49200</v>
      </c>
    </row>
    <row r="242" spans="1:18" x14ac:dyDescent="0.25">
      <c r="A242">
        <v>241</v>
      </c>
      <c r="B242">
        <v>9</v>
      </c>
      <c r="C242" t="str">
        <f>VLOOKUP(B242,'Cadastro Produtos'!A:E,2,2)</f>
        <v>Limonada Alfa com Hortelã e Açúcar 1 L</v>
      </c>
      <c r="D242">
        <v>11</v>
      </c>
      <c r="E242" t="str">
        <f>VLOOKUP(D242,'Cadatro Clientes'!A:O,2,2)</f>
        <v>Red Lemon</v>
      </c>
      <c r="F242" t="str">
        <f>VLOOKUP(D242,'Cadatro Clientes'!A:O,9,2)</f>
        <v>Sul</v>
      </c>
      <c r="G242" s="15">
        <v>41739</v>
      </c>
      <c r="H242">
        <f t="shared" si="16"/>
        <v>5</v>
      </c>
      <c r="I242">
        <f t="shared" si="17"/>
        <v>10</v>
      </c>
      <c r="J242">
        <f t="shared" si="18"/>
        <v>4</v>
      </c>
      <c r="K242">
        <f t="shared" si="19"/>
        <v>2014</v>
      </c>
      <c r="M242">
        <v>7</v>
      </c>
      <c r="N242" t="str">
        <f>VLOOKUP(M242,'Cadastro Vendedores'!A:H,2,2)</f>
        <v>Benedito</v>
      </c>
      <c r="O242" s="2"/>
      <c r="P242" s="16">
        <v>1200</v>
      </c>
      <c r="Q242" s="2">
        <f>VLOOKUP(B242,'Cadastro Produtos'!A:F,5,2)</f>
        <v>17.5</v>
      </c>
      <c r="R242" s="14">
        <f t="shared" si="15"/>
        <v>21000</v>
      </c>
    </row>
    <row r="243" spans="1:18" x14ac:dyDescent="0.25">
      <c r="A243">
        <v>242</v>
      </c>
      <c r="B243">
        <v>8</v>
      </c>
      <c r="C243" t="str">
        <f>VLOOKUP(B243,'Cadastro Produtos'!A:E,2,2)</f>
        <v>Limonada Beta Zero 1 L</v>
      </c>
      <c r="D243">
        <v>20</v>
      </c>
      <c r="E243" t="str">
        <f>VLOOKUP(D243,'Cadatro Clientes'!A:O,2,2)</f>
        <v>Brasil Saúde</v>
      </c>
      <c r="F243" t="str">
        <f>VLOOKUP(D243,'Cadatro Clientes'!A:O,9,2)</f>
        <v>Nordeste</v>
      </c>
      <c r="G243" s="15">
        <v>41739</v>
      </c>
      <c r="H243">
        <f t="shared" si="16"/>
        <v>5</v>
      </c>
      <c r="I243">
        <f t="shared" si="17"/>
        <v>10</v>
      </c>
      <c r="J243">
        <f t="shared" si="18"/>
        <v>4</v>
      </c>
      <c r="K243">
        <f t="shared" si="19"/>
        <v>2014</v>
      </c>
      <c r="M243">
        <v>4</v>
      </c>
      <c r="N243" t="str">
        <f>VLOOKUP(M243,'Cadastro Vendedores'!A:H,2,2)</f>
        <v>José</v>
      </c>
      <c r="O243" s="2"/>
      <c r="P243" s="16">
        <v>1400</v>
      </c>
      <c r="Q243" s="2">
        <f>VLOOKUP(B243,'Cadastro Produtos'!A:F,5,2)</f>
        <v>12</v>
      </c>
      <c r="R243" s="14">
        <f t="shared" si="15"/>
        <v>16800</v>
      </c>
    </row>
    <row r="244" spans="1:18" x14ac:dyDescent="0.25">
      <c r="A244">
        <v>243</v>
      </c>
      <c r="B244">
        <v>4</v>
      </c>
      <c r="C244" t="str">
        <f>VLOOKUP(B244,'Cadastro Produtos'!A:E,2,2)</f>
        <v>Limonada Beta Zero 500 ml</v>
      </c>
      <c r="D244">
        <v>2</v>
      </c>
      <c r="E244" t="str">
        <f>VLOOKUP(D244,'Cadatro Clientes'!A:O,2,2)</f>
        <v>Limão S/A</v>
      </c>
      <c r="F244" t="str">
        <f>VLOOKUP(D244,'Cadatro Clientes'!A:O,9,2)</f>
        <v>Centro-Oeste</v>
      </c>
      <c r="G244" s="15">
        <v>41740</v>
      </c>
      <c r="H244">
        <f t="shared" si="16"/>
        <v>6</v>
      </c>
      <c r="I244">
        <f t="shared" si="17"/>
        <v>11</v>
      </c>
      <c r="J244">
        <f t="shared" si="18"/>
        <v>4</v>
      </c>
      <c r="K244">
        <f t="shared" si="19"/>
        <v>2014</v>
      </c>
      <c r="M244">
        <v>4</v>
      </c>
      <c r="N244" t="str">
        <f>VLOOKUP(M244,'Cadastro Vendedores'!A:H,2,2)</f>
        <v>José</v>
      </c>
      <c r="O244" s="2"/>
      <c r="P244" s="16">
        <v>4600</v>
      </c>
      <c r="Q244" s="2">
        <f>VLOOKUP(B244,'Cadastro Produtos'!A:F,5,2)</f>
        <v>7</v>
      </c>
      <c r="R244" s="14">
        <f t="shared" si="15"/>
        <v>32200</v>
      </c>
    </row>
    <row r="245" spans="1:18" x14ac:dyDescent="0.25">
      <c r="A245">
        <v>244</v>
      </c>
      <c r="B245">
        <v>10</v>
      </c>
      <c r="C245" t="str">
        <f>VLOOKUP(B245,'Cadastro Produtos'!A:E,2,2)</f>
        <v>Limonada Alfa com Hortelã Zero 1 L</v>
      </c>
      <c r="D245">
        <v>4</v>
      </c>
      <c r="E245" t="str">
        <f>VLOOKUP(D245,'Cadatro Clientes'!A:O,2,2)</f>
        <v>Limão Carioca e Cia</v>
      </c>
      <c r="F245" t="str">
        <f>VLOOKUP(D245,'Cadatro Clientes'!A:O,9,2)</f>
        <v>Sudeste</v>
      </c>
      <c r="G245" s="15">
        <v>41741</v>
      </c>
      <c r="H245">
        <f t="shared" si="16"/>
        <v>7</v>
      </c>
      <c r="I245">
        <f t="shared" si="17"/>
        <v>12</v>
      </c>
      <c r="J245">
        <f t="shared" si="18"/>
        <v>4</v>
      </c>
      <c r="K245">
        <f t="shared" si="19"/>
        <v>2014</v>
      </c>
      <c r="M245">
        <v>4</v>
      </c>
      <c r="N245" t="str">
        <f>VLOOKUP(M245,'Cadastro Vendedores'!A:H,2,2)</f>
        <v>José</v>
      </c>
      <c r="O245" s="2"/>
      <c r="P245" s="16">
        <v>1500</v>
      </c>
      <c r="Q245" s="2">
        <f>VLOOKUP(B245,'Cadastro Produtos'!A:F,5,2)</f>
        <v>21</v>
      </c>
      <c r="R245" s="14">
        <f t="shared" si="15"/>
        <v>31500</v>
      </c>
    </row>
    <row r="246" spans="1:18" x14ac:dyDescent="0.25">
      <c r="A246">
        <v>245</v>
      </c>
      <c r="B246">
        <v>1</v>
      </c>
      <c r="C246" t="str">
        <f>VLOOKUP(B246,'Cadastro Produtos'!A:E,2,2)</f>
        <v>Limonada Alfa com Açúcar 500 ml</v>
      </c>
      <c r="D246">
        <v>7</v>
      </c>
      <c r="E246" t="str">
        <f>VLOOKUP(D246,'Cadatro Clientes'!A:O,2,2)</f>
        <v>Limo</v>
      </c>
      <c r="F246" t="str">
        <f>VLOOKUP(D246,'Cadatro Clientes'!A:O,9,2)</f>
        <v>Centro-Oeste</v>
      </c>
      <c r="G246" s="15">
        <v>41741</v>
      </c>
      <c r="H246">
        <f t="shared" si="16"/>
        <v>7</v>
      </c>
      <c r="I246">
        <f t="shared" si="17"/>
        <v>12</v>
      </c>
      <c r="J246">
        <f t="shared" si="18"/>
        <v>4</v>
      </c>
      <c r="K246">
        <f t="shared" si="19"/>
        <v>2014</v>
      </c>
      <c r="M246">
        <v>7</v>
      </c>
      <c r="N246" t="str">
        <f>VLOOKUP(M246,'Cadastro Vendedores'!A:H,2,2)</f>
        <v>Benedito</v>
      </c>
      <c r="O246" s="2"/>
      <c r="P246" s="16">
        <v>3500</v>
      </c>
      <c r="Q246" s="2">
        <f>VLOOKUP(B246,'Cadastro Produtos'!A:F,5,2)</f>
        <v>8.5</v>
      </c>
      <c r="R246" s="14">
        <f t="shared" si="15"/>
        <v>29750</v>
      </c>
    </row>
    <row r="247" spans="1:18" x14ac:dyDescent="0.25">
      <c r="A247">
        <v>246</v>
      </c>
      <c r="B247">
        <v>4</v>
      </c>
      <c r="C247" t="str">
        <f>VLOOKUP(B247,'Cadastro Produtos'!A:E,2,2)</f>
        <v>Limonada Beta Zero 500 ml</v>
      </c>
      <c r="D247">
        <v>8</v>
      </c>
      <c r="E247" t="str">
        <f>VLOOKUP(D247,'Cadatro Clientes'!A:O,2,2)</f>
        <v>Refresko</v>
      </c>
      <c r="F247" t="str">
        <f>VLOOKUP(D247,'Cadatro Clientes'!A:O,9,2)</f>
        <v>Sul</v>
      </c>
      <c r="G247" s="15">
        <v>41742</v>
      </c>
      <c r="H247">
        <f t="shared" si="16"/>
        <v>1</v>
      </c>
      <c r="I247">
        <f t="shared" si="17"/>
        <v>13</v>
      </c>
      <c r="J247">
        <f t="shared" si="18"/>
        <v>4</v>
      </c>
      <c r="K247">
        <f t="shared" si="19"/>
        <v>2014</v>
      </c>
      <c r="M247">
        <v>3</v>
      </c>
      <c r="N247" t="str">
        <f>VLOOKUP(M247,'Cadastro Vendedores'!A:H,2,2)</f>
        <v>Antônia</v>
      </c>
      <c r="O247" s="2"/>
      <c r="P247" s="16">
        <v>5200</v>
      </c>
      <c r="Q247" s="2">
        <f>VLOOKUP(B247,'Cadastro Produtos'!A:F,5,2)</f>
        <v>7</v>
      </c>
      <c r="R247" s="14">
        <f t="shared" si="15"/>
        <v>36400</v>
      </c>
    </row>
    <row r="248" spans="1:18" x14ac:dyDescent="0.25">
      <c r="A248">
        <v>247</v>
      </c>
      <c r="B248">
        <v>7</v>
      </c>
      <c r="C248" t="str">
        <f>VLOOKUP(B248,'Cadastro Produtos'!A:E,2,2)</f>
        <v>Limonada Alfa Zero 1 L</v>
      </c>
      <c r="D248">
        <v>19</v>
      </c>
      <c r="E248" t="str">
        <f>VLOOKUP(D248,'Cadatro Clientes'!A:O,2,2)</f>
        <v>Lima Limão</v>
      </c>
      <c r="F248" t="str">
        <f>VLOOKUP(D248,'Cadatro Clientes'!A:O,9,2)</f>
        <v>Sudeste</v>
      </c>
      <c r="G248" s="15">
        <v>41742</v>
      </c>
      <c r="H248">
        <f t="shared" si="16"/>
        <v>1</v>
      </c>
      <c r="I248">
        <f t="shared" si="17"/>
        <v>13</v>
      </c>
      <c r="J248">
        <f t="shared" si="18"/>
        <v>4</v>
      </c>
      <c r="K248">
        <f t="shared" si="19"/>
        <v>2014</v>
      </c>
      <c r="M248">
        <v>2</v>
      </c>
      <c r="N248" t="str">
        <f>VLOOKUP(M248,'Cadastro Vendedores'!A:H,2,2)</f>
        <v>Luis</v>
      </c>
      <c r="O248" s="2"/>
      <c r="P248" s="16">
        <v>2500</v>
      </c>
      <c r="Q248" s="2">
        <f>VLOOKUP(B248,'Cadastro Produtos'!A:F,5,2)</f>
        <v>15</v>
      </c>
      <c r="R248" s="14">
        <f t="shared" si="15"/>
        <v>37500</v>
      </c>
    </row>
    <row r="249" spans="1:18" x14ac:dyDescent="0.25">
      <c r="A249">
        <v>248</v>
      </c>
      <c r="B249">
        <v>7</v>
      </c>
      <c r="C249" t="str">
        <f>VLOOKUP(B249,'Cadastro Produtos'!A:E,2,2)</f>
        <v>Limonada Alfa Zero 1 L</v>
      </c>
      <c r="D249">
        <v>5</v>
      </c>
      <c r="E249" t="str">
        <f>VLOOKUP(D249,'Cadatro Clientes'!A:O,2,2)</f>
        <v>Axé com Limão</v>
      </c>
      <c r="F249" t="str">
        <f>VLOOKUP(D249,'Cadatro Clientes'!A:O,9,2)</f>
        <v>Nordeste</v>
      </c>
      <c r="G249" s="15">
        <v>41742</v>
      </c>
      <c r="H249">
        <f t="shared" si="16"/>
        <v>1</v>
      </c>
      <c r="I249">
        <f t="shared" si="17"/>
        <v>13</v>
      </c>
      <c r="J249">
        <f t="shared" si="18"/>
        <v>4</v>
      </c>
      <c r="K249">
        <f t="shared" si="19"/>
        <v>2014</v>
      </c>
      <c r="M249">
        <v>9</v>
      </c>
      <c r="N249" t="str">
        <f>VLOOKUP(M249,'Cadastro Vendedores'!A:H,2,2)</f>
        <v>Adriana</v>
      </c>
      <c r="O249" s="2"/>
      <c r="P249" s="16">
        <v>3100</v>
      </c>
      <c r="Q249" s="2">
        <f>VLOOKUP(B249,'Cadastro Produtos'!A:F,5,2)</f>
        <v>15</v>
      </c>
      <c r="R249" s="14">
        <f t="shared" si="15"/>
        <v>46500</v>
      </c>
    </row>
    <row r="250" spans="1:18" x14ac:dyDescent="0.25">
      <c r="A250">
        <v>249</v>
      </c>
      <c r="B250">
        <v>1</v>
      </c>
      <c r="C250" t="str">
        <f>VLOOKUP(B250,'Cadastro Produtos'!A:E,2,2)</f>
        <v>Limonada Alfa com Açúcar 500 ml</v>
      </c>
      <c r="D250">
        <v>5</v>
      </c>
      <c r="E250" t="str">
        <f>VLOOKUP(D250,'Cadatro Clientes'!A:O,2,2)</f>
        <v>Axé com Limão</v>
      </c>
      <c r="F250" t="str">
        <f>VLOOKUP(D250,'Cadatro Clientes'!A:O,9,2)</f>
        <v>Nordeste</v>
      </c>
      <c r="G250" s="15">
        <v>41743</v>
      </c>
      <c r="H250">
        <f t="shared" si="16"/>
        <v>2</v>
      </c>
      <c r="I250">
        <f t="shared" si="17"/>
        <v>14</v>
      </c>
      <c r="J250">
        <f t="shared" si="18"/>
        <v>4</v>
      </c>
      <c r="K250">
        <f t="shared" si="19"/>
        <v>2014</v>
      </c>
      <c r="M250">
        <v>3</v>
      </c>
      <c r="N250" t="str">
        <f>VLOOKUP(M250,'Cadastro Vendedores'!A:H,2,2)</f>
        <v>Antônia</v>
      </c>
      <c r="O250" s="2"/>
      <c r="P250" s="16">
        <v>3200</v>
      </c>
      <c r="Q250" s="2">
        <f>VLOOKUP(B250,'Cadastro Produtos'!A:F,5,2)</f>
        <v>8.5</v>
      </c>
      <c r="R250" s="14">
        <f t="shared" si="15"/>
        <v>27200</v>
      </c>
    </row>
    <row r="251" spans="1:18" x14ac:dyDescent="0.25">
      <c r="A251">
        <v>250</v>
      </c>
      <c r="B251">
        <v>3</v>
      </c>
      <c r="C251" t="str">
        <f>VLOOKUP(B251,'Cadastro Produtos'!A:E,2,2)</f>
        <v>Limonada Alfa Zero 500 ml</v>
      </c>
      <c r="D251">
        <v>1</v>
      </c>
      <c r="E251" t="str">
        <f>VLOOKUP(D251,'Cadatro Clientes'!A:O,2,2)</f>
        <v>Meu Suco de Limão</v>
      </c>
      <c r="F251" t="str">
        <f>VLOOKUP(D251,'Cadatro Clientes'!A:O,9,2)</f>
        <v>Norte</v>
      </c>
      <c r="G251" s="15">
        <v>41743</v>
      </c>
      <c r="H251">
        <f t="shared" si="16"/>
        <v>2</v>
      </c>
      <c r="I251">
        <f t="shared" si="17"/>
        <v>14</v>
      </c>
      <c r="J251">
        <f t="shared" si="18"/>
        <v>4</v>
      </c>
      <c r="K251">
        <f t="shared" si="19"/>
        <v>2014</v>
      </c>
      <c r="M251">
        <v>2</v>
      </c>
      <c r="N251" t="str">
        <f>VLOOKUP(M251,'Cadastro Vendedores'!A:H,2,2)</f>
        <v>Luis</v>
      </c>
      <c r="O251" s="2"/>
      <c r="P251" s="16">
        <v>1800</v>
      </c>
      <c r="Q251" s="2">
        <f>VLOOKUP(B251,'Cadastro Produtos'!A:F,5,2)</f>
        <v>9</v>
      </c>
      <c r="R251" s="14">
        <f t="shared" si="15"/>
        <v>16200</v>
      </c>
    </row>
    <row r="252" spans="1:18" x14ac:dyDescent="0.25">
      <c r="A252">
        <v>251</v>
      </c>
      <c r="B252">
        <v>9</v>
      </c>
      <c r="C252" t="str">
        <f>VLOOKUP(B252,'Cadastro Produtos'!A:E,2,2)</f>
        <v>Limonada Alfa com Hortelã e Açúcar 1 L</v>
      </c>
      <c r="D252">
        <v>8</v>
      </c>
      <c r="E252" t="str">
        <f>VLOOKUP(D252,'Cadatro Clientes'!A:O,2,2)</f>
        <v>Refresko</v>
      </c>
      <c r="F252" t="str">
        <f>VLOOKUP(D252,'Cadatro Clientes'!A:O,9,2)</f>
        <v>Sul</v>
      </c>
      <c r="G252" s="15">
        <v>41744</v>
      </c>
      <c r="H252">
        <f t="shared" si="16"/>
        <v>3</v>
      </c>
      <c r="I252">
        <f t="shared" si="17"/>
        <v>15</v>
      </c>
      <c r="J252">
        <f t="shared" si="18"/>
        <v>4</v>
      </c>
      <c r="K252">
        <f t="shared" si="19"/>
        <v>2014</v>
      </c>
      <c r="M252">
        <v>6</v>
      </c>
      <c r="N252" t="str">
        <f>VLOOKUP(M252,'Cadastro Vendedores'!A:H,2,2)</f>
        <v>Antônia</v>
      </c>
      <c r="O252" s="2"/>
      <c r="P252" s="16">
        <v>2000</v>
      </c>
      <c r="Q252" s="2">
        <f>VLOOKUP(B252,'Cadastro Produtos'!A:F,5,2)</f>
        <v>17.5</v>
      </c>
      <c r="R252" s="14">
        <f t="shared" si="15"/>
        <v>35000</v>
      </c>
    </row>
    <row r="253" spans="1:18" x14ac:dyDescent="0.25">
      <c r="A253">
        <v>252</v>
      </c>
      <c r="B253">
        <v>2</v>
      </c>
      <c r="C253" t="str">
        <f>VLOOKUP(B253,'Cadastro Produtos'!A:E,2,2)</f>
        <v>Limonada Beta com Açúcar 500 ml</v>
      </c>
      <c r="D253">
        <v>17</v>
      </c>
      <c r="E253" t="str">
        <f>VLOOKUP(D253,'Cadatro Clientes'!A:O,2,2)</f>
        <v>Aracasuco</v>
      </c>
      <c r="F253" t="str">
        <f>VLOOKUP(D253,'Cadatro Clientes'!A:O,9,2)</f>
        <v>Nordeste</v>
      </c>
      <c r="G253" s="15">
        <v>41744</v>
      </c>
      <c r="H253">
        <f t="shared" si="16"/>
        <v>3</v>
      </c>
      <c r="I253">
        <f t="shared" si="17"/>
        <v>15</v>
      </c>
      <c r="J253">
        <f t="shared" si="18"/>
        <v>4</v>
      </c>
      <c r="K253">
        <f t="shared" si="19"/>
        <v>2014</v>
      </c>
      <c r="M253">
        <v>8</v>
      </c>
      <c r="N253" t="str">
        <f>VLOOKUP(M253,'Cadastro Vendedores'!A:H,2,2)</f>
        <v>Sérgio</v>
      </c>
      <c r="O253" s="2"/>
      <c r="P253" s="16">
        <v>6100</v>
      </c>
      <c r="Q253" s="2">
        <f>VLOOKUP(B253,'Cadastro Produtos'!A:F,5,2)</f>
        <v>6.5</v>
      </c>
      <c r="R253" s="14">
        <f t="shared" si="15"/>
        <v>39650</v>
      </c>
    </row>
    <row r="254" spans="1:18" x14ac:dyDescent="0.25">
      <c r="A254">
        <v>253</v>
      </c>
      <c r="B254">
        <v>7</v>
      </c>
      <c r="C254" t="str">
        <f>VLOOKUP(B254,'Cadastro Produtos'!A:E,2,2)</f>
        <v>Limonada Alfa Zero 1 L</v>
      </c>
      <c r="D254">
        <v>8</v>
      </c>
      <c r="E254" t="str">
        <f>VLOOKUP(D254,'Cadatro Clientes'!A:O,2,2)</f>
        <v>Refresko</v>
      </c>
      <c r="F254" t="str">
        <f>VLOOKUP(D254,'Cadatro Clientes'!A:O,9,2)</f>
        <v>Sul</v>
      </c>
      <c r="G254" s="15">
        <v>41745</v>
      </c>
      <c r="H254">
        <f t="shared" si="16"/>
        <v>4</v>
      </c>
      <c r="I254">
        <f t="shared" si="17"/>
        <v>16</v>
      </c>
      <c r="J254">
        <f t="shared" si="18"/>
        <v>4</v>
      </c>
      <c r="K254">
        <f t="shared" si="19"/>
        <v>2014</v>
      </c>
      <c r="M254">
        <v>6</v>
      </c>
      <c r="N254" t="str">
        <f>VLOOKUP(M254,'Cadastro Vendedores'!A:H,2,2)</f>
        <v>Antônia</v>
      </c>
      <c r="O254" s="2"/>
      <c r="P254" s="16">
        <v>2400</v>
      </c>
      <c r="Q254" s="2">
        <f>VLOOKUP(B254,'Cadastro Produtos'!A:F,5,2)</f>
        <v>15</v>
      </c>
      <c r="R254" s="14">
        <f t="shared" si="15"/>
        <v>36000</v>
      </c>
    </row>
    <row r="255" spans="1:18" x14ac:dyDescent="0.25">
      <c r="A255">
        <v>254</v>
      </c>
      <c r="B255">
        <v>4</v>
      </c>
      <c r="C255" t="str">
        <f>VLOOKUP(B255,'Cadastro Produtos'!A:E,2,2)</f>
        <v>Limonada Beta Zero 500 ml</v>
      </c>
      <c r="D255">
        <v>9</v>
      </c>
      <c r="E255" t="str">
        <f>VLOOKUP(D255,'Cadatro Clientes'!A:O,2,2)</f>
        <v>Fresh Lemon</v>
      </c>
      <c r="F255" t="str">
        <f>VLOOKUP(D255,'Cadatro Clientes'!A:O,9,2)</f>
        <v>Sudeste</v>
      </c>
      <c r="G255" s="15">
        <v>41745</v>
      </c>
      <c r="H255">
        <f t="shared" si="16"/>
        <v>4</v>
      </c>
      <c r="I255">
        <f t="shared" si="17"/>
        <v>16</v>
      </c>
      <c r="J255">
        <f t="shared" si="18"/>
        <v>4</v>
      </c>
      <c r="K255">
        <f t="shared" si="19"/>
        <v>2014</v>
      </c>
      <c r="M255">
        <v>6</v>
      </c>
      <c r="N255" t="str">
        <f>VLOOKUP(M255,'Cadastro Vendedores'!A:H,2,2)</f>
        <v>Antônia</v>
      </c>
      <c r="O255" s="2"/>
      <c r="P255" s="16">
        <v>2400</v>
      </c>
      <c r="Q255" s="2">
        <f>VLOOKUP(B255,'Cadastro Produtos'!A:F,5,2)</f>
        <v>7</v>
      </c>
      <c r="R255" s="14">
        <f t="shared" si="15"/>
        <v>16800</v>
      </c>
    </row>
    <row r="256" spans="1:18" x14ac:dyDescent="0.25">
      <c r="A256">
        <v>255</v>
      </c>
      <c r="B256">
        <v>8</v>
      </c>
      <c r="C256" t="str">
        <f>VLOOKUP(B256,'Cadastro Produtos'!A:E,2,2)</f>
        <v>Limonada Beta Zero 1 L</v>
      </c>
      <c r="D256">
        <v>17</v>
      </c>
      <c r="E256" t="str">
        <f>VLOOKUP(D256,'Cadatro Clientes'!A:O,2,2)</f>
        <v>Aracasuco</v>
      </c>
      <c r="F256" t="str">
        <f>VLOOKUP(D256,'Cadatro Clientes'!A:O,9,2)</f>
        <v>Nordeste</v>
      </c>
      <c r="G256" s="15">
        <v>41745</v>
      </c>
      <c r="H256">
        <f t="shared" si="16"/>
        <v>4</v>
      </c>
      <c r="I256">
        <f t="shared" si="17"/>
        <v>16</v>
      </c>
      <c r="J256">
        <f t="shared" si="18"/>
        <v>4</v>
      </c>
      <c r="K256">
        <f t="shared" si="19"/>
        <v>2014</v>
      </c>
      <c r="M256">
        <v>6</v>
      </c>
      <c r="N256" t="str">
        <f>VLOOKUP(M256,'Cadastro Vendedores'!A:H,2,2)</f>
        <v>Antônia</v>
      </c>
      <c r="O256" s="2"/>
      <c r="P256" s="16">
        <v>1600</v>
      </c>
      <c r="Q256" s="2">
        <f>VLOOKUP(B256,'Cadastro Produtos'!A:F,5,2)</f>
        <v>12</v>
      </c>
      <c r="R256" s="14">
        <f t="shared" si="15"/>
        <v>19200</v>
      </c>
    </row>
    <row r="257" spans="1:18" x14ac:dyDescent="0.25">
      <c r="A257">
        <v>256</v>
      </c>
      <c r="B257">
        <v>6</v>
      </c>
      <c r="C257" t="str">
        <f>VLOOKUP(B257,'Cadastro Produtos'!A:E,2,2)</f>
        <v>Limonada Beta com Açúcar 1 L</v>
      </c>
      <c r="D257">
        <v>16</v>
      </c>
      <c r="E257" t="str">
        <f>VLOOKUP(D257,'Cadatro Clientes'!A:O,2,2)</f>
        <v>Norte Suco</v>
      </c>
      <c r="F257" t="str">
        <f>VLOOKUP(D257,'Cadatro Clientes'!A:O,9,2)</f>
        <v>Nordeste</v>
      </c>
      <c r="G257" s="15">
        <v>41745</v>
      </c>
      <c r="H257">
        <f t="shared" si="16"/>
        <v>4</v>
      </c>
      <c r="I257">
        <f t="shared" si="17"/>
        <v>16</v>
      </c>
      <c r="J257">
        <f t="shared" si="18"/>
        <v>4</v>
      </c>
      <c r="K257">
        <f t="shared" si="19"/>
        <v>2014</v>
      </c>
      <c r="M257">
        <v>4</v>
      </c>
      <c r="N257" t="str">
        <f>VLOOKUP(M257,'Cadastro Vendedores'!A:H,2,2)</f>
        <v>José</v>
      </c>
      <c r="O257" s="2"/>
      <c r="P257" s="16">
        <v>2100</v>
      </c>
      <c r="Q257" s="2">
        <f>VLOOKUP(B257,'Cadastro Produtos'!A:F,5,2)</f>
        <v>12</v>
      </c>
      <c r="R257" s="14">
        <f t="shared" si="15"/>
        <v>25200</v>
      </c>
    </row>
    <row r="258" spans="1:18" x14ac:dyDescent="0.25">
      <c r="A258">
        <v>257</v>
      </c>
      <c r="B258">
        <v>5</v>
      </c>
      <c r="C258" t="str">
        <f>VLOOKUP(B258,'Cadastro Produtos'!A:E,2,2)</f>
        <v>Limonada Alfa com Açúcar 1 L</v>
      </c>
      <c r="D258">
        <v>7</v>
      </c>
      <c r="E258" t="str">
        <f>VLOOKUP(D258,'Cadatro Clientes'!A:O,2,2)</f>
        <v>Limo</v>
      </c>
      <c r="F258" t="str">
        <f>VLOOKUP(D258,'Cadatro Clientes'!A:O,9,2)</f>
        <v>Centro-Oeste</v>
      </c>
      <c r="G258" s="15">
        <v>41745</v>
      </c>
      <c r="H258">
        <f t="shared" si="16"/>
        <v>4</v>
      </c>
      <c r="I258">
        <f t="shared" si="17"/>
        <v>16</v>
      </c>
      <c r="J258">
        <f t="shared" si="18"/>
        <v>4</v>
      </c>
      <c r="K258">
        <f t="shared" si="19"/>
        <v>2014</v>
      </c>
      <c r="M258">
        <v>6</v>
      </c>
      <c r="N258" t="str">
        <f>VLOOKUP(M258,'Cadastro Vendedores'!A:H,2,2)</f>
        <v>Antônia</v>
      </c>
      <c r="O258" s="2"/>
      <c r="P258" s="16">
        <v>1800</v>
      </c>
      <c r="Q258" s="2">
        <f>VLOOKUP(B258,'Cadastro Produtos'!A:F,5,2)</f>
        <v>15</v>
      </c>
      <c r="R258" s="14">
        <f t="shared" ref="R258:R321" si="20">Q258*P258</f>
        <v>27000</v>
      </c>
    </row>
    <row r="259" spans="1:18" x14ac:dyDescent="0.25">
      <c r="A259">
        <v>258</v>
      </c>
      <c r="B259">
        <v>10</v>
      </c>
      <c r="C259" t="str">
        <f>VLOOKUP(B259,'Cadastro Produtos'!A:E,2,2)</f>
        <v>Limonada Alfa com Hortelã Zero 1 L</v>
      </c>
      <c r="D259">
        <v>9</v>
      </c>
      <c r="E259" t="str">
        <f>VLOOKUP(D259,'Cadatro Clientes'!A:O,2,2)</f>
        <v>Fresh Lemon</v>
      </c>
      <c r="F259" t="str">
        <f>VLOOKUP(D259,'Cadatro Clientes'!A:O,9,2)</f>
        <v>Sudeste</v>
      </c>
      <c r="G259" s="15">
        <v>41745</v>
      </c>
      <c r="H259">
        <f t="shared" ref="H259:H322" si="21">WEEKDAY(G259)</f>
        <v>4</v>
      </c>
      <c r="I259">
        <f t="shared" ref="I259:I322" si="22">DAY(G259)</f>
        <v>16</v>
      </c>
      <c r="J259">
        <f t="shared" ref="J259:J322" si="23">MONTH(G259)</f>
        <v>4</v>
      </c>
      <c r="K259">
        <f t="shared" ref="K259:K322" si="24">YEAR(G259)</f>
        <v>2014</v>
      </c>
      <c r="M259">
        <v>3</v>
      </c>
      <c r="N259" t="str">
        <f>VLOOKUP(M259,'Cadastro Vendedores'!A:H,2,2)</f>
        <v>Antônia</v>
      </c>
      <c r="O259" s="2"/>
      <c r="P259" s="16">
        <v>900</v>
      </c>
      <c r="Q259" s="2">
        <f>VLOOKUP(B259,'Cadastro Produtos'!A:F,5,2)</f>
        <v>21</v>
      </c>
      <c r="R259" s="14">
        <f t="shared" si="20"/>
        <v>18900</v>
      </c>
    </row>
    <row r="260" spans="1:18" x14ac:dyDescent="0.25">
      <c r="A260">
        <v>259</v>
      </c>
      <c r="B260">
        <v>10</v>
      </c>
      <c r="C260" t="str">
        <f>VLOOKUP(B260,'Cadastro Produtos'!A:E,2,2)</f>
        <v>Limonada Alfa com Hortelã Zero 1 L</v>
      </c>
      <c r="D260">
        <v>8</v>
      </c>
      <c r="E260" t="str">
        <f>VLOOKUP(D260,'Cadatro Clientes'!A:O,2,2)</f>
        <v>Refresko</v>
      </c>
      <c r="F260" t="str">
        <f>VLOOKUP(D260,'Cadatro Clientes'!A:O,9,2)</f>
        <v>Sul</v>
      </c>
      <c r="G260" s="15">
        <v>41745</v>
      </c>
      <c r="H260">
        <f t="shared" si="21"/>
        <v>4</v>
      </c>
      <c r="I260">
        <f t="shared" si="22"/>
        <v>16</v>
      </c>
      <c r="J260">
        <f t="shared" si="23"/>
        <v>4</v>
      </c>
      <c r="K260">
        <f t="shared" si="24"/>
        <v>2014</v>
      </c>
      <c r="M260">
        <v>3</v>
      </c>
      <c r="N260" t="str">
        <f>VLOOKUP(M260,'Cadastro Vendedores'!A:H,2,2)</f>
        <v>Antônia</v>
      </c>
      <c r="O260" s="2"/>
      <c r="P260" s="16">
        <v>600</v>
      </c>
      <c r="Q260" s="2">
        <f>VLOOKUP(B260,'Cadastro Produtos'!A:F,5,2)</f>
        <v>21</v>
      </c>
      <c r="R260" s="14">
        <f t="shared" si="20"/>
        <v>12600</v>
      </c>
    </row>
    <row r="261" spans="1:18" x14ac:dyDescent="0.25">
      <c r="A261">
        <v>260</v>
      </c>
      <c r="B261">
        <v>2</v>
      </c>
      <c r="C261" t="str">
        <f>VLOOKUP(B261,'Cadastro Produtos'!A:E,2,2)</f>
        <v>Limonada Beta com Açúcar 500 ml</v>
      </c>
      <c r="D261">
        <v>7</v>
      </c>
      <c r="E261" t="str">
        <f>VLOOKUP(D261,'Cadatro Clientes'!A:O,2,2)</f>
        <v>Limo</v>
      </c>
      <c r="F261" t="str">
        <f>VLOOKUP(D261,'Cadatro Clientes'!A:O,9,2)</f>
        <v>Centro-Oeste</v>
      </c>
      <c r="G261" s="15">
        <v>41746</v>
      </c>
      <c r="H261">
        <f t="shared" si="21"/>
        <v>5</v>
      </c>
      <c r="I261">
        <f t="shared" si="22"/>
        <v>17</v>
      </c>
      <c r="J261">
        <f t="shared" si="23"/>
        <v>4</v>
      </c>
      <c r="K261">
        <f t="shared" si="24"/>
        <v>2014</v>
      </c>
      <c r="M261">
        <v>7</v>
      </c>
      <c r="N261" t="str">
        <f>VLOOKUP(M261,'Cadastro Vendedores'!A:H,2,2)</f>
        <v>Benedito</v>
      </c>
      <c r="O261" s="2"/>
      <c r="P261" s="16">
        <v>5900</v>
      </c>
      <c r="Q261" s="2">
        <f>VLOOKUP(B261,'Cadastro Produtos'!A:F,5,2)</f>
        <v>6.5</v>
      </c>
      <c r="R261" s="14">
        <f t="shared" si="20"/>
        <v>38350</v>
      </c>
    </row>
    <row r="262" spans="1:18" x14ac:dyDescent="0.25">
      <c r="A262">
        <v>261</v>
      </c>
      <c r="B262">
        <v>1</v>
      </c>
      <c r="C262" t="str">
        <f>VLOOKUP(B262,'Cadastro Produtos'!A:E,2,2)</f>
        <v>Limonada Alfa com Açúcar 500 ml</v>
      </c>
      <c r="D262">
        <v>13</v>
      </c>
      <c r="E262" t="str">
        <f>VLOOKUP(D262,'Cadatro Clientes'!A:O,2,2)</f>
        <v>Monster Lemon</v>
      </c>
      <c r="F262" t="str">
        <f>VLOOKUP(D262,'Cadatro Clientes'!A:O,9,2)</f>
        <v>Nordeste</v>
      </c>
      <c r="G262" s="15">
        <v>41746</v>
      </c>
      <c r="H262">
        <f t="shared" si="21"/>
        <v>5</v>
      </c>
      <c r="I262">
        <f t="shared" si="22"/>
        <v>17</v>
      </c>
      <c r="J262">
        <f t="shared" si="23"/>
        <v>4</v>
      </c>
      <c r="K262">
        <f t="shared" si="24"/>
        <v>2014</v>
      </c>
      <c r="M262">
        <v>6</v>
      </c>
      <c r="N262" t="str">
        <f>VLOOKUP(M262,'Cadastro Vendedores'!A:H,2,2)</f>
        <v>Antônia</v>
      </c>
      <c r="O262" s="2"/>
      <c r="P262" s="16">
        <v>4100</v>
      </c>
      <c r="Q262" s="2">
        <f>VLOOKUP(B262,'Cadastro Produtos'!A:F,5,2)</f>
        <v>8.5</v>
      </c>
      <c r="R262" s="14">
        <f t="shared" si="20"/>
        <v>34850</v>
      </c>
    </row>
    <row r="263" spans="1:18" x14ac:dyDescent="0.25">
      <c r="A263">
        <v>262</v>
      </c>
      <c r="B263">
        <v>10</v>
      </c>
      <c r="C263" t="str">
        <f>VLOOKUP(B263,'Cadastro Produtos'!A:E,2,2)</f>
        <v>Limonada Alfa com Hortelã Zero 1 L</v>
      </c>
      <c r="D263">
        <v>11</v>
      </c>
      <c r="E263" t="str">
        <f>VLOOKUP(D263,'Cadatro Clientes'!A:O,2,2)</f>
        <v>Red Lemon</v>
      </c>
      <c r="F263" t="str">
        <f>VLOOKUP(D263,'Cadatro Clientes'!A:O,9,2)</f>
        <v>Sul</v>
      </c>
      <c r="G263" s="15">
        <v>41746</v>
      </c>
      <c r="H263">
        <f t="shared" si="21"/>
        <v>5</v>
      </c>
      <c r="I263">
        <f t="shared" si="22"/>
        <v>17</v>
      </c>
      <c r="J263">
        <f t="shared" si="23"/>
        <v>4</v>
      </c>
      <c r="K263">
        <f t="shared" si="24"/>
        <v>2014</v>
      </c>
      <c r="M263">
        <v>3</v>
      </c>
      <c r="N263" t="str">
        <f>VLOOKUP(M263,'Cadastro Vendedores'!A:H,2,2)</f>
        <v>Antônia</v>
      </c>
      <c r="O263" s="2"/>
      <c r="P263" s="16">
        <v>2300</v>
      </c>
      <c r="Q263" s="2">
        <f>VLOOKUP(B263,'Cadastro Produtos'!A:F,5,2)</f>
        <v>21</v>
      </c>
      <c r="R263" s="14">
        <f t="shared" si="20"/>
        <v>48300</v>
      </c>
    </row>
    <row r="264" spans="1:18" x14ac:dyDescent="0.25">
      <c r="A264">
        <v>263</v>
      </c>
      <c r="B264">
        <v>4</v>
      </c>
      <c r="C264" t="str">
        <f>VLOOKUP(B264,'Cadastro Produtos'!A:E,2,2)</f>
        <v>Limonada Beta Zero 500 ml</v>
      </c>
      <c r="D264">
        <v>1</v>
      </c>
      <c r="E264" t="str">
        <f>VLOOKUP(D264,'Cadatro Clientes'!A:O,2,2)</f>
        <v>Meu Suco de Limão</v>
      </c>
      <c r="F264" t="str">
        <f>VLOOKUP(D264,'Cadatro Clientes'!A:O,9,2)</f>
        <v>Norte</v>
      </c>
      <c r="G264" s="15">
        <v>41746</v>
      </c>
      <c r="H264">
        <f t="shared" si="21"/>
        <v>5</v>
      </c>
      <c r="I264">
        <f t="shared" si="22"/>
        <v>17</v>
      </c>
      <c r="J264">
        <f t="shared" si="23"/>
        <v>4</v>
      </c>
      <c r="K264">
        <f t="shared" si="24"/>
        <v>2014</v>
      </c>
      <c r="M264">
        <v>4</v>
      </c>
      <c r="N264" t="str">
        <f>VLOOKUP(M264,'Cadastro Vendedores'!A:H,2,2)</f>
        <v>José</v>
      </c>
      <c r="O264" s="2"/>
      <c r="P264" s="16">
        <v>2200</v>
      </c>
      <c r="Q264" s="2">
        <f>VLOOKUP(B264,'Cadastro Produtos'!A:F,5,2)</f>
        <v>7</v>
      </c>
      <c r="R264" s="14">
        <f t="shared" si="20"/>
        <v>15400</v>
      </c>
    </row>
    <row r="265" spans="1:18" x14ac:dyDescent="0.25">
      <c r="A265">
        <v>264</v>
      </c>
      <c r="B265">
        <v>3</v>
      </c>
      <c r="C265" t="str">
        <f>VLOOKUP(B265,'Cadastro Produtos'!A:E,2,2)</f>
        <v>Limonada Alfa Zero 500 ml</v>
      </c>
      <c r="D265">
        <v>16</v>
      </c>
      <c r="E265" t="str">
        <f>VLOOKUP(D265,'Cadatro Clientes'!A:O,2,2)</f>
        <v>Norte Suco</v>
      </c>
      <c r="F265" t="str">
        <f>VLOOKUP(D265,'Cadatro Clientes'!A:O,9,2)</f>
        <v>Nordeste</v>
      </c>
      <c r="G265" s="15">
        <v>41747</v>
      </c>
      <c r="H265">
        <f t="shared" si="21"/>
        <v>6</v>
      </c>
      <c r="I265">
        <f t="shared" si="22"/>
        <v>18</v>
      </c>
      <c r="J265">
        <f t="shared" si="23"/>
        <v>4</v>
      </c>
      <c r="K265">
        <f t="shared" si="24"/>
        <v>2014</v>
      </c>
      <c r="M265">
        <v>8</v>
      </c>
      <c r="N265" t="str">
        <f>VLOOKUP(M265,'Cadastro Vendedores'!A:H,2,2)</f>
        <v>Sérgio</v>
      </c>
      <c r="O265" s="2"/>
      <c r="P265" s="16">
        <v>4000</v>
      </c>
      <c r="Q265" s="2">
        <f>VLOOKUP(B265,'Cadastro Produtos'!A:F,5,2)</f>
        <v>9</v>
      </c>
      <c r="R265" s="14">
        <f t="shared" si="20"/>
        <v>36000</v>
      </c>
    </row>
    <row r="266" spans="1:18" x14ac:dyDescent="0.25">
      <c r="A266">
        <v>265</v>
      </c>
      <c r="B266">
        <v>4</v>
      </c>
      <c r="C266" t="str">
        <f>VLOOKUP(B266,'Cadastro Produtos'!A:E,2,2)</f>
        <v>Limonada Beta Zero 500 ml</v>
      </c>
      <c r="D266">
        <v>7</v>
      </c>
      <c r="E266" t="str">
        <f>VLOOKUP(D266,'Cadatro Clientes'!A:O,2,2)</f>
        <v>Limo</v>
      </c>
      <c r="F266" t="str">
        <f>VLOOKUP(D266,'Cadatro Clientes'!A:O,9,2)</f>
        <v>Centro-Oeste</v>
      </c>
      <c r="G266" s="15">
        <v>41747</v>
      </c>
      <c r="H266">
        <f t="shared" si="21"/>
        <v>6</v>
      </c>
      <c r="I266">
        <f t="shared" si="22"/>
        <v>18</v>
      </c>
      <c r="J266">
        <f t="shared" si="23"/>
        <v>4</v>
      </c>
      <c r="K266">
        <f t="shared" si="24"/>
        <v>2014</v>
      </c>
      <c r="M266">
        <v>2</v>
      </c>
      <c r="N266" t="str">
        <f>VLOOKUP(M266,'Cadastro Vendedores'!A:H,2,2)</f>
        <v>Luis</v>
      </c>
      <c r="O266" s="2"/>
      <c r="P266" s="16">
        <v>5800</v>
      </c>
      <c r="Q266" s="2">
        <f>VLOOKUP(B266,'Cadastro Produtos'!A:F,5,2)</f>
        <v>7</v>
      </c>
      <c r="R266" s="14">
        <f t="shared" si="20"/>
        <v>40600</v>
      </c>
    </row>
    <row r="267" spans="1:18" x14ac:dyDescent="0.25">
      <c r="A267">
        <v>266</v>
      </c>
      <c r="B267">
        <v>5</v>
      </c>
      <c r="C267" t="str">
        <f>VLOOKUP(B267,'Cadastro Produtos'!A:E,2,2)</f>
        <v>Limonada Alfa com Açúcar 1 L</v>
      </c>
      <c r="D267">
        <v>17</v>
      </c>
      <c r="E267" t="str">
        <f>VLOOKUP(D267,'Cadatro Clientes'!A:O,2,2)</f>
        <v>Aracasuco</v>
      </c>
      <c r="F267" t="str">
        <f>VLOOKUP(D267,'Cadatro Clientes'!A:O,9,2)</f>
        <v>Nordeste</v>
      </c>
      <c r="G267" s="15">
        <v>41747</v>
      </c>
      <c r="H267">
        <f t="shared" si="21"/>
        <v>6</v>
      </c>
      <c r="I267">
        <f t="shared" si="22"/>
        <v>18</v>
      </c>
      <c r="J267">
        <f t="shared" si="23"/>
        <v>4</v>
      </c>
      <c r="K267">
        <f t="shared" si="24"/>
        <v>2014</v>
      </c>
      <c r="M267">
        <v>4</v>
      </c>
      <c r="N267" t="str">
        <f>VLOOKUP(M267,'Cadastro Vendedores'!A:H,2,2)</f>
        <v>José</v>
      </c>
      <c r="O267" s="2"/>
      <c r="P267" s="16">
        <v>1100</v>
      </c>
      <c r="Q267" s="2">
        <f>VLOOKUP(B267,'Cadastro Produtos'!A:F,5,2)</f>
        <v>15</v>
      </c>
      <c r="R267" s="14">
        <f t="shared" si="20"/>
        <v>16500</v>
      </c>
    </row>
    <row r="268" spans="1:18" x14ac:dyDescent="0.25">
      <c r="A268">
        <v>267</v>
      </c>
      <c r="B268">
        <v>8</v>
      </c>
      <c r="C268" t="str">
        <f>VLOOKUP(B268,'Cadastro Produtos'!A:E,2,2)</f>
        <v>Limonada Beta Zero 1 L</v>
      </c>
      <c r="D268">
        <v>6</v>
      </c>
      <c r="E268" t="str">
        <f>VLOOKUP(D268,'Cadatro Clientes'!A:O,2,2)</f>
        <v>Lemonade</v>
      </c>
      <c r="F268" t="str">
        <f>VLOOKUP(D268,'Cadatro Clientes'!A:O,9,2)</f>
        <v>Norte</v>
      </c>
      <c r="G268" s="15">
        <v>41747</v>
      </c>
      <c r="H268">
        <f t="shared" si="21"/>
        <v>6</v>
      </c>
      <c r="I268">
        <f t="shared" si="22"/>
        <v>18</v>
      </c>
      <c r="J268">
        <f t="shared" si="23"/>
        <v>4</v>
      </c>
      <c r="K268">
        <f t="shared" si="24"/>
        <v>2014</v>
      </c>
      <c r="M268">
        <v>2</v>
      </c>
      <c r="N268" t="str">
        <f>VLOOKUP(M268,'Cadastro Vendedores'!A:H,2,2)</f>
        <v>Luis</v>
      </c>
      <c r="O268" s="2"/>
      <c r="P268" s="16">
        <v>2000</v>
      </c>
      <c r="Q268" s="2">
        <f>VLOOKUP(B268,'Cadastro Produtos'!A:F,5,2)</f>
        <v>12</v>
      </c>
      <c r="R268" s="14">
        <f t="shared" si="20"/>
        <v>24000</v>
      </c>
    </row>
    <row r="269" spans="1:18" x14ac:dyDescent="0.25">
      <c r="A269">
        <v>268</v>
      </c>
      <c r="B269">
        <v>10</v>
      </c>
      <c r="C269" t="str">
        <f>VLOOKUP(B269,'Cadastro Produtos'!A:E,2,2)</f>
        <v>Limonada Alfa com Hortelã Zero 1 L</v>
      </c>
      <c r="D269">
        <v>19</v>
      </c>
      <c r="E269" t="str">
        <f>VLOOKUP(D269,'Cadatro Clientes'!A:O,2,2)</f>
        <v>Lima Limão</v>
      </c>
      <c r="F269" t="str">
        <f>VLOOKUP(D269,'Cadatro Clientes'!A:O,9,2)</f>
        <v>Sudeste</v>
      </c>
      <c r="G269" s="15">
        <v>41747</v>
      </c>
      <c r="H269">
        <f t="shared" si="21"/>
        <v>6</v>
      </c>
      <c r="I269">
        <f t="shared" si="22"/>
        <v>18</v>
      </c>
      <c r="J269">
        <f t="shared" si="23"/>
        <v>4</v>
      </c>
      <c r="K269">
        <f t="shared" si="24"/>
        <v>2014</v>
      </c>
      <c r="M269">
        <v>3</v>
      </c>
      <c r="N269" t="str">
        <f>VLOOKUP(M269,'Cadastro Vendedores'!A:H,2,2)</f>
        <v>Antônia</v>
      </c>
      <c r="O269" s="2"/>
      <c r="P269" s="16">
        <v>1400</v>
      </c>
      <c r="Q269" s="2">
        <f>VLOOKUP(B269,'Cadastro Produtos'!A:F,5,2)</f>
        <v>21</v>
      </c>
      <c r="R269" s="14">
        <f t="shared" si="20"/>
        <v>29400</v>
      </c>
    </row>
    <row r="270" spans="1:18" x14ac:dyDescent="0.25">
      <c r="A270">
        <v>269</v>
      </c>
      <c r="B270">
        <v>1</v>
      </c>
      <c r="C270" t="str">
        <f>VLOOKUP(B270,'Cadastro Produtos'!A:E,2,2)</f>
        <v>Limonada Alfa com Açúcar 500 ml</v>
      </c>
      <c r="D270">
        <v>11</v>
      </c>
      <c r="E270" t="str">
        <f>VLOOKUP(D270,'Cadatro Clientes'!A:O,2,2)</f>
        <v>Red Lemon</v>
      </c>
      <c r="F270" t="str">
        <f>VLOOKUP(D270,'Cadatro Clientes'!A:O,9,2)</f>
        <v>Sul</v>
      </c>
      <c r="G270" s="15">
        <v>41747</v>
      </c>
      <c r="H270">
        <f t="shared" si="21"/>
        <v>6</v>
      </c>
      <c r="I270">
        <f t="shared" si="22"/>
        <v>18</v>
      </c>
      <c r="J270">
        <f t="shared" si="23"/>
        <v>4</v>
      </c>
      <c r="K270">
        <f t="shared" si="24"/>
        <v>2014</v>
      </c>
      <c r="M270">
        <v>7</v>
      </c>
      <c r="N270" t="str">
        <f>VLOOKUP(M270,'Cadastro Vendedores'!A:H,2,2)</f>
        <v>Benedito</v>
      </c>
      <c r="O270" s="2"/>
      <c r="P270" s="16">
        <v>5200</v>
      </c>
      <c r="Q270" s="2">
        <f>VLOOKUP(B270,'Cadastro Produtos'!A:F,5,2)</f>
        <v>8.5</v>
      </c>
      <c r="R270" s="14">
        <f t="shared" si="20"/>
        <v>44200</v>
      </c>
    </row>
    <row r="271" spans="1:18" x14ac:dyDescent="0.25">
      <c r="A271">
        <v>270</v>
      </c>
      <c r="B271">
        <v>7</v>
      </c>
      <c r="C271" t="str">
        <f>VLOOKUP(B271,'Cadastro Produtos'!A:E,2,2)</f>
        <v>Limonada Alfa Zero 1 L</v>
      </c>
      <c r="D271">
        <v>5</v>
      </c>
      <c r="E271" t="str">
        <f>VLOOKUP(D271,'Cadatro Clientes'!A:O,2,2)</f>
        <v>Axé com Limão</v>
      </c>
      <c r="F271" t="str">
        <f>VLOOKUP(D271,'Cadatro Clientes'!A:O,9,2)</f>
        <v>Nordeste</v>
      </c>
      <c r="G271" s="15">
        <v>41747</v>
      </c>
      <c r="H271">
        <f t="shared" si="21"/>
        <v>6</v>
      </c>
      <c r="I271">
        <f t="shared" si="22"/>
        <v>18</v>
      </c>
      <c r="J271">
        <f t="shared" si="23"/>
        <v>4</v>
      </c>
      <c r="K271">
        <f t="shared" si="24"/>
        <v>2014</v>
      </c>
      <c r="M271">
        <v>2</v>
      </c>
      <c r="N271" t="str">
        <f>VLOOKUP(M271,'Cadastro Vendedores'!A:H,2,2)</f>
        <v>Luis</v>
      </c>
      <c r="O271" s="2"/>
      <c r="P271" s="16">
        <v>1700</v>
      </c>
      <c r="Q271" s="2">
        <f>VLOOKUP(B271,'Cadastro Produtos'!A:F,5,2)</f>
        <v>15</v>
      </c>
      <c r="R271" s="14">
        <f t="shared" si="20"/>
        <v>25500</v>
      </c>
    </row>
    <row r="272" spans="1:18" x14ac:dyDescent="0.25">
      <c r="A272">
        <v>271</v>
      </c>
      <c r="B272">
        <v>8</v>
      </c>
      <c r="C272" t="str">
        <f>VLOOKUP(B272,'Cadastro Produtos'!A:E,2,2)</f>
        <v>Limonada Beta Zero 1 L</v>
      </c>
      <c r="D272">
        <v>5</v>
      </c>
      <c r="E272" t="str">
        <f>VLOOKUP(D272,'Cadatro Clientes'!A:O,2,2)</f>
        <v>Axé com Limão</v>
      </c>
      <c r="F272" t="str">
        <f>VLOOKUP(D272,'Cadatro Clientes'!A:O,9,2)</f>
        <v>Nordeste</v>
      </c>
      <c r="G272" s="15">
        <v>41748</v>
      </c>
      <c r="H272">
        <f t="shared" si="21"/>
        <v>7</v>
      </c>
      <c r="I272">
        <f t="shared" si="22"/>
        <v>19</v>
      </c>
      <c r="J272">
        <f t="shared" si="23"/>
        <v>4</v>
      </c>
      <c r="K272">
        <f t="shared" si="24"/>
        <v>2014</v>
      </c>
      <c r="M272">
        <v>4</v>
      </c>
      <c r="N272" t="str">
        <f>VLOOKUP(M272,'Cadastro Vendedores'!A:H,2,2)</f>
        <v>José</v>
      </c>
      <c r="O272" s="2"/>
      <c r="P272" s="16">
        <v>2000</v>
      </c>
      <c r="Q272" s="2">
        <f>VLOOKUP(B272,'Cadastro Produtos'!A:F,5,2)</f>
        <v>12</v>
      </c>
      <c r="R272" s="14">
        <f t="shared" si="20"/>
        <v>24000</v>
      </c>
    </row>
    <row r="273" spans="1:18" x14ac:dyDescent="0.25">
      <c r="A273">
        <v>272</v>
      </c>
      <c r="B273">
        <v>3</v>
      </c>
      <c r="C273" t="str">
        <f>VLOOKUP(B273,'Cadastro Produtos'!A:E,2,2)</f>
        <v>Limonada Alfa Zero 500 ml</v>
      </c>
      <c r="D273">
        <v>20</v>
      </c>
      <c r="E273" t="str">
        <f>VLOOKUP(D273,'Cadatro Clientes'!A:O,2,2)</f>
        <v>Brasil Saúde</v>
      </c>
      <c r="F273" t="str">
        <f>VLOOKUP(D273,'Cadatro Clientes'!A:O,9,2)</f>
        <v>Nordeste</v>
      </c>
      <c r="G273" s="15">
        <v>41748</v>
      </c>
      <c r="H273">
        <f t="shared" si="21"/>
        <v>7</v>
      </c>
      <c r="I273">
        <f t="shared" si="22"/>
        <v>19</v>
      </c>
      <c r="J273">
        <f t="shared" si="23"/>
        <v>4</v>
      </c>
      <c r="K273">
        <f t="shared" si="24"/>
        <v>2014</v>
      </c>
      <c r="M273">
        <v>3</v>
      </c>
      <c r="N273" t="str">
        <f>VLOOKUP(M273,'Cadastro Vendedores'!A:H,2,2)</f>
        <v>Antônia</v>
      </c>
      <c r="O273" s="2"/>
      <c r="P273" s="16">
        <v>2300</v>
      </c>
      <c r="Q273" s="2">
        <f>VLOOKUP(B273,'Cadastro Produtos'!A:F,5,2)</f>
        <v>9</v>
      </c>
      <c r="R273" s="14">
        <f t="shared" si="20"/>
        <v>20700</v>
      </c>
    </row>
    <row r="274" spans="1:18" x14ac:dyDescent="0.25">
      <c r="A274">
        <v>273</v>
      </c>
      <c r="B274">
        <v>10</v>
      </c>
      <c r="C274" t="str">
        <f>VLOOKUP(B274,'Cadastro Produtos'!A:E,2,2)</f>
        <v>Limonada Alfa com Hortelã Zero 1 L</v>
      </c>
      <c r="D274">
        <v>4</v>
      </c>
      <c r="E274" t="str">
        <f>VLOOKUP(D274,'Cadatro Clientes'!A:O,2,2)</f>
        <v>Limão Carioca e Cia</v>
      </c>
      <c r="F274" t="str">
        <f>VLOOKUP(D274,'Cadatro Clientes'!A:O,9,2)</f>
        <v>Sudeste</v>
      </c>
      <c r="G274" s="15">
        <v>41748</v>
      </c>
      <c r="H274">
        <f t="shared" si="21"/>
        <v>7</v>
      </c>
      <c r="I274">
        <f t="shared" si="22"/>
        <v>19</v>
      </c>
      <c r="J274">
        <f t="shared" si="23"/>
        <v>4</v>
      </c>
      <c r="K274">
        <f t="shared" si="24"/>
        <v>2014</v>
      </c>
      <c r="M274">
        <v>9</v>
      </c>
      <c r="N274" t="str">
        <f>VLOOKUP(M274,'Cadastro Vendedores'!A:H,2,2)</f>
        <v>Adriana</v>
      </c>
      <c r="O274" s="2"/>
      <c r="P274" s="16">
        <v>1900</v>
      </c>
      <c r="Q274" s="2">
        <f>VLOOKUP(B274,'Cadastro Produtos'!A:F,5,2)</f>
        <v>21</v>
      </c>
      <c r="R274" s="14">
        <f t="shared" si="20"/>
        <v>39900</v>
      </c>
    </row>
    <row r="275" spans="1:18" x14ac:dyDescent="0.25">
      <c r="A275">
        <v>274</v>
      </c>
      <c r="B275">
        <v>1</v>
      </c>
      <c r="C275" t="str">
        <f>VLOOKUP(B275,'Cadastro Produtos'!A:E,2,2)</f>
        <v>Limonada Alfa com Açúcar 500 ml</v>
      </c>
      <c r="D275">
        <v>11</v>
      </c>
      <c r="E275" t="str">
        <f>VLOOKUP(D275,'Cadatro Clientes'!A:O,2,2)</f>
        <v>Red Lemon</v>
      </c>
      <c r="F275" t="str">
        <f>VLOOKUP(D275,'Cadatro Clientes'!A:O,9,2)</f>
        <v>Sul</v>
      </c>
      <c r="G275" s="15">
        <v>41748</v>
      </c>
      <c r="H275">
        <f t="shared" si="21"/>
        <v>7</v>
      </c>
      <c r="I275">
        <f t="shared" si="22"/>
        <v>19</v>
      </c>
      <c r="J275">
        <f t="shared" si="23"/>
        <v>4</v>
      </c>
      <c r="K275">
        <f t="shared" si="24"/>
        <v>2014</v>
      </c>
      <c r="M275">
        <v>3</v>
      </c>
      <c r="N275" t="str">
        <f>VLOOKUP(M275,'Cadastro Vendedores'!A:H,2,2)</f>
        <v>Antônia</v>
      </c>
      <c r="O275" s="2"/>
      <c r="P275" s="16">
        <v>5300</v>
      </c>
      <c r="Q275" s="2">
        <f>VLOOKUP(B275,'Cadastro Produtos'!A:F,5,2)</f>
        <v>8.5</v>
      </c>
      <c r="R275" s="14">
        <f t="shared" si="20"/>
        <v>45050</v>
      </c>
    </row>
    <row r="276" spans="1:18" x14ac:dyDescent="0.25">
      <c r="A276">
        <v>275</v>
      </c>
      <c r="B276">
        <v>9</v>
      </c>
      <c r="C276" t="str">
        <f>VLOOKUP(B276,'Cadastro Produtos'!A:E,2,2)</f>
        <v>Limonada Alfa com Hortelã e Açúcar 1 L</v>
      </c>
      <c r="D276">
        <v>1</v>
      </c>
      <c r="E276" t="str">
        <f>VLOOKUP(D276,'Cadatro Clientes'!A:O,2,2)</f>
        <v>Meu Suco de Limão</v>
      </c>
      <c r="F276" t="str">
        <f>VLOOKUP(D276,'Cadatro Clientes'!A:O,9,2)</f>
        <v>Norte</v>
      </c>
      <c r="G276" s="15">
        <v>41749</v>
      </c>
      <c r="H276">
        <f t="shared" si="21"/>
        <v>1</v>
      </c>
      <c r="I276">
        <f t="shared" si="22"/>
        <v>20</v>
      </c>
      <c r="J276">
        <f t="shared" si="23"/>
        <v>4</v>
      </c>
      <c r="K276">
        <f t="shared" si="24"/>
        <v>2014</v>
      </c>
      <c r="M276">
        <v>2</v>
      </c>
      <c r="N276" t="str">
        <f>VLOOKUP(M276,'Cadastro Vendedores'!A:H,2,2)</f>
        <v>Luis</v>
      </c>
      <c r="O276" s="2"/>
      <c r="P276" s="16">
        <v>1200</v>
      </c>
      <c r="Q276" s="2">
        <f>VLOOKUP(B276,'Cadastro Produtos'!A:F,5,2)</f>
        <v>17.5</v>
      </c>
      <c r="R276" s="14">
        <f t="shared" si="20"/>
        <v>21000</v>
      </c>
    </row>
    <row r="277" spans="1:18" x14ac:dyDescent="0.25">
      <c r="A277">
        <v>276</v>
      </c>
      <c r="B277">
        <v>8</v>
      </c>
      <c r="C277" t="str">
        <f>VLOOKUP(B277,'Cadastro Produtos'!A:E,2,2)</f>
        <v>Limonada Beta Zero 1 L</v>
      </c>
      <c r="D277">
        <v>9</v>
      </c>
      <c r="E277" t="str">
        <f>VLOOKUP(D277,'Cadatro Clientes'!A:O,2,2)</f>
        <v>Fresh Lemon</v>
      </c>
      <c r="F277" t="str">
        <f>VLOOKUP(D277,'Cadatro Clientes'!A:O,9,2)</f>
        <v>Sudeste</v>
      </c>
      <c r="G277" s="15">
        <v>41749</v>
      </c>
      <c r="H277">
        <f t="shared" si="21"/>
        <v>1</v>
      </c>
      <c r="I277">
        <f t="shared" si="22"/>
        <v>20</v>
      </c>
      <c r="J277">
        <f t="shared" si="23"/>
        <v>4</v>
      </c>
      <c r="K277">
        <f t="shared" si="24"/>
        <v>2014</v>
      </c>
      <c r="M277">
        <v>3</v>
      </c>
      <c r="N277" t="str">
        <f>VLOOKUP(M277,'Cadastro Vendedores'!A:H,2,2)</f>
        <v>Antônia</v>
      </c>
      <c r="O277" s="2"/>
      <c r="P277" s="16">
        <v>3000</v>
      </c>
      <c r="Q277" s="2">
        <f>VLOOKUP(B277,'Cadastro Produtos'!A:F,5,2)</f>
        <v>12</v>
      </c>
      <c r="R277" s="14">
        <f t="shared" si="20"/>
        <v>36000</v>
      </c>
    </row>
    <row r="278" spans="1:18" x14ac:dyDescent="0.25">
      <c r="A278">
        <v>277</v>
      </c>
      <c r="B278">
        <v>1</v>
      </c>
      <c r="C278" t="str">
        <f>VLOOKUP(B278,'Cadastro Produtos'!A:E,2,2)</f>
        <v>Limonada Alfa com Açúcar 500 ml</v>
      </c>
      <c r="D278">
        <v>8</v>
      </c>
      <c r="E278" t="str">
        <f>VLOOKUP(D278,'Cadatro Clientes'!A:O,2,2)</f>
        <v>Refresko</v>
      </c>
      <c r="F278" t="str">
        <f>VLOOKUP(D278,'Cadatro Clientes'!A:O,9,2)</f>
        <v>Sul</v>
      </c>
      <c r="G278" s="15">
        <v>41750</v>
      </c>
      <c r="H278">
        <f t="shared" si="21"/>
        <v>2</v>
      </c>
      <c r="I278">
        <f t="shared" si="22"/>
        <v>21</v>
      </c>
      <c r="J278">
        <f t="shared" si="23"/>
        <v>4</v>
      </c>
      <c r="K278">
        <f t="shared" si="24"/>
        <v>2014</v>
      </c>
      <c r="M278">
        <v>2</v>
      </c>
      <c r="N278" t="str">
        <f>VLOOKUP(M278,'Cadastro Vendedores'!A:H,2,2)</f>
        <v>Luis</v>
      </c>
      <c r="O278" s="2"/>
      <c r="P278" s="16">
        <v>3400</v>
      </c>
      <c r="Q278" s="2">
        <f>VLOOKUP(B278,'Cadastro Produtos'!A:F,5,2)</f>
        <v>8.5</v>
      </c>
      <c r="R278" s="14">
        <f t="shared" si="20"/>
        <v>28900</v>
      </c>
    </row>
    <row r="279" spans="1:18" x14ac:dyDescent="0.25">
      <c r="A279">
        <v>278</v>
      </c>
      <c r="B279">
        <v>6</v>
      </c>
      <c r="C279" t="str">
        <f>VLOOKUP(B279,'Cadastro Produtos'!A:E,2,2)</f>
        <v>Limonada Beta com Açúcar 1 L</v>
      </c>
      <c r="D279">
        <v>5</v>
      </c>
      <c r="E279" t="str">
        <f>VLOOKUP(D279,'Cadatro Clientes'!A:O,2,2)</f>
        <v>Axé com Limão</v>
      </c>
      <c r="F279" t="str">
        <f>VLOOKUP(D279,'Cadatro Clientes'!A:O,9,2)</f>
        <v>Nordeste</v>
      </c>
      <c r="G279" s="15">
        <v>41750</v>
      </c>
      <c r="H279">
        <f t="shared" si="21"/>
        <v>2</v>
      </c>
      <c r="I279">
        <f t="shared" si="22"/>
        <v>21</v>
      </c>
      <c r="J279">
        <f t="shared" si="23"/>
        <v>4</v>
      </c>
      <c r="K279">
        <f t="shared" si="24"/>
        <v>2014</v>
      </c>
      <c r="M279">
        <v>7</v>
      </c>
      <c r="N279" t="str">
        <f>VLOOKUP(M279,'Cadastro Vendedores'!A:H,2,2)</f>
        <v>Benedito</v>
      </c>
      <c r="O279" s="2"/>
      <c r="P279" s="16">
        <v>2300</v>
      </c>
      <c r="Q279" s="2">
        <f>VLOOKUP(B279,'Cadastro Produtos'!A:F,5,2)</f>
        <v>12</v>
      </c>
      <c r="R279" s="14">
        <f t="shared" si="20"/>
        <v>27600</v>
      </c>
    </row>
    <row r="280" spans="1:18" x14ac:dyDescent="0.25">
      <c r="A280">
        <v>279</v>
      </c>
      <c r="B280">
        <v>7</v>
      </c>
      <c r="C280" t="str">
        <f>VLOOKUP(B280,'Cadastro Produtos'!A:E,2,2)</f>
        <v>Limonada Alfa Zero 1 L</v>
      </c>
      <c r="D280">
        <v>1</v>
      </c>
      <c r="E280" t="str">
        <f>VLOOKUP(D280,'Cadatro Clientes'!A:O,2,2)</f>
        <v>Meu Suco de Limão</v>
      </c>
      <c r="F280" t="str">
        <f>VLOOKUP(D280,'Cadatro Clientes'!A:O,9,2)</f>
        <v>Norte</v>
      </c>
      <c r="G280" s="15">
        <v>41750</v>
      </c>
      <c r="H280">
        <f t="shared" si="21"/>
        <v>2</v>
      </c>
      <c r="I280">
        <f t="shared" si="22"/>
        <v>21</v>
      </c>
      <c r="J280">
        <f t="shared" si="23"/>
        <v>4</v>
      </c>
      <c r="K280">
        <f t="shared" si="24"/>
        <v>2014</v>
      </c>
      <c r="M280">
        <v>3</v>
      </c>
      <c r="N280" t="str">
        <f>VLOOKUP(M280,'Cadastro Vendedores'!A:H,2,2)</f>
        <v>Antônia</v>
      </c>
      <c r="O280" s="2"/>
      <c r="P280" s="16">
        <v>1300</v>
      </c>
      <c r="Q280" s="2">
        <f>VLOOKUP(B280,'Cadastro Produtos'!A:F,5,2)</f>
        <v>15</v>
      </c>
      <c r="R280" s="14">
        <f t="shared" si="20"/>
        <v>19500</v>
      </c>
    </row>
    <row r="281" spans="1:18" x14ac:dyDescent="0.25">
      <c r="A281">
        <v>280</v>
      </c>
      <c r="B281">
        <v>7</v>
      </c>
      <c r="C281" t="str">
        <f>VLOOKUP(B281,'Cadastro Produtos'!A:E,2,2)</f>
        <v>Limonada Alfa Zero 1 L</v>
      </c>
      <c r="D281">
        <v>6</v>
      </c>
      <c r="E281" t="str">
        <f>VLOOKUP(D281,'Cadatro Clientes'!A:O,2,2)</f>
        <v>Lemonade</v>
      </c>
      <c r="F281" t="str">
        <f>VLOOKUP(D281,'Cadatro Clientes'!A:O,9,2)</f>
        <v>Norte</v>
      </c>
      <c r="G281" s="15">
        <v>41752</v>
      </c>
      <c r="H281">
        <f t="shared" si="21"/>
        <v>4</v>
      </c>
      <c r="I281">
        <f t="shared" si="22"/>
        <v>23</v>
      </c>
      <c r="J281">
        <f t="shared" si="23"/>
        <v>4</v>
      </c>
      <c r="K281">
        <f t="shared" si="24"/>
        <v>2014</v>
      </c>
      <c r="M281">
        <v>2</v>
      </c>
      <c r="N281" t="str">
        <f>VLOOKUP(M281,'Cadastro Vendedores'!A:H,2,2)</f>
        <v>Luis</v>
      </c>
      <c r="O281" s="2"/>
      <c r="P281" s="16">
        <v>1800</v>
      </c>
      <c r="Q281" s="2">
        <f>VLOOKUP(B281,'Cadastro Produtos'!A:F,5,2)</f>
        <v>15</v>
      </c>
      <c r="R281" s="14">
        <f t="shared" si="20"/>
        <v>27000</v>
      </c>
    </row>
    <row r="282" spans="1:18" x14ac:dyDescent="0.25">
      <c r="A282">
        <v>281</v>
      </c>
      <c r="B282">
        <v>4</v>
      </c>
      <c r="C282" t="str">
        <f>VLOOKUP(B282,'Cadastro Produtos'!A:E,2,2)</f>
        <v>Limonada Beta Zero 500 ml</v>
      </c>
      <c r="D282">
        <v>1</v>
      </c>
      <c r="E282" t="str">
        <f>VLOOKUP(D282,'Cadatro Clientes'!A:O,2,2)</f>
        <v>Meu Suco de Limão</v>
      </c>
      <c r="F282" t="str">
        <f>VLOOKUP(D282,'Cadatro Clientes'!A:O,9,2)</f>
        <v>Norte</v>
      </c>
      <c r="G282" s="15">
        <v>41752</v>
      </c>
      <c r="H282">
        <f t="shared" si="21"/>
        <v>4</v>
      </c>
      <c r="I282">
        <f t="shared" si="22"/>
        <v>23</v>
      </c>
      <c r="J282">
        <f t="shared" si="23"/>
        <v>4</v>
      </c>
      <c r="K282">
        <f t="shared" si="24"/>
        <v>2014</v>
      </c>
      <c r="M282">
        <v>2</v>
      </c>
      <c r="N282" t="str">
        <f>VLOOKUP(M282,'Cadastro Vendedores'!A:H,2,2)</f>
        <v>Luis</v>
      </c>
      <c r="O282" s="2"/>
      <c r="P282" s="16">
        <v>3200</v>
      </c>
      <c r="Q282" s="2">
        <f>VLOOKUP(B282,'Cadastro Produtos'!A:F,5,2)</f>
        <v>7</v>
      </c>
      <c r="R282" s="14">
        <f t="shared" si="20"/>
        <v>22400</v>
      </c>
    </row>
    <row r="283" spans="1:18" x14ac:dyDescent="0.25">
      <c r="A283">
        <v>282</v>
      </c>
      <c r="B283">
        <v>9</v>
      </c>
      <c r="C283" t="str">
        <f>VLOOKUP(B283,'Cadastro Produtos'!A:E,2,2)</f>
        <v>Limonada Alfa com Hortelã e Açúcar 1 L</v>
      </c>
      <c r="D283">
        <v>4</v>
      </c>
      <c r="E283" t="str">
        <f>VLOOKUP(D283,'Cadatro Clientes'!A:O,2,2)</f>
        <v>Limão Carioca e Cia</v>
      </c>
      <c r="F283" t="str">
        <f>VLOOKUP(D283,'Cadatro Clientes'!A:O,9,2)</f>
        <v>Sudeste</v>
      </c>
      <c r="G283" s="15">
        <v>41753</v>
      </c>
      <c r="H283">
        <f t="shared" si="21"/>
        <v>5</v>
      </c>
      <c r="I283">
        <f t="shared" si="22"/>
        <v>24</v>
      </c>
      <c r="J283">
        <f t="shared" si="23"/>
        <v>4</v>
      </c>
      <c r="K283">
        <f t="shared" si="24"/>
        <v>2014</v>
      </c>
      <c r="M283">
        <v>2</v>
      </c>
      <c r="N283" t="str">
        <f>VLOOKUP(M283,'Cadastro Vendedores'!A:H,2,2)</f>
        <v>Luis</v>
      </c>
      <c r="O283" s="2"/>
      <c r="P283" s="16">
        <v>2000</v>
      </c>
      <c r="Q283" s="2">
        <f>VLOOKUP(B283,'Cadastro Produtos'!A:F,5,2)</f>
        <v>17.5</v>
      </c>
      <c r="R283" s="14">
        <f t="shared" si="20"/>
        <v>35000</v>
      </c>
    </row>
    <row r="284" spans="1:18" x14ac:dyDescent="0.25">
      <c r="A284">
        <v>283</v>
      </c>
      <c r="B284">
        <v>6</v>
      </c>
      <c r="C284" t="str">
        <f>VLOOKUP(B284,'Cadastro Produtos'!A:E,2,2)</f>
        <v>Limonada Beta com Açúcar 1 L</v>
      </c>
      <c r="D284">
        <v>14</v>
      </c>
      <c r="E284" t="str">
        <f>VLOOKUP(D284,'Cadatro Clientes'!A:O,2,2)</f>
        <v>Sprite</v>
      </c>
      <c r="F284" t="str">
        <f>VLOOKUP(D284,'Cadatro Clientes'!A:O,9,2)</f>
        <v>Norte</v>
      </c>
      <c r="G284" s="15">
        <v>41753</v>
      </c>
      <c r="H284">
        <f t="shared" si="21"/>
        <v>5</v>
      </c>
      <c r="I284">
        <f t="shared" si="22"/>
        <v>24</v>
      </c>
      <c r="J284">
        <f t="shared" si="23"/>
        <v>4</v>
      </c>
      <c r="K284">
        <f t="shared" si="24"/>
        <v>2014</v>
      </c>
      <c r="M284">
        <v>7</v>
      </c>
      <c r="N284" t="str">
        <f>VLOOKUP(M284,'Cadastro Vendedores'!A:H,2,2)</f>
        <v>Benedito</v>
      </c>
      <c r="O284" s="2"/>
      <c r="P284" s="16">
        <v>2500</v>
      </c>
      <c r="Q284" s="2">
        <f>VLOOKUP(B284,'Cadastro Produtos'!A:F,5,2)</f>
        <v>12</v>
      </c>
      <c r="R284" s="14">
        <f t="shared" si="20"/>
        <v>30000</v>
      </c>
    </row>
    <row r="285" spans="1:18" x14ac:dyDescent="0.25">
      <c r="A285">
        <v>284</v>
      </c>
      <c r="B285">
        <v>6</v>
      </c>
      <c r="C285" t="str">
        <f>VLOOKUP(B285,'Cadastro Produtos'!A:E,2,2)</f>
        <v>Limonada Beta com Açúcar 1 L</v>
      </c>
      <c r="D285">
        <v>6</v>
      </c>
      <c r="E285" t="str">
        <f>VLOOKUP(D285,'Cadatro Clientes'!A:O,2,2)</f>
        <v>Lemonade</v>
      </c>
      <c r="F285" t="str">
        <f>VLOOKUP(D285,'Cadatro Clientes'!A:O,9,2)</f>
        <v>Norte</v>
      </c>
      <c r="G285" s="15">
        <v>41753</v>
      </c>
      <c r="H285">
        <f t="shared" si="21"/>
        <v>5</v>
      </c>
      <c r="I285">
        <f t="shared" si="22"/>
        <v>24</v>
      </c>
      <c r="J285">
        <f t="shared" si="23"/>
        <v>4</v>
      </c>
      <c r="K285">
        <f t="shared" si="24"/>
        <v>2014</v>
      </c>
      <c r="M285">
        <v>9</v>
      </c>
      <c r="N285" t="str">
        <f>VLOOKUP(M285,'Cadastro Vendedores'!A:H,2,2)</f>
        <v>Adriana</v>
      </c>
      <c r="O285" s="2"/>
      <c r="P285" s="16">
        <v>3800</v>
      </c>
      <c r="Q285" s="2">
        <f>VLOOKUP(B285,'Cadastro Produtos'!A:F,5,2)</f>
        <v>12</v>
      </c>
      <c r="R285" s="14">
        <f t="shared" si="20"/>
        <v>45600</v>
      </c>
    </row>
    <row r="286" spans="1:18" x14ac:dyDescent="0.25">
      <c r="A286">
        <v>285</v>
      </c>
      <c r="B286">
        <v>2</v>
      </c>
      <c r="C286" t="str">
        <f>VLOOKUP(B286,'Cadastro Produtos'!A:E,2,2)</f>
        <v>Limonada Beta com Açúcar 500 ml</v>
      </c>
      <c r="D286">
        <v>6</v>
      </c>
      <c r="E286" t="str">
        <f>VLOOKUP(D286,'Cadatro Clientes'!A:O,2,2)</f>
        <v>Lemonade</v>
      </c>
      <c r="F286" t="str">
        <f>VLOOKUP(D286,'Cadatro Clientes'!A:O,9,2)</f>
        <v>Norte</v>
      </c>
      <c r="G286" s="15">
        <v>41754</v>
      </c>
      <c r="H286">
        <f t="shared" si="21"/>
        <v>6</v>
      </c>
      <c r="I286">
        <f t="shared" si="22"/>
        <v>25</v>
      </c>
      <c r="J286">
        <f t="shared" si="23"/>
        <v>4</v>
      </c>
      <c r="K286">
        <f t="shared" si="24"/>
        <v>2014</v>
      </c>
      <c r="M286">
        <v>7</v>
      </c>
      <c r="N286" t="str">
        <f>VLOOKUP(M286,'Cadastro Vendedores'!A:H,2,2)</f>
        <v>Benedito</v>
      </c>
      <c r="O286" s="2"/>
      <c r="P286" s="16">
        <v>7200</v>
      </c>
      <c r="Q286" s="2">
        <f>VLOOKUP(B286,'Cadastro Produtos'!A:F,5,2)</f>
        <v>6.5</v>
      </c>
      <c r="R286" s="14">
        <f t="shared" si="20"/>
        <v>46800</v>
      </c>
    </row>
    <row r="287" spans="1:18" x14ac:dyDescent="0.25">
      <c r="A287">
        <v>286</v>
      </c>
      <c r="B287">
        <v>4</v>
      </c>
      <c r="C287" t="str">
        <f>VLOOKUP(B287,'Cadastro Produtos'!A:E,2,2)</f>
        <v>Limonada Beta Zero 500 ml</v>
      </c>
      <c r="D287">
        <v>9</v>
      </c>
      <c r="E287" t="str">
        <f>VLOOKUP(D287,'Cadatro Clientes'!A:O,2,2)</f>
        <v>Fresh Lemon</v>
      </c>
      <c r="F287" t="str">
        <f>VLOOKUP(D287,'Cadatro Clientes'!A:O,9,2)</f>
        <v>Sudeste</v>
      </c>
      <c r="G287" s="15">
        <v>41755</v>
      </c>
      <c r="H287">
        <f t="shared" si="21"/>
        <v>7</v>
      </c>
      <c r="I287">
        <f t="shared" si="22"/>
        <v>26</v>
      </c>
      <c r="J287">
        <f t="shared" si="23"/>
        <v>4</v>
      </c>
      <c r="K287">
        <f t="shared" si="24"/>
        <v>2014</v>
      </c>
      <c r="M287">
        <v>3</v>
      </c>
      <c r="N287" t="str">
        <f>VLOOKUP(M287,'Cadastro Vendedores'!A:H,2,2)</f>
        <v>Antônia</v>
      </c>
      <c r="O287" s="2"/>
      <c r="P287" s="16">
        <v>6200</v>
      </c>
      <c r="Q287" s="2">
        <f>VLOOKUP(B287,'Cadastro Produtos'!A:F,5,2)</f>
        <v>7</v>
      </c>
      <c r="R287" s="14">
        <f t="shared" si="20"/>
        <v>43400</v>
      </c>
    </row>
    <row r="288" spans="1:18" x14ac:dyDescent="0.25">
      <c r="A288">
        <v>287</v>
      </c>
      <c r="B288">
        <v>7</v>
      </c>
      <c r="C288" t="str">
        <f>VLOOKUP(B288,'Cadastro Produtos'!A:E,2,2)</f>
        <v>Limonada Alfa Zero 1 L</v>
      </c>
      <c r="D288">
        <v>6</v>
      </c>
      <c r="E288" t="str">
        <f>VLOOKUP(D288,'Cadatro Clientes'!A:O,2,2)</f>
        <v>Lemonade</v>
      </c>
      <c r="F288" t="str">
        <f>VLOOKUP(D288,'Cadatro Clientes'!A:O,9,2)</f>
        <v>Norte</v>
      </c>
      <c r="G288" s="15">
        <v>41755</v>
      </c>
      <c r="H288">
        <f t="shared" si="21"/>
        <v>7</v>
      </c>
      <c r="I288">
        <f t="shared" si="22"/>
        <v>26</v>
      </c>
      <c r="J288">
        <f t="shared" si="23"/>
        <v>4</v>
      </c>
      <c r="K288">
        <f t="shared" si="24"/>
        <v>2014</v>
      </c>
      <c r="M288">
        <v>4</v>
      </c>
      <c r="N288" t="str">
        <f>VLOOKUP(M288,'Cadastro Vendedores'!A:H,2,2)</f>
        <v>José</v>
      </c>
      <c r="O288" s="2"/>
      <c r="P288" s="16">
        <v>1300</v>
      </c>
      <c r="Q288" s="2">
        <f>VLOOKUP(B288,'Cadastro Produtos'!A:F,5,2)</f>
        <v>15</v>
      </c>
      <c r="R288" s="14">
        <f t="shared" si="20"/>
        <v>19500</v>
      </c>
    </row>
    <row r="289" spans="1:18" x14ac:dyDescent="0.25">
      <c r="A289">
        <v>288</v>
      </c>
      <c r="B289">
        <v>2</v>
      </c>
      <c r="C289" t="str">
        <f>VLOOKUP(B289,'Cadastro Produtos'!A:E,2,2)</f>
        <v>Limonada Beta com Açúcar 500 ml</v>
      </c>
      <c r="D289">
        <v>1</v>
      </c>
      <c r="E289" t="str">
        <f>VLOOKUP(D289,'Cadatro Clientes'!A:O,2,2)</f>
        <v>Meu Suco de Limão</v>
      </c>
      <c r="F289" t="str">
        <f>VLOOKUP(D289,'Cadatro Clientes'!A:O,9,2)</f>
        <v>Norte</v>
      </c>
      <c r="G289" s="15">
        <v>41756</v>
      </c>
      <c r="H289">
        <f t="shared" si="21"/>
        <v>1</v>
      </c>
      <c r="I289">
        <f t="shared" si="22"/>
        <v>27</v>
      </c>
      <c r="J289">
        <f t="shared" si="23"/>
        <v>4</v>
      </c>
      <c r="K289">
        <f t="shared" si="24"/>
        <v>2014</v>
      </c>
      <c r="M289">
        <v>3</v>
      </c>
      <c r="N289" t="str">
        <f>VLOOKUP(M289,'Cadastro Vendedores'!A:H,2,2)</f>
        <v>Antônia</v>
      </c>
      <c r="O289" s="2"/>
      <c r="P289" s="16">
        <v>5100</v>
      </c>
      <c r="Q289" s="2">
        <f>VLOOKUP(B289,'Cadastro Produtos'!A:F,5,2)</f>
        <v>6.5</v>
      </c>
      <c r="R289" s="14">
        <f t="shared" si="20"/>
        <v>33150</v>
      </c>
    </row>
    <row r="290" spans="1:18" x14ac:dyDescent="0.25">
      <c r="A290">
        <v>289</v>
      </c>
      <c r="B290">
        <v>6</v>
      </c>
      <c r="C290" t="str">
        <f>VLOOKUP(B290,'Cadastro Produtos'!A:E,2,2)</f>
        <v>Limonada Beta com Açúcar 1 L</v>
      </c>
      <c r="D290">
        <v>11</v>
      </c>
      <c r="E290" t="str">
        <f>VLOOKUP(D290,'Cadatro Clientes'!A:O,2,2)</f>
        <v>Red Lemon</v>
      </c>
      <c r="F290" t="str">
        <f>VLOOKUP(D290,'Cadatro Clientes'!A:O,9,2)</f>
        <v>Sul</v>
      </c>
      <c r="G290" s="15">
        <v>41756</v>
      </c>
      <c r="H290">
        <f t="shared" si="21"/>
        <v>1</v>
      </c>
      <c r="I290">
        <f t="shared" si="22"/>
        <v>27</v>
      </c>
      <c r="J290">
        <f t="shared" si="23"/>
        <v>4</v>
      </c>
      <c r="K290">
        <f t="shared" si="24"/>
        <v>2014</v>
      </c>
      <c r="M290">
        <v>9</v>
      </c>
      <c r="N290" t="str">
        <f>VLOOKUP(M290,'Cadastro Vendedores'!A:H,2,2)</f>
        <v>Adriana</v>
      </c>
      <c r="O290" s="2"/>
      <c r="P290" s="16">
        <v>1000</v>
      </c>
      <c r="Q290" s="2">
        <f>VLOOKUP(B290,'Cadastro Produtos'!A:F,5,2)</f>
        <v>12</v>
      </c>
      <c r="R290" s="14">
        <f t="shared" si="20"/>
        <v>12000</v>
      </c>
    </row>
    <row r="291" spans="1:18" x14ac:dyDescent="0.25">
      <c r="A291">
        <v>290</v>
      </c>
      <c r="B291">
        <v>6</v>
      </c>
      <c r="C291" t="str">
        <f>VLOOKUP(B291,'Cadastro Produtos'!A:E,2,2)</f>
        <v>Limonada Beta com Açúcar 1 L</v>
      </c>
      <c r="D291">
        <v>5</v>
      </c>
      <c r="E291" t="str">
        <f>VLOOKUP(D291,'Cadatro Clientes'!A:O,2,2)</f>
        <v>Axé com Limão</v>
      </c>
      <c r="F291" t="str">
        <f>VLOOKUP(D291,'Cadatro Clientes'!A:O,9,2)</f>
        <v>Nordeste</v>
      </c>
      <c r="G291" s="15">
        <v>41756</v>
      </c>
      <c r="H291">
        <f t="shared" si="21"/>
        <v>1</v>
      </c>
      <c r="I291">
        <f t="shared" si="22"/>
        <v>27</v>
      </c>
      <c r="J291">
        <f t="shared" si="23"/>
        <v>4</v>
      </c>
      <c r="K291">
        <f t="shared" si="24"/>
        <v>2014</v>
      </c>
      <c r="M291">
        <v>2</v>
      </c>
      <c r="N291" t="str">
        <f>VLOOKUP(M291,'Cadastro Vendedores'!A:H,2,2)</f>
        <v>Luis</v>
      </c>
      <c r="O291" s="2"/>
      <c r="P291" s="16">
        <v>3600</v>
      </c>
      <c r="Q291" s="2">
        <f>VLOOKUP(B291,'Cadastro Produtos'!A:F,5,2)</f>
        <v>12</v>
      </c>
      <c r="R291" s="14">
        <f t="shared" si="20"/>
        <v>43200</v>
      </c>
    </row>
    <row r="292" spans="1:18" x14ac:dyDescent="0.25">
      <c r="A292">
        <v>291</v>
      </c>
      <c r="B292">
        <v>8</v>
      </c>
      <c r="C292" t="str">
        <f>VLOOKUP(B292,'Cadastro Produtos'!A:E,2,2)</f>
        <v>Limonada Beta Zero 1 L</v>
      </c>
      <c r="D292">
        <v>8</v>
      </c>
      <c r="E292" t="str">
        <f>VLOOKUP(D292,'Cadatro Clientes'!A:O,2,2)</f>
        <v>Refresko</v>
      </c>
      <c r="F292" t="str">
        <f>VLOOKUP(D292,'Cadatro Clientes'!A:O,9,2)</f>
        <v>Sul</v>
      </c>
      <c r="G292" s="15">
        <v>41757</v>
      </c>
      <c r="H292">
        <f t="shared" si="21"/>
        <v>2</v>
      </c>
      <c r="I292">
        <f t="shared" si="22"/>
        <v>28</v>
      </c>
      <c r="J292">
        <f t="shared" si="23"/>
        <v>4</v>
      </c>
      <c r="K292">
        <f t="shared" si="24"/>
        <v>2014</v>
      </c>
      <c r="M292">
        <v>8</v>
      </c>
      <c r="N292" t="str">
        <f>VLOOKUP(M292,'Cadastro Vendedores'!A:H,2,2)</f>
        <v>Sérgio</v>
      </c>
      <c r="O292" s="2"/>
      <c r="P292" s="16">
        <v>2000</v>
      </c>
      <c r="Q292" s="2">
        <f>VLOOKUP(B292,'Cadastro Produtos'!A:F,5,2)</f>
        <v>12</v>
      </c>
      <c r="R292" s="14">
        <f t="shared" si="20"/>
        <v>24000</v>
      </c>
    </row>
    <row r="293" spans="1:18" x14ac:dyDescent="0.25">
      <c r="A293">
        <v>292</v>
      </c>
      <c r="B293">
        <v>3</v>
      </c>
      <c r="C293" t="str">
        <f>VLOOKUP(B293,'Cadastro Produtos'!A:E,2,2)</f>
        <v>Limonada Alfa Zero 500 ml</v>
      </c>
      <c r="D293">
        <v>20</v>
      </c>
      <c r="E293" t="str">
        <f>VLOOKUP(D293,'Cadatro Clientes'!A:O,2,2)</f>
        <v>Brasil Saúde</v>
      </c>
      <c r="F293" t="str">
        <f>VLOOKUP(D293,'Cadatro Clientes'!A:O,9,2)</f>
        <v>Nordeste</v>
      </c>
      <c r="G293" s="15">
        <v>41757</v>
      </c>
      <c r="H293">
        <f t="shared" si="21"/>
        <v>2</v>
      </c>
      <c r="I293">
        <f t="shared" si="22"/>
        <v>28</v>
      </c>
      <c r="J293">
        <f t="shared" si="23"/>
        <v>4</v>
      </c>
      <c r="K293">
        <f t="shared" si="24"/>
        <v>2014</v>
      </c>
      <c r="M293">
        <v>2</v>
      </c>
      <c r="N293" t="str">
        <f>VLOOKUP(M293,'Cadastro Vendedores'!A:H,2,2)</f>
        <v>Luis</v>
      </c>
      <c r="O293" s="2"/>
      <c r="P293" s="16">
        <v>6000</v>
      </c>
      <c r="Q293" s="2">
        <f>VLOOKUP(B293,'Cadastro Produtos'!A:F,5,2)</f>
        <v>9</v>
      </c>
      <c r="R293" s="14">
        <f t="shared" si="20"/>
        <v>54000</v>
      </c>
    </row>
    <row r="294" spans="1:18" x14ac:dyDescent="0.25">
      <c r="A294">
        <v>293</v>
      </c>
      <c r="B294">
        <v>2</v>
      </c>
      <c r="C294" t="str">
        <f>VLOOKUP(B294,'Cadastro Produtos'!A:E,2,2)</f>
        <v>Limonada Beta com Açúcar 500 ml</v>
      </c>
      <c r="D294">
        <v>9</v>
      </c>
      <c r="E294" t="str">
        <f>VLOOKUP(D294,'Cadatro Clientes'!A:O,2,2)</f>
        <v>Fresh Lemon</v>
      </c>
      <c r="F294" t="str">
        <f>VLOOKUP(D294,'Cadatro Clientes'!A:O,9,2)</f>
        <v>Sudeste</v>
      </c>
      <c r="G294" s="15">
        <v>41757</v>
      </c>
      <c r="H294">
        <f t="shared" si="21"/>
        <v>2</v>
      </c>
      <c r="I294">
        <f t="shared" si="22"/>
        <v>28</v>
      </c>
      <c r="J294">
        <f t="shared" si="23"/>
        <v>4</v>
      </c>
      <c r="K294">
        <f t="shared" si="24"/>
        <v>2014</v>
      </c>
      <c r="M294">
        <v>6</v>
      </c>
      <c r="N294" t="str">
        <f>VLOOKUP(M294,'Cadastro Vendedores'!A:H,2,2)</f>
        <v>Antônia</v>
      </c>
      <c r="O294" s="2"/>
      <c r="P294" s="16">
        <v>6200</v>
      </c>
      <c r="Q294" s="2">
        <f>VLOOKUP(B294,'Cadastro Produtos'!A:F,5,2)</f>
        <v>6.5</v>
      </c>
      <c r="R294" s="14">
        <f t="shared" si="20"/>
        <v>40300</v>
      </c>
    </row>
    <row r="295" spans="1:18" x14ac:dyDescent="0.25">
      <c r="A295">
        <v>294</v>
      </c>
      <c r="B295">
        <v>7</v>
      </c>
      <c r="C295" t="str">
        <f>VLOOKUP(B295,'Cadastro Produtos'!A:E,2,2)</f>
        <v>Limonada Alfa Zero 1 L</v>
      </c>
      <c r="D295">
        <v>5</v>
      </c>
      <c r="E295" t="str">
        <f>VLOOKUP(D295,'Cadatro Clientes'!A:O,2,2)</f>
        <v>Axé com Limão</v>
      </c>
      <c r="F295" t="str">
        <f>VLOOKUP(D295,'Cadatro Clientes'!A:O,9,2)</f>
        <v>Nordeste</v>
      </c>
      <c r="G295" s="15">
        <v>41757</v>
      </c>
      <c r="H295">
        <f t="shared" si="21"/>
        <v>2</v>
      </c>
      <c r="I295">
        <f t="shared" si="22"/>
        <v>28</v>
      </c>
      <c r="J295">
        <f t="shared" si="23"/>
        <v>4</v>
      </c>
      <c r="K295">
        <f t="shared" si="24"/>
        <v>2014</v>
      </c>
      <c r="M295">
        <v>6</v>
      </c>
      <c r="N295" t="str">
        <f>VLOOKUP(M295,'Cadastro Vendedores'!A:H,2,2)</f>
        <v>Antônia</v>
      </c>
      <c r="O295" s="2"/>
      <c r="P295" s="16">
        <v>2500</v>
      </c>
      <c r="Q295" s="2">
        <f>VLOOKUP(B295,'Cadastro Produtos'!A:F,5,2)</f>
        <v>15</v>
      </c>
      <c r="R295" s="14">
        <f t="shared" si="20"/>
        <v>37500</v>
      </c>
    </row>
    <row r="296" spans="1:18" x14ac:dyDescent="0.25">
      <c r="A296">
        <v>295</v>
      </c>
      <c r="B296">
        <v>10</v>
      </c>
      <c r="C296" t="str">
        <f>VLOOKUP(B296,'Cadastro Produtos'!A:E,2,2)</f>
        <v>Limonada Alfa com Hortelã Zero 1 L</v>
      </c>
      <c r="D296">
        <v>11</v>
      </c>
      <c r="E296" t="str">
        <f>VLOOKUP(D296,'Cadatro Clientes'!A:O,2,2)</f>
        <v>Red Lemon</v>
      </c>
      <c r="F296" t="str">
        <f>VLOOKUP(D296,'Cadatro Clientes'!A:O,9,2)</f>
        <v>Sul</v>
      </c>
      <c r="G296" s="15">
        <v>41757</v>
      </c>
      <c r="H296">
        <f t="shared" si="21"/>
        <v>2</v>
      </c>
      <c r="I296">
        <f t="shared" si="22"/>
        <v>28</v>
      </c>
      <c r="J296">
        <f t="shared" si="23"/>
        <v>4</v>
      </c>
      <c r="K296">
        <f t="shared" si="24"/>
        <v>2014</v>
      </c>
      <c r="M296">
        <v>7</v>
      </c>
      <c r="N296" t="str">
        <f>VLOOKUP(M296,'Cadastro Vendedores'!A:H,2,2)</f>
        <v>Benedito</v>
      </c>
      <c r="O296" s="2"/>
      <c r="P296" s="16">
        <v>1800</v>
      </c>
      <c r="Q296" s="2">
        <f>VLOOKUP(B296,'Cadastro Produtos'!A:F,5,2)</f>
        <v>21</v>
      </c>
      <c r="R296" s="14">
        <f t="shared" si="20"/>
        <v>37800</v>
      </c>
    </row>
    <row r="297" spans="1:18" x14ac:dyDescent="0.25">
      <c r="A297">
        <v>296</v>
      </c>
      <c r="B297">
        <v>5</v>
      </c>
      <c r="C297" t="str">
        <f>VLOOKUP(B297,'Cadastro Produtos'!A:E,2,2)</f>
        <v>Limonada Alfa com Açúcar 1 L</v>
      </c>
      <c r="D297">
        <v>2</v>
      </c>
      <c r="E297" t="str">
        <f>VLOOKUP(D297,'Cadatro Clientes'!A:O,2,2)</f>
        <v>Limão S/A</v>
      </c>
      <c r="F297" t="str">
        <f>VLOOKUP(D297,'Cadatro Clientes'!A:O,9,2)</f>
        <v>Centro-Oeste</v>
      </c>
      <c r="G297" s="15">
        <v>41758</v>
      </c>
      <c r="H297">
        <f t="shared" si="21"/>
        <v>3</v>
      </c>
      <c r="I297">
        <f t="shared" si="22"/>
        <v>29</v>
      </c>
      <c r="J297">
        <f t="shared" si="23"/>
        <v>4</v>
      </c>
      <c r="K297">
        <f t="shared" si="24"/>
        <v>2014</v>
      </c>
      <c r="M297">
        <v>6</v>
      </c>
      <c r="N297" t="str">
        <f>VLOOKUP(M297,'Cadastro Vendedores'!A:H,2,2)</f>
        <v>Antônia</v>
      </c>
      <c r="O297" s="2"/>
      <c r="P297" s="16">
        <v>700</v>
      </c>
      <c r="Q297" s="2">
        <f>VLOOKUP(B297,'Cadastro Produtos'!A:F,5,2)</f>
        <v>15</v>
      </c>
      <c r="R297" s="14">
        <f t="shared" si="20"/>
        <v>10500</v>
      </c>
    </row>
    <row r="298" spans="1:18" x14ac:dyDescent="0.25">
      <c r="A298">
        <v>297</v>
      </c>
      <c r="B298">
        <v>1</v>
      </c>
      <c r="C298" t="str">
        <f>VLOOKUP(B298,'Cadastro Produtos'!A:E,2,2)</f>
        <v>Limonada Alfa com Açúcar 500 ml</v>
      </c>
      <c r="D298">
        <v>9</v>
      </c>
      <c r="E298" t="str">
        <f>VLOOKUP(D298,'Cadatro Clientes'!A:O,2,2)</f>
        <v>Fresh Lemon</v>
      </c>
      <c r="F298" t="str">
        <f>VLOOKUP(D298,'Cadatro Clientes'!A:O,9,2)</f>
        <v>Sudeste</v>
      </c>
      <c r="G298" s="15">
        <v>41758</v>
      </c>
      <c r="H298">
        <f t="shared" si="21"/>
        <v>3</v>
      </c>
      <c r="I298">
        <f t="shared" si="22"/>
        <v>29</v>
      </c>
      <c r="J298">
        <f t="shared" si="23"/>
        <v>4</v>
      </c>
      <c r="K298">
        <f t="shared" si="24"/>
        <v>2014</v>
      </c>
      <c r="M298">
        <v>2</v>
      </c>
      <c r="N298" t="str">
        <f>VLOOKUP(M298,'Cadastro Vendedores'!A:H,2,2)</f>
        <v>Luis</v>
      </c>
      <c r="O298" s="2"/>
      <c r="P298" s="16">
        <v>2800</v>
      </c>
      <c r="Q298" s="2">
        <f>VLOOKUP(B298,'Cadastro Produtos'!A:F,5,2)</f>
        <v>8.5</v>
      </c>
      <c r="R298" s="14">
        <f t="shared" si="20"/>
        <v>23800</v>
      </c>
    </row>
    <row r="299" spans="1:18" x14ac:dyDescent="0.25">
      <c r="A299">
        <v>298</v>
      </c>
      <c r="B299">
        <v>4</v>
      </c>
      <c r="C299" t="str">
        <f>VLOOKUP(B299,'Cadastro Produtos'!A:E,2,2)</f>
        <v>Limonada Beta Zero 500 ml</v>
      </c>
      <c r="D299">
        <v>5</v>
      </c>
      <c r="E299" t="str">
        <f>VLOOKUP(D299,'Cadatro Clientes'!A:O,2,2)</f>
        <v>Axé com Limão</v>
      </c>
      <c r="F299" t="str">
        <f>VLOOKUP(D299,'Cadatro Clientes'!A:O,9,2)</f>
        <v>Nordeste</v>
      </c>
      <c r="G299" s="15">
        <v>41759</v>
      </c>
      <c r="H299">
        <f t="shared" si="21"/>
        <v>4</v>
      </c>
      <c r="I299">
        <f t="shared" si="22"/>
        <v>30</v>
      </c>
      <c r="J299">
        <f t="shared" si="23"/>
        <v>4</v>
      </c>
      <c r="K299">
        <f t="shared" si="24"/>
        <v>2014</v>
      </c>
      <c r="M299">
        <v>8</v>
      </c>
      <c r="N299" t="str">
        <f>VLOOKUP(M299,'Cadastro Vendedores'!A:H,2,2)</f>
        <v>Sérgio</v>
      </c>
      <c r="O299" s="2"/>
      <c r="P299" s="16">
        <v>7100</v>
      </c>
      <c r="Q299" s="2">
        <f>VLOOKUP(B299,'Cadastro Produtos'!A:F,5,2)</f>
        <v>7</v>
      </c>
      <c r="R299" s="14">
        <f t="shared" si="20"/>
        <v>49700</v>
      </c>
    </row>
    <row r="300" spans="1:18" x14ac:dyDescent="0.25">
      <c r="A300">
        <v>299</v>
      </c>
      <c r="B300">
        <v>10</v>
      </c>
      <c r="C300" t="str">
        <f>VLOOKUP(B300,'Cadastro Produtos'!A:E,2,2)</f>
        <v>Limonada Alfa com Hortelã Zero 1 L</v>
      </c>
      <c r="D300">
        <v>9</v>
      </c>
      <c r="E300" t="str">
        <f>VLOOKUP(D300,'Cadatro Clientes'!A:O,2,2)</f>
        <v>Fresh Lemon</v>
      </c>
      <c r="F300" t="str">
        <f>VLOOKUP(D300,'Cadatro Clientes'!A:O,9,2)</f>
        <v>Sudeste</v>
      </c>
      <c r="G300" s="15">
        <v>41760</v>
      </c>
      <c r="H300">
        <f t="shared" si="21"/>
        <v>5</v>
      </c>
      <c r="I300">
        <f t="shared" si="22"/>
        <v>1</v>
      </c>
      <c r="J300">
        <f t="shared" si="23"/>
        <v>5</v>
      </c>
      <c r="K300">
        <f t="shared" si="24"/>
        <v>2014</v>
      </c>
      <c r="M300">
        <v>3</v>
      </c>
      <c r="N300" t="str">
        <f>VLOOKUP(M300,'Cadastro Vendedores'!A:H,2,2)</f>
        <v>Antônia</v>
      </c>
      <c r="O300" s="2"/>
      <c r="P300" s="16">
        <v>1000</v>
      </c>
      <c r="Q300" s="2">
        <f>VLOOKUP(B300,'Cadastro Produtos'!A:F,5,2)</f>
        <v>21</v>
      </c>
      <c r="R300" s="14">
        <f t="shared" si="20"/>
        <v>21000</v>
      </c>
    </row>
    <row r="301" spans="1:18" x14ac:dyDescent="0.25">
      <c r="A301">
        <v>300</v>
      </c>
      <c r="B301">
        <v>4</v>
      </c>
      <c r="C301" t="str">
        <f>VLOOKUP(B301,'Cadastro Produtos'!A:E,2,2)</f>
        <v>Limonada Beta Zero 500 ml</v>
      </c>
      <c r="D301">
        <v>4</v>
      </c>
      <c r="E301" t="str">
        <f>VLOOKUP(D301,'Cadatro Clientes'!A:O,2,2)</f>
        <v>Limão Carioca e Cia</v>
      </c>
      <c r="F301" t="str">
        <f>VLOOKUP(D301,'Cadatro Clientes'!A:O,9,2)</f>
        <v>Sudeste</v>
      </c>
      <c r="G301" s="15">
        <v>41761</v>
      </c>
      <c r="H301">
        <f t="shared" si="21"/>
        <v>6</v>
      </c>
      <c r="I301">
        <f t="shared" si="22"/>
        <v>2</v>
      </c>
      <c r="J301">
        <f t="shared" si="23"/>
        <v>5</v>
      </c>
      <c r="K301">
        <f t="shared" si="24"/>
        <v>2014</v>
      </c>
      <c r="M301">
        <v>2</v>
      </c>
      <c r="N301" t="str">
        <f>VLOOKUP(M301,'Cadastro Vendedores'!A:H,2,2)</f>
        <v>Luis</v>
      </c>
      <c r="O301" s="2"/>
      <c r="P301" s="16">
        <v>5100</v>
      </c>
      <c r="Q301" s="2">
        <f>VLOOKUP(B301,'Cadastro Produtos'!A:F,5,2)</f>
        <v>7</v>
      </c>
      <c r="R301" s="14">
        <f t="shared" si="20"/>
        <v>35700</v>
      </c>
    </row>
    <row r="302" spans="1:18" x14ac:dyDescent="0.25">
      <c r="A302">
        <v>301</v>
      </c>
      <c r="B302">
        <v>7</v>
      </c>
      <c r="C302" t="str">
        <f>VLOOKUP(B302,'Cadastro Produtos'!A:E,2,2)</f>
        <v>Limonada Alfa Zero 1 L</v>
      </c>
      <c r="D302">
        <v>8</v>
      </c>
      <c r="E302" t="str">
        <f>VLOOKUP(D302,'Cadatro Clientes'!A:O,2,2)</f>
        <v>Refresko</v>
      </c>
      <c r="F302" t="str">
        <f>VLOOKUP(D302,'Cadatro Clientes'!A:O,9,2)</f>
        <v>Sul</v>
      </c>
      <c r="G302" s="15">
        <v>41762</v>
      </c>
      <c r="H302">
        <f t="shared" si="21"/>
        <v>7</v>
      </c>
      <c r="I302">
        <f t="shared" si="22"/>
        <v>3</v>
      </c>
      <c r="J302">
        <f t="shared" si="23"/>
        <v>5</v>
      </c>
      <c r="K302">
        <f t="shared" si="24"/>
        <v>2014</v>
      </c>
      <c r="M302">
        <v>7</v>
      </c>
      <c r="N302" t="str">
        <f>VLOOKUP(M302,'Cadastro Vendedores'!A:H,2,2)</f>
        <v>Benedito</v>
      </c>
      <c r="O302" s="2"/>
      <c r="P302" s="16">
        <v>2900</v>
      </c>
      <c r="Q302" s="2">
        <f>VLOOKUP(B302,'Cadastro Produtos'!A:F,5,2)</f>
        <v>15</v>
      </c>
      <c r="R302" s="14">
        <f t="shared" si="20"/>
        <v>43500</v>
      </c>
    </row>
    <row r="303" spans="1:18" x14ac:dyDescent="0.25">
      <c r="A303">
        <v>302</v>
      </c>
      <c r="B303">
        <v>8</v>
      </c>
      <c r="C303" t="str">
        <f>VLOOKUP(B303,'Cadastro Produtos'!A:E,2,2)</f>
        <v>Limonada Beta Zero 1 L</v>
      </c>
      <c r="D303">
        <v>9</v>
      </c>
      <c r="E303" t="str">
        <f>VLOOKUP(D303,'Cadatro Clientes'!A:O,2,2)</f>
        <v>Fresh Lemon</v>
      </c>
      <c r="F303" t="str">
        <f>VLOOKUP(D303,'Cadatro Clientes'!A:O,9,2)</f>
        <v>Sudeste</v>
      </c>
      <c r="G303" s="15">
        <v>41762</v>
      </c>
      <c r="H303">
        <f t="shared" si="21"/>
        <v>7</v>
      </c>
      <c r="I303">
        <f t="shared" si="22"/>
        <v>3</v>
      </c>
      <c r="J303">
        <f t="shared" si="23"/>
        <v>5</v>
      </c>
      <c r="K303">
        <f t="shared" si="24"/>
        <v>2014</v>
      </c>
      <c r="M303">
        <v>7</v>
      </c>
      <c r="N303" t="str">
        <f>VLOOKUP(M303,'Cadastro Vendedores'!A:H,2,2)</f>
        <v>Benedito</v>
      </c>
      <c r="O303" s="2"/>
      <c r="P303" s="16">
        <v>3100</v>
      </c>
      <c r="Q303" s="2">
        <f>VLOOKUP(B303,'Cadastro Produtos'!A:F,5,2)</f>
        <v>12</v>
      </c>
      <c r="R303" s="14">
        <f t="shared" si="20"/>
        <v>37200</v>
      </c>
    </row>
    <row r="304" spans="1:18" x14ac:dyDescent="0.25">
      <c r="A304">
        <v>303</v>
      </c>
      <c r="B304">
        <v>10</v>
      </c>
      <c r="C304" t="str">
        <f>VLOOKUP(B304,'Cadastro Produtos'!A:E,2,2)</f>
        <v>Limonada Alfa com Hortelã Zero 1 L</v>
      </c>
      <c r="D304">
        <v>7</v>
      </c>
      <c r="E304" t="str">
        <f>VLOOKUP(D304,'Cadatro Clientes'!A:O,2,2)</f>
        <v>Limo</v>
      </c>
      <c r="F304" t="str">
        <f>VLOOKUP(D304,'Cadatro Clientes'!A:O,9,2)</f>
        <v>Centro-Oeste</v>
      </c>
      <c r="G304" s="15">
        <v>41763</v>
      </c>
      <c r="H304">
        <f t="shared" si="21"/>
        <v>1</v>
      </c>
      <c r="I304">
        <f t="shared" si="22"/>
        <v>4</v>
      </c>
      <c r="J304">
        <f t="shared" si="23"/>
        <v>5</v>
      </c>
      <c r="K304">
        <f t="shared" si="24"/>
        <v>2014</v>
      </c>
      <c r="M304">
        <v>9</v>
      </c>
      <c r="N304" t="str">
        <f>VLOOKUP(M304,'Cadastro Vendedores'!A:H,2,2)</f>
        <v>Adriana</v>
      </c>
      <c r="O304" s="2"/>
      <c r="P304" s="16">
        <v>1900</v>
      </c>
      <c r="Q304" s="2">
        <f>VLOOKUP(B304,'Cadastro Produtos'!A:F,5,2)</f>
        <v>21</v>
      </c>
      <c r="R304" s="14">
        <f t="shared" si="20"/>
        <v>39900</v>
      </c>
    </row>
    <row r="305" spans="1:18" x14ac:dyDescent="0.25">
      <c r="A305">
        <v>304</v>
      </c>
      <c r="B305">
        <v>1</v>
      </c>
      <c r="C305" t="str">
        <f>VLOOKUP(B305,'Cadastro Produtos'!A:E,2,2)</f>
        <v>Limonada Alfa com Açúcar 500 ml</v>
      </c>
      <c r="D305">
        <v>19</v>
      </c>
      <c r="E305" t="str">
        <f>VLOOKUP(D305,'Cadatro Clientes'!A:O,2,2)</f>
        <v>Lima Limão</v>
      </c>
      <c r="F305" t="str">
        <f>VLOOKUP(D305,'Cadatro Clientes'!A:O,9,2)</f>
        <v>Sudeste</v>
      </c>
      <c r="G305" s="15">
        <v>41763</v>
      </c>
      <c r="H305">
        <f t="shared" si="21"/>
        <v>1</v>
      </c>
      <c r="I305">
        <f t="shared" si="22"/>
        <v>4</v>
      </c>
      <c r="J305">
        <f t="shared" si="23"/>
        <v>5</v>
      </c>
      <c r="K305">
        <f t="shared" si="24"/>
        <v>2014</v>
      </c>
      <c r="M305">
        <v>3</v>
      </c>
      <c r="N305" t="str">
        <f>VLOOKUP(M305,'Cadastro Vendedores'!A:H,2,2)</f>
        <v>Antônia</v>
      </c>
      <c r="O305" s="2"/>
      <c r="P305" s="16">
        <v>4500</v>
      </c>
      <c r="Q305" s="2">
        <f>VLOOKUP(B305,'Cadastro Produtos'!A:F,5,2)</f>
        <v>8.5</v>
      </c>
      <c r="R305" s="14">
        <f t="shared" si="20"/>
        <v>38250</v>
      </c>
    </row>
    <row r="306" spans="1:18" x14ac:dyDescent="0.25">
      <c r="A306">
        <v>305</v>
      </c>
      <c r="B306">
        <v>9</v>
      </c>
      <c r="C306" t="str">
        <f>VLOOKUP(B306,'Cadastro Produtos'!A:E,2,2)</f>
        <v>Limonada Alfa com Hortelã e Açúcar 1 L</v>
      </c>
      <c r="D306">
        <v>5</v>
      </c>
      <c r="E306" t="str">
        <f>VLOOKUP(D306,'Cadatro Clientes'!A:O,2,2)</f>
        <v>Axé com Limão</v>
      </c>
      <c r="F306" t="str">
        <f>VLOOKUP(D306,'Cadatro Clientes'!A:O,9,2)</f>
        <v>Nordeste</v>
      </c>
      <c r="G306" s="15">
        <v>41764</v>
      </c>
      <c r="H306">
        <f t="shared" si="21"/>
        <v>2</v>
      </c>
      <c r="I306">
        <f t="shared" si="22"/>
        <v>5</v>
      </c>
      <c r="J306">
        <f t="shared" si="23"/>
        <v>5</v>
      </c>
      <c r="K306">
        <f t="shared" si="24"/>
        <v>2014</v>
      </c>
      <c r="M306">
        <v>4</v>
      </c>
      <c r="N306" t="str">
        <f>VLOOKUP(M306,'Cadastro Vendedores'!A:H,2,2)</f>
        <v>José</v>
      </c>
      <c r="O306" s="2"/>
      <c r="P306" s="16">
        <v>1200</v>
      </c>
      <c r="Q306" s="2">
        <f>VLOOKUP(B306,'Cadastro Produtos'!A:F,5,2)</f>
        <v>17.5</v>
      </c>
      <c r="R306" s="14">
        <f t="shared" si="20"/>
        <v>21000</v>
      </c>
    </row>
    <row r="307" spans="1:18" x14ac:dyDescent="0.25">
      <c r="A307">
        <v>306</v>
      </c>
      <c r="B307">
        <v>2</v>
      </c>
      <c r="C307" t="str">
        <f>VLOOKUP(B307,'Cadastro Produtos'!A:E,2,2)</f>
        <v>Limonada Beta com Açúcar 500 ml</v>
      </c>
      <c r="D307">
        <v>17</v>
      </c>
      <c r="E307" t="str">
        <f>VLOOKUP(D307,'Cadatro Clientes'!A:O,2,2)</f>
        <v>Aracasuco</v>
      </c>
      <c r="F307" t="str">
        <f>VLOOKUP(D307,'Cadatro Clientes'!A:O,9,2)</f>
        <v>Nordeste</v>
      </c>
      <c r="G307" s="15">
        <v>41764</v>
      </c>
      <c r="H307">
        <f t="shared" si="21"/>
        <v>2</v>
      </c>
      <c r="I307">
        <f t="shared" si="22"/>
        <v>5</v>
      </c>
      <c r="J307">
        <f t="shared" si="23"/>
        <v>5</v>
      </c>
      <c r="K307">
        <f t="shared" si="24"/>
        <v>2014</v>
      </c>
      <c r="M307">
        <v>3</v>
      </c>
      <c r="N307" t="str">
        <f>VLOOKUP(M307,'Cadastro Vendedores'!A:H,2,2)</f>
        <v>Antônia</v>
      </c>
      <c r="O307" s="2"/>
      <c r="P307" s="16">
        <v>7400</v>
      </c>
      <c r="Q307" s="2">
        <f>VLOOKUP(B307,'Cadastro Produtos'!A:F,5,2)</f>
        <v>6.5</v>
      </c>
      <c r="R307" s="14">
        <f t="shared" si="20"/>
        <v>48100</v>
      </c>
    </row>
    <row r="308" spans="1:18" x14ac:dyDescent="0.25">
      <c r="A308">
        <v>307</v>
      </c>
      <c r="B308">
        <v>2</v>
      </c>
      <c r="C308" t="str">
        <f>VLOOKUP(B308,'Cadastro Produtos'!A:E,2,2)</f>
        <v>Limonada Beta com Açúcar 500 ml</v>
      </c>
      <c r="D308">
        <v>5</v>
      </c>
      <c r="E308" t="str">
        <f>VLOOKUP(D308,'Cadatro Clientes'!A:O,2,2)</f>
        <v>Axé com Limão</v>
      </c>
      <c r="F308" t="str">
        <f>VLOOKUP(D308,'Cadatro Clientes'!A:O,9,2)</f>
        <v>Nordeste</v>
      </c>
      <c r="G308" s="15">
        <v>41766</v>
      </c>
      <c r="H308">
        <f t="shared" si="21"/>
        <v>4</v>
      </c>
      <c r="I308">
        <f t="shared" si="22"/>
        <v>7</v>
      </c>
      <c r="J308">
        <f t="shared" si="23"/>
        <v>5</v>
      </c>
      <c r="K308">
        <f t="shared" si="24"/>
        <v>2014</v>
      </c>
      <c r="M308">
        <v>4</v>
      </c>
      <c r="N308" t="str">
        <f>VLOOKUP(M308,'Cadastro Vendedores'!A:H,2,2)</f>
        <v>José</v>
      </c>
      <c r="O308" s="2"/>
      <c r="P308" s="16">
        <v>1700</v>
      </c>
      <c r="Q308" s="2">
        <f>VLOOKUP(B308,'Cadastro Produtos'!A:F,5,2)</f>
        <v>6.5</v>
      </c>
      <c r="R308" s="14">
        <f t="shared" si="20"/>
        <v>11050</v>
      </c>
    </row>
    <row r="309" spans="1:18" x14ac:dyDescent="0.25">
      <c r="A309">
        <v>308</v>
      </c>
      <c r="B309">
        <v>10</v>
      </c>
      <c r="C309" t="str">
        <f>VLOOKUP(B309,'Cadastro Produtos'!A:E,2,2)</f>
        <v>Limonada Alfa com Hortelã Zero 1 L</v>
      </c>
      <c r="D309">
        <v>2</v>
      </c>
      <c r="E309" t="str">
        <f>VLOOKUP(D309,'Cadatro Clientes'!A:O,2,2)</f>
        <v>Limão S/A</v>
      </c>
      <c r="F309" t="str">
        <f>VLOOKUP(D309,'Cadatro Clientes'!A:O,9,2)</f>
        <v>Centro-Oeste</v>
      </c>
      <c r="G309" s="15">
        <v>41766</v>
      </c>
      <c r="H309">
        <f t="shared" si="21"/>
        <v>4</v>
      </c>
      <c r="I309">
        <f t="shared" si="22"/>
        <v>7</v>
      </c>
      <c r="J309">
        <f t="shared" si="23"/>
        <v>5</v>
      </c>
      <c r="K309">
        <f t="shared" si="24"/>
        <v>2014</v>
      </c>
      <c r="M309">
        <v>7</v>
      </c>
      <c r="N309" t="str">
        <f>VLOOKUP(M309,'Cadastro Vendedores'!A:H,2,2)</f>
        <v>Benedito</v>
      </c>
      <c r="O309" s="2"/>
      <c r="P309" s="16">
        <v>2200</v>
      </c>
      <c r="Q309" s="2">
        <f>VLOOKUP(B309,'Cadastro Produtos'!A:F,5,2)</f>
        <v>21</v>
      </c>
      <c r="R309" s="14">
        <f t="shared" si="20"/>
        <v>46200</v>
      </c>
    </row>
    <row r="310" spans="1:18" x14ac:dyDescent="0.25">
      <c r="A310">
        <v>309</v>
      </c>
      <c r="B310">
        <v>3</v>
      </c>
      <c r="C310" t="str">
        <f>VLOOKUP(B310,'Cadastro Produtos'!A:E,2,2)</f>
        <v>Limonada Alfa Zero 500 ml</v>
      </c>
      <c r="D310">
        <v>17</v>
      </c>
      <c r="E310" t="str">
        <f>VLOOKUP(D310,'Cadatro Clientes'!A:O,2,2)</f>
        <v>Aracasuco</v>
      </c>
      <c r="F310" t="str">
        <f>VLOOKUP(D310,'Cadatro Clientes'!A:O,9,2)</f>
        <v>Nordeste</v>
      </c>
      <c r="G310" s="15">
        <v>41766</v>
      </c>
      <c r="H310">
        <f t="shared" si="21"/>
        <v>4</v>
      </c>
      <c r="I310">
        <f t="shared" si="22"/>
        <v>7</v>
      </c>
      <c r="J310">
        <f t="shared" si="23"/>
        <v>5</v>
      </c>
      <c r="K310">
        <f t="shared" si="24"/>
        <v>2014</v>
      </c>
      <c r="M310">
        <v>2</v>
      </c>
      <c r="N310" t="str">
        <f>VLOOKUP(M310,'Cadastro Vendedores'!A:H,2,2)</f>
        <v>Luis</v>
      </c>
      <c r="O310" s="2"/>
      <c r="P310" s="16">
        <v>1200</v>
      </c>
      <c r="Q310" s="2">
        <f>VLOOKUP(B310,'Cadastro Produtos'!A:F,5,2)</f>
        <v>9</v>
      </c>
      <c r="R310" s="14">
        <f t="shared" si="20"/>
        <v>10800</v>
      </c>
    </row>
    <row r="311" spans="1:18" x14ac:dyDescent="0.25">
      <c r="A311">
        <v>310</v>
      </c>
      <c r="B311">
        <v>3</v>
      </c>
      <c r="C311" t="str">
        <f>VLOOKUP(B311,'Cadastro Produtos'!A:E,2,2)</f>
        <v>Limonada Alfa Zero 500 ml</v>
      </c>
      <c r="D311">
        <v>14</v>
      </c>
      <c r="E311" t="str">
        <f>VLOOKUP(D311,'Cadatro Clientes'!A:O,2,2)</f>
        <v>Sprite</v>
      </c>
      <c r="F311" t="str">
        <f>VLOOKUP(D311,'Cadatro Clientes'!A:O,9,2)</f>
        <v>Norte</v>
      </c>
      <c r="G311" s="15">
        <v>41766</v>
      </c>
      <c r="H311">
        <f t="shared" si="21"/>
        <v>4</v>
      </c>
      <c r="I311">
        <f t="shared" si="22"/>
        <v>7</v>
      </c>
      <c r="J311">
        <f t="shared" si="23"/>
        <v>5</v>
      </c>
      <c r="K311">
        <f t="shared" si="24"/>
        <v>2014</v>
      </c>
      <c r="M311">
        <v>2</v>
      </c>
      <c r="N311" t="str">
        <f>VLOOKUP(M311,'Cadastro Vendedores'!A:H,2,2)</f>
        <v>Luis</v>
      </c>
      <c r="O311" s="2"/>
      <c r="P311" s="16">
        <v>2100</v>
      </c>
      <c r="Q311" s="2">
        <f>VLOOKUP(B311,'Cadastro Produtos'!A:F,5,2)</f>
        <v>9</v>
      </c>
      <c r="R311" s="14">
        <f t="shared" si="20"/>
        <v>18900</v>
      </c>
    </row>
    <row r="312" spans="1:18" x14ac:dyDescent="0.25">
      <c r="A312">
        <v>311</v>
      </c>
      <c r="B312">
        <v>3</v>
      </c>
      <c r="C312" t="str">
        <f>VLOOKUP(B312,'Cadastro Produtos'!A:E,2,2)</f>
        <v>Limonada Alfa Zero 500 ml</v>
      </c>
      <c r="D312">
        <v>5</v>
      </c>
      <c r="E312" t="str">
        <f>VLOOKUP(D312,'Cadatro Clientes'!A:O,2,2)</f>
        <v>Axé com Limão</v>
      </c>
      <c r="F312" t="str">
        <f>VLOOKUP(D312,'Cadatro Clientes'!A:O,9,2)</f>
        <v>Nordeste</v>
      </c>
      <c r="G312" s="15">
        <v>41766</v>
      </c>
      <c r="H312">
        <f t="shared" si="21"/>
        <v>4</v>
      </c>
      <c r="I312">
        <f t="shared" si="22"/>
        <v>7</v>
      </c>
      <c r="J312">
        <f t="shared" si="23"/>
        <v>5</v>
      </c>
      <c r="K312">
        <f t="shared" si="24"/>
        <v>2014</v>
      </c>
      <c r="M312">
        <v>6</v>
      </c>
      <c r="N312" t="str">
        <f>VLOOKUP(M312,'Cadastro Vendedores'!A:H,2,2)</f>
        <v>Antônia</v>
      </c>
      <c r="O312" s="2"/>
      <c r="P312" s="16">
        <v>1800</v>
      </c>
      <c r="Q312" s="2">
        <f>VLOOKUP(B312,'Cadastro Produtos'!A:F,5,2)</f>
        <v>9</v>
      </c>
      <c r="R312" s="14">
        <f t="shared" si="20"/>
        <v>16200</v>
      </c>
    </row>
    <row r="313" spans="1:18" x14ac:dyDescent="0.25">
      <c r="A313">
        <v>312</v>
      </c>
      <c r="B313">
        <v>7</v>
      </c>
      <c r="C313" t="str">
        <f>VLOOKUP(B313,'Cadastro Produtos'!A:E,2,2)</f>
        <v>Limonada Alfa Zero 1 L</v>
      </c>
      <c r="D313">
        <v>14</v>
      </c>
      <c r="E313" t="str">
        <f>VLOOKUP(D313,'Cadatro Clientes'!A:O,2,2)</f>
        <v>Sprite</v>
      </c>
      <c r="F313" t="str">
        <f>VLOOKUP(D313,'Cadatro Clientes'!A:O,9,2)</f>
        <v>Norte</v>
      </c>
      <c r="G313" s="15">
        <v>41767</v>
      </c>
      <c r="H313">
        <f t="shared" si="21"/>
        <v>5</v>
      </c>
      <c r="I313">
        <f t="shared" si="22"/>
        <v>8</v>
      </c>
      <c r="J313">
        <f t="shared" si="23"/>
        <v>5</v>
      </c>
      <c r="K313">
        <f t="shared" si="24"/>
        <v>2014</v>
      </c>
      <c r="M313">
        <v>3</v>
      </c>
      <c r="N313" t="str">
        <f>VLOOKUP(M313,'Cadastro Vendedores'!A:H,2,2)</f>
        <v>Antônia</v>
      </c>
      <c r="O313" s="2"/>
      <c r="P313" s="16">
        <v>2300</v>
      </c>
      <c r="Q313" s="2">
        <f>VLOOKUP(B313,'Cadastro Produtos'!A:F,5,2)</f>
        <v>15</v>
      </c>
      <c r="R313" s="14">
        <f t="shared" si="20"/>
        <v>34500</v>
      </c>
    </row>
    <row r="314" spans="1:18" x14ac:dyDescent="0.25">
      <c r="A314">
        <v>313</v>
      </c>
      <c r="B314">
        <v>6</v>
      </c>
      <c r="C314" t="str">
        <f>VLOOKUP(B314,'Cadastro Produtos'!A:E,2,2)</f>
        <v>Limonada Beta com Açúcar 1 L</v>
      </c>
      <c r="D314">
        <v>5</v>
      </c>
      <c r="E314" t="str">
        <f>VLOOKUP(D314,'Cadatro Clientes'!A:O,2,2)</f>
        <v>Axé com Limão</v>
      </c>
      <c r="F314" t="str">
        <f>VLOOKUP(D314,'Cadatro Clientes'!A:O,9,2)</f>
        <v>Nordeste</v>
      </c>
      <c r="G314" s="15">
        <v>41767</v>
      </c>
      <c r="H314">
        <f t="shared" si="21"/>
        <v>5</v>
      </c>
      <c r="I314">
        <f t="shared" si="22"/>
        <v>8</v>
      </c>
      <c r="J314">
        <f t="shared" si="23"/>
        <v>5</v>
      </c>
      <c r="K314">
        <f t="shared" si="24"/>
        <v>2014</v>
      </c>
      <c r="M314">
        <v>3</v>
      </c>
      <c r="N314" t="str">
        <f>VLOOKUP(M314,'Cadastro Vendedores'!A:H,2,2)</f>
        <v>Antônia</v>
      </c>
      <c r="O314" s="2"/>
      <c r="P314" s="16">
        <v>3000</v>
      </c>
      <c r="Q314" s="2">
        <f>VLOOKUP(B314,'Cadastro Produtos'!A:F,5,2)</f>
        <v>12</v>
      </c>
      <c r="R314" s="14">
        <f t="shared" si="20"/>
        <v>36000</v>
      </c>
    </row>
    <row r="315" spans="1:18" x14ac:dyDescent="0.25">
      <c r="A315">
        <v>314</v>
      </c>
      <c r="B315">
        <v>1</v>
      </c>
      <c r="C315" t="str">
        <f>VLOOKUP(B315,'Cadastro Produtos'!A:E,2,2)</f>
        <v>Limonada Alfa com Açúcar 500 ml</v>
      </c>
      <c r="D315">
        <v>11</v>
      </c>
      <c r="E315" t="str">
        <f>VLOOKUP(D315,'Cadatro Clientes'!A:O,2,2)</f>
        <v>Red Lemon</v>
      </c>
      <c r="F315" t="str">
        <f>VLOOKUP(D315,'Cadatro Clientes'!A:O,9,2)</f>
        <v>Sul</v>
      </c>
      <c r="G315" s="15">
        <v>41768</v>
      </c>
      <c r="H315">
        <f t="shared" si="21"/>
        <v>6</v>
      </c>
      <c r="I315">
        <f t="shared" si="22"/>
        <v>9</v>
      </c>
      <c r="J315">
        <f t="shared" si="23"/>
        <v>5</v>
      </c>
      <c r="K315">
        <f t="shared" si="24"/>
        <v>2014</v>
      </c>
      <c r="M315">
        <v>7</v>
      </c>
      <c r="N315" t="str">
        <f>VLOOKUP(M315,'Cadastro Vendedores'!A:H,2,2)</f>
        <v>Benedito</v>
      </c>
      <c r="O315" s="2"/>
      <c r="P315" s="16">
        <v>4700</v>
      </c>
      <c r="Q315" s="2">
        <f>VLOOKUP(B315,'Cadastro Produtos'!A:F,5,2)</f>
        <v>8.5</v>
      </c>
      <c r="R315" s="14">
        <f t="shared" si="20"/>
        <v>39950</v>
      </c>
    </row>
    <row r="316" spans="1:18" x14ac:dyDescent="0.25">
      <c r="A316">
        <v>315</v>
      </c>
      <c r="B316">
        <v>10</v>
      </c>
      <c r="C316" t="str">
        <f>VLOOKUP(B316,'Cadastro Produtos'!A:E,2,2)</f>
        <v>Limonada Alfa com Hortelã Zero 1 L</v>
      </c>
      <c r="D316">
        <v>20</v>
      </c>
      <c r="E316" t="str">
        <f>VLOOKUP(D316,'Cadatro Clientes'!A:O,2,2)</f>
        <v>Brasil Saúde</v>
      </c>
      <c r="F316" t="str">
        <f>VLOOKUP(D316,'Cadatro Clientes'!A:O,9,2)</f>
        <v>Nordeste</v>
      </c>
      <c r="G316" s="15">
        <v>41768</v>
      </c>
      <c r="H316">
        <f t="shared" si="21"/>
        <v>6</v>
      </c>
      <c r="I316">
        <f t="shared" si="22"/>
        <v>9</v>
      </c>
      <c r="J316">
        <f t="shared" si="23"/>
        <v>5</v>
      </c>
      <c r="K316">
        <f t="shared" si="24"/>
        <v>2014</v>
      </c>
      <c r="M316">
        <v>8</v>
      </c>
      <c r="N316" t="str">
        <f>VLOOKUP(M316,'Cadastro Vendedores'!A:H,2,2)</f>
        <v>Sérgio</v>
      </c>
      <c r="O316" s="2"/>
      <c r="P316" s="16">
        <v>2400</v>
      </c>
      <c r="Q316" s="2">
        <f>VLOOKUP(B316,'Cadastro Produtos'!A:F,5,2)</f>
        <v>21</v>
      </c>
      <c r="R316" s="14">
        <f t="shared" si="20"/>
        <v>50400</v>
      </c>
    </row>
    <row r="317" spans="1:18" x14ac:dyDescent="0.25">
      <c r="A317">
        <v>316</v>
      </c>
      <c r="B317">
        <v>9</v>
      </c>
      <c r="C317" t="str">
        <f>VLOOKUP(B317,'Cadastro Produtos'!A:E,2,2)</f>
        <v>Limonada Alfa com Hortelã e Açúcar 1 L</v>
      </c>
      <c r="D317">
        <v>8</v>
      </c>
      <c r="E317" t="str">
        <f>VLOOKUP(D317,'Cadatro Clientes'!A:O,2,2)</f>
        <v>Refresko</v>
      </c>
      <c r="F317" t="str">
        <f>VLOOKUP(D317,'Cadatro Clientes'!A:O,9,2)</f>
        <v>Sul</v>
      </c>
      <c r="G317" s="15">
        <v>41768</v>
      </c>
      <c r="H317">
        <f t="shared" si="21"/>
        <v>6</v>
      </c>
      <c r="I317">
        <f t="shared" si="22"/>
        <v>9</v>
      </c>
      <c r="J317">
        <f t="shared" si="23"/>
        <v>5</v>
      </c>
      <c r="K317">
        <f t="shared" si="24"/>
        <v>2014</v>
      </c>
      <c r="M317">
        <v>2</v>
      </c>
      <c r="N317" t="str">
        <f>VLOOKUP(M317,'Cadastro Vendedores'!A:H,2,2)</f>
        <v>Luis</v>
      </c>
      <c r="O317" s="2"/>
      <c r="P317" s="16">
        <v>1600</v>
      </c>
      <c r="Q317" s="2">
        <f>VLOOKUP(B317,'Cadastro Produtos'!A:F,5,2)</f>
        <v>17.5</v>
      </c>
      <c r="R317" s="14">
        <f t="shared" si="20"/>
        <v>28000</v>
      </c>
    </row>
    <row r="318" spans="1:18" x14ac:dyDescent="0.25">
      <c r="A318">
        <v>317</v>
      </c>
      <c r="B318">
        <v>3</v>
      </c>
      <c r="C318" t="str">
        <f>VLOOKUP(B318,'Cadastro Produtos'!A:E,2,2)</f>
        <v>Limonada Alfa Zero 500 ml</v>
      </c>
      <c r="D318">
        <v>13</v>
      </c>
      <c r="E318" t="str">
        <f>VLOOKUP(D318,'Cadatro Clientes'!A:O,2,2)</f>
        <v>Monster Lemon</v>
      </c>
      <c r="F318" t="str">
        <f>VLOOKUP(D318,'Cadatro Clientes'!A:O,9,2)</f>
        <v>Nordeste</v>
      </c>
      <c r="G318" s="15">
        <v>41770</v>
      </c>
      <c r="H318">
        <f t="shared" si="21"/>
        <v>1</v>
      </c>
      <c r="I318">
        <f t="shared" si="22"/>
        <v>11</v>
      </c>
      <c r="J318">
        <f t="shared" si="23"/>
        <v>5</v>
      </c>
      <c r="K318">
        <f t="shared" si="24"/>
        <v>2014</v>
      </c>
      <c r="M318">
        <v>2</v>
      </c>
      <c r="N318" t="str">
        <f>VLOOKUP(M318,'Cadastro Vendedores'!A:H,2,2)</f>
        <v>Luis</v>
      </c>
      <c r="O318" s="2"/>
      <c r="P318" s="16">
        <v>2700</v>
      </c>
      <c r="Q318" s="2">
        <f>VLOOKUP(B318,'Cadastro Produtos'!A:F,5,2)</f>
        <v>9</v>
      </c>
      <c r="R318" s="14">
        <f t="shared" si="20"/>
        <v>24300</v>
      </c>
    </row>
    <row r="319" spans="1:18" x14ac:dyDescent="0.25">
      <c r="A319">
        <v>318</v>
      </c>
      <c r="B319">
        <v>1</v>
      </c>
      <c r="C319" t="str">
        <f>VLOOKUP(B319,'Cadastro Produtos'!A:E,2,2)</f>
        <v>Limonada Alfa com Açúcar 500 ml</v>
      </c>
      <c r="D319">
        <v>5</v>
      </c>
      <c r="E319" t="str">
        <f>VLOOKUP(D319,'Cadatro Clientes'!A:O,2,2)</f>
        <v>Axé com Limão</v>
      </c>
      <c r="F319" t="str">
        <f>VLOOKUP(D319,'Cadatro Clientes'!A:O,9,2)</f>
        <v>Nordeste</v>
      </c>
      <c r="G319" s="15">
        <v>41771</v>
      </c>
      <c r="H319">
        <f t="shared" si="21"/>
        <v>2</v>
      </c>
      <c r="I319">
        <f t="shared" si="22"/>
        <v>12</v>
      </c>
      <c r="J319">
        <f t="shared" si="23"/>
        <v>5</v>
      </c>
      <c r="K319">
        <f t="shared" si="24"/>
        <v>2014</v>
      </c>
      <c r="M319">
        <v>7</v>
      </c>
      <c r="N319" t="str">
        <f>VLOOKUP(M319,'Cadastro Vendedores'!A:H,2,2)</f>
        <v>Benedito</v>
      </c>
      <c r="O319" s="2"/>
      <c r="P319" s="16">
        <v>1900</v>
      </c>
      <c r="Q319" s="2">
        <f>VLOOKUP(B319,'Cadastro Produtos'!A:F,5,2)</f>
        <v>8.5</v>
      </c>
      <c r="R319" s="14">
        <f t="shared" si="20"/>
        <v>16150</v>
      </c>
    </row>
    <row r="320" spans="1:18" x14ac:dyDescent="0.25">
      <c r="A320">
        <v>319</v>
      </c>
      <c r="B320">
        <v>9</v>
      </c>
      <c r="C320" t="str">
        <f>VLOOKUP(B320,'Cadastro Produtos'!A:E,2,2)</f>
        <v>Limonada Alfa com Hortelã e Açúcar 1 L</v>
      </c>
      <c r="D320">
        <v>14</v>
      </c>
      <c r="E320" t="str">
        <f>VLOOKUP(D320,'Cadatro Clientes'!A:O,2,2)</f>
        <v>Sprite</v>
      </c>
      <c r="F320" t="str">
        <f>VLOOKUP(D320,'Cadatro Clientes'!A:O,9,2)</f>
        <v>Norte</v>
      </c>
      <c r="G320" s="15">
        <v>41771</v>
      </c>
      <c r="H320">
        <f t="shared" si="21"/>
        <v>2</v>
      </c>
      <c r="I320">
        <f t="shared" si="22"/>
        <v>12</v>
      </c>
      <c r="J320">
        <f t="shared" si="23"/>
        <v>5</v>
      </c>
      <c r="K320">
        <f t="shared" si="24"/>
        <v>2014</v>
      </c>
      <c r="M320">
        <v>4</v>
      </c>
      <c r="N320" t="str">
        <f>VLOOKUP(M320,'Cadastro Vendedores'!A:H,2,2)</f>
        <v>José</v>
      </c>
      <c r="O320" s="2"/>
      <c r="P320" s="16">
        <v>900</v>
      </c>
      <c r="Q320" s="2">
        <f>VLOOKUP(B320,'Cadastro Produtos'!A:F,5,2)</f>
        <v>17.5</v>
      </c>
      <c r="R320" s="14">
        <f t="shared" si="20"/>
        <v>15750</v>
      </c>
    </row>
    <row r="321" spans="1:18" x14ac:dyDescent="0.25">
      <c r="A321">
        <v>320</v>
      </c>
      <c r="B321">
        <v>5</v>
      </c>
      <c r="C321" t="str">
        <f>VLOOKUP(B321,'Cadastro Produtos'!A:E,2,2)</f>
        <v>Limonada Alfa com Açúcar 1 L</v>
      </c>
      <c r="D321">
        <v>13</v>
      </c>
      <c r="E321" t="str">
        <f>VLOOKUP(D321,'Cadatro Clientes'!A:O,2,2)</f>
        <v>Monster Lemon</v>
      </c>
      <c r="F321" t="str">
        <f>VLOOKUP(D321,'Cadatro Clientes'!A:O,9,2)</f>
        <v>Nordeste</v>
      </c>
      <c r="G321" s="15">
        <v>41771</v>
      </c>
      <c r="H321">
        <f t="shared" si="21"/>
        <v>2</v>
      </c>
      <c r="I321">
        <f t="shared" si="22"/>
        <v>12</v>
      </c>
      <c r="J321">
        <f t="shared" si="23"/>
        <v>5</v>
      </c>
      <c r="K321">
        <f t="shared" si="24"/>
        <v>2014</v>
      </c>
      <c r="M321">
        <v>4</v>
      </c>
      <c r="N321" t="str">
        <f>VLOOKUP(M321,'Cadastro Vendedores'!A:H,2,2)</f>
        <v>José</v>
      </c>
      <c r="O321" s="2"/>
      <c r="P321" s="16">
        <v>2600</v>
      </c>
      <c r="Q321" s="2">
        <f>VLOOKUP(B321,'Cadastro Produtos'!A:F,5,2)</f>
        <v>15</v>
      </c>
      <c r="R321" s="14">
        <f t="shared" si="20"/>
        <v>39000</v>
      </c>
    </row>
    <row r="322" spans="1:18" x14ac:dyDescent="0.25">
      <c r="A322">
        <v>321</v>
      </c>
      <c r="B322">
        <v>7</v>
      </c>
      <c r="C322" t="str">
        <f>VLOOKUP(B322,'Cadastro Produtos'!A:E,2,2)</f>
        <v>Limonada Alfa Zero 1 L</v>
      </c>
      <c r="D322">
        <v>4</v>
      </c>
      <c r="E322" t="str">
        <f>VLOOKUP(D322,'Cadatro Clientes'!A:O,2,2)</f>
        <v>Limão Carioca e Cia</v>
      </c>
      <c r="F322" t="str">
        <f>VLOOKUP(D322,'Cadatro Clientes'!A:O,9,2)</f>
        <v>Sudeste</v>
      </c>
      <c r="G322" s="15">
        <v>41771</v>
      </c>
      <c r="H322">
        <f t="shared" si="21"/>
        <v>2</v>
      </c>
      <c r="I322">
        <f t="shared" si="22"/>
        <v>12</v>
      </c>
      <c r="J322">
        <f t="shared" si="23"/>
        <v>5</v>
      </c>
      <c r="K322">
        <f t="shared" si="24"/>
        <v>2014</v>
      </c>
      <c r="M322">
        <v>3</v>
      </c>
      <c r="N322" t="str">
        <f>VLOOKUP(M322,'Cadastro Vendedores'!A:H,2,2)</f>
        <v>Antônia</v>
      </c>
      <c r="O322" s="2"/>
      <c r="P322" s="16">
        <v>2000</v>
      </c>
      <c r="Q322" s="2">
        <f>VLOOKUP(B322,'Cadastro Produtos'!A:F,5,2)</f>
        <v>15</v>
      </c>
      <c r="R322" s="14">
        <f t="shared" ref="R322:R385" si="25">Q322*P322</f>
        <v>30000</v>
      </c>
    </row>
    <row r="323" spans="1:18" x14ac:dyDescent="0.25">
      <c r="A323">
        <v>322</v>
      </c>
      <c r="B323">
        <v>5</v>
      </c>
      <c r="C323" t="str">
        <f>VLOOKUP(B323,'Cadastro Produtos'!A:E,2,2)</f>
        <v>Limonada Alfa com Açúcar 1 L</v>
      </c>
      <c r="D323">
        <v>18</v>
      </c>
      <c r="E323" t="str">
        <f>VLOOKUP(D323,'Cadatro Clientes'!A:O,2,2)</f>
        <v>Rio Branco Limonada Ltda</v>
      </c>
      <c r="F323" t="str">
        <f>VLOOKUP(D323,'Cadatro Clientes'!A:O,9,2)</f>
        <v>Norte</v>
      </c>
      <c r="G323" s="15">
        <v>41771</v>
      </c>
      <c r="H323">
        <f t="shared" ref="H323:H386" si="26">WEEKDAY(G323)</f>
        <v>2</v>
      </c>
      <c r="I323">
        <f t="shared" ref="I323:I386" si="27">DAY(G323)</f>
        <v>12</v>
      </c>
      <c r="J323">
        <f t="shared" ref="J323:J386" si="28">MONTH(G323)</f>
        <v>5</v>
      </c>
      <c r="K323">
        <f t="shared" ref="K323:K386" si="29">YEAR(G323)</f>
        <v>2014</v>
      </c>
      <c r="M323">
        <v>8</v>
      </c>
      <c r="N323" t="str">
        <f>VLOOKUP(M323,'Cadastro Vendedores'!A:H,2,2)</f>
        <v>Sérgio</v>
      </c>
      <c r="O323" s="2"/>
      <c r="P323" s="16">
        <v>2800</v>
      </c>
      <c r="Q323" s="2">
        <f>VLOOKUP(B323,'Cadastro Produtos'!A:F,5,2)</f>
        <v>15</v>
      </c>
      <c r="R323" s="14">
        <f t="shared" si="25"/>
        <v>42000</v>
      </c>
    </row>
    <row r="324" spans="1:18" x14ac:dyDescent="0.25">
      <c r="A324">
        <v>323</v>
      </c>
      <c r="B324">
        <v>9</v>
      </c>
      <c r="C324" t="str">
        <f>VLOOKUP(B324,'Cadastro Produtos'!A:E,2,2)</f>
        <v>Limonada Alfa com Hortelã e Açúcar 1 L</v>
      </c>
      <c r="D324">
        <v>17</v>
      </c>
      <c r="E324" t="str">
        <f>VLOOKUP(D324,'Cadatro Clientes'!A:O,2,2)</f>
        <v>Aracasuco</v>
      </c>
      <c r="F324" t="str">
        <f>VLOOKUP(D324,'Cadatro Clientes'!A:O,9,2)</f>
        <v>Nordeste</v>
      </c>
      <c r="G324" s="15">
        <v>41771</v>
      </c>
      <c r="H324">
        <f t="shared" si="26"/>
        <v>2</v>
      </c>
      <c r="I324">
        <f t="shared" si="27"/>
        <v>12</v>
      </c>
      <c r="J324">
        <f t="shared" si="28"/>
        <v>5</v>
      </c>
      <c r="K324">
        <f t="shared" si="29"/>
        <v>2014</v>
      </c>
      <c r="M324">
        <v>6</v>
      </c>
      <c r="N324" t="str">
        <f>VLOOKUP(M324,'Cadastro Vendedores'!A:H,2,2)</f>
        <v>Antônia</v>
      </c>
      <c r="O324" s="2"/>
      <c r="P324" s="16">
        <v>900</v>
      </c>
      <c r="Q324" s="2">
        <f>VLOOKUP(B324,'Cadastro Produtos'!A:F,5,2)</f>
        <v>17.5</v>
      </c>
      <c r="R324" s="14">
        <f t="shared" si="25"/>
        <v>15750</v>
      </c>
    </row>
    <row r="325" spans="1:18" x14ac:dyDescent="0.25">
      <c r="A325">
        <v>324</v>
      </c>
      <c r="B325">
        <v>7</v>
      </c>
      <c r="C325" t="str">
        <f>VLOOKUP(B325,'Cadastro Produtos'!A:E,2,2)</f>
        <v>Limonada Alfa Zero 1 L</v>
      </c>
      <c r="D325">
        <v>17</v>
      </c>
      <c r="E325" t="str">
        <f>VLOOKUP(D325,'Cadatro Clientes'!A:O,2,2)</f>
        <v>Aracasuco</v>
      </c>
      <c r="F325" t="str">
        <f>VLOOKUP(D325,'Cadatro Clientes'!A:O,9,2)</f>
        <v>Nordeste</v>
      </c>
      <c r="G325" s="15">
        <v>41772</v>
      </c>
      <c r="H325">
        <f t="shared" si="26"/>
        <v>3</v>
      </c>
      <c r="I325">
        <f t="shared" si="27"/>
        <v>13</v>
      </c>
      <c r="J325">
        <f t="shared" si="28"/>
        <v>5</v>
      </c>
      <c r="K325">
        <f t="shared" si="29"/>
        <v>2014</v>
      </c>
      <c r="M325">
        <v>3</v>
      </c>
      <c r="N325" t="str">
        <f>VLOOKUP(M325,'Cadastro Vendedores'!A:H,2,2)</f>
        <v>Antônia</v>
      </c>
      <c r="O325" s="2"/>
      <c r="P325" s="16">
        <v>1100</v>
      </c>
      <c r="Q325" s="2">
        <f>VLOOKUP(B325,'Cadastro Produtos'!A:F,5,2)</f>
        <v>15</v>
      </c>
      <c r="R325" s="14">
        <f t="shared" si="25"/>
        <v>16500</v>
      </c>
    </row>
    <row r="326" spans="1:18" x14ac:dyDescent="0.25">
      <c r="A326">
        <v>325</v>
      </c>
      <c r="B326">
        <v>3</v>
      </c>
      <c r="C326" t="str">
        <f>VLOOKUP(B326,'Cadastro Produtos'!A:E,2,2)</f>
        <v>Limonada Alfa Zero 500 ml</v>
      </c>
      <c r="D326">
        <v>11</v>
      </c>
      <c r="E326" t="str">
        <f>VLOOKUP(D326,'Cadatro Clientes'!A:O,2,2)</f>
        <v>Red Lemon</v>
      </c>
      <c r="F326" t="str">
        <f>VLOOKUP(D326,'Cadatro Clientes'!A:O,9,2)</f>
        <v>Sul</v>
      </c>
      <c r="G326" s="15">
        <v>41772</v>
      </c>
      <c r="H326">
        <f t="shared" si="26"/>
        <v>3</v>
      </c>
      <c r="I326">
        <f t="shared" si="27"/>
        <v>13</v>
      </c>
      <c r="J326">
        <f t="shared" si="28"/>
        <v>5</v>
      </c>
      <c r="K326">
        <f t="shared" si="29"/>
        <v>2014</v>
      </c>
      <c r="M326">
        <v>2</v>
      </c>
      <c r="N326" t="str">
        <f>VLOOKUP(M326,'Cadastro Vendedores'!A:H,2,2)</f>
        <v>Luis</v>
      </c>
      <c r="O326" s="2"/>
      <c r="P326" s="16">
        <v>3500</v>
      </c>
      <c r="Q326" s="2">
        <f>VLOOKUP(B326,'Cadastro Produtos'!A:F,5,2)</f>
        <v>9</v>
      </c>
      <c r="R326" s="14">
        <f t="shared" si="25"/>
        <v>31500</v>
      </c>
    </row>
    <row r="327" spans="1:18" x14ac:dyDescent="0.25">
      <c r="A327">
        <v>326</v>
      </c>
      <c r="B327">
        <v>6</v>
      </c>
      <c r="C327" t="str">
        <f>VLOOKUP(B327,'Cadastro Produtos'!A:E,2,2)</f>
        <v>Limonada Beta com Açúcar 1 L</v>
      </c>
      <c r="D327">
        <v>16</v>
      </c>
      <c r="E327" t="str">
        <f>VLOOKUP(D327,'Cadatro Clientes'!A:O,2,2)</f>
        <v>Norte Suco</v>
      </c>
      <c r="F327" t="str">
        <f>VLOOKUP(D327,'Cadatro Clientes'!A:O,9,2)</f>
        <v>Nordeste</v>
      </c>
      <c r="G327" s="15">
        <v>41773</v>
      </c>
      <c r="H327">
        <f t="shared" si="26"/>
        <v>4</v>
      </c>
      <c r="I327">
        <f t="shared" si="27"/>
        <v>14</v>
      </c>
      <c r="J327">
        <f t="shared" si="28"/>
        <v>5</v>
      </c>
      <c r="K327">
        <f t="shared" si="29"/>
        <v>2014</v>
      </c>
      <c r="M327">
        <v>2</v>
      </c>
      <c r="N327" t="str">
        <f>VLOOKUP(M327,'Cadastro Vendedores'!A:H,2,2)</f>
        <v>Luis</v>
      </c>
      <c r="O327" s="2"/>
      <c r="P327" s="16">
        <v>3400</v>
      </c>
      <c r="Q327" s="2">
        <f>VLOOKUP(B327,'Cadastro Produtos'!A:F,5,2)</f>
        <v>12</v>
      </c>
      <c r="R327" s="14">
        <f t="shared" si="25"/>
        <v>40800</v>
      </c>
    </row>
    <row r="328" spans="1:18" x14ac:dyDescent="0.25">
      <c r="A328">
        <v>327</v>
      </c>
      <c r="B328">
        <v>10</v>
      </c>
      <c r="C328" t="str">
        <f>VLOOKUP(B328,'Cadastro Produtos'!A:E,2,2)</f>
        <v>Limonada Alfa com Hortelã Zero 1 L</v>
      </c>
      <c r="D328">
        <v>13</v>
      </c>
      <c r="E328" t="str">
        <f>VLOOKUP(D328,'Cadatro Clientes'!A:O,2,2)</f>
        <v>Monster Lemon</v>
      </c>
      <c r="F328" t="str">
        <f>VLOOKUP(D328,'Cadatro Clientes'!A:O,9,2)</f>
        <v>Nordeste</v>
      </c>
      <c r="G328" s="15">
        <v>41773</v>
      </c>
      <c r="H328">
        <f t="shared" si="26"/>
        <v>4</v>
      </c>
      <c r="I328">
        <f t="shared" si="27"/>
        <v>14</v>
      </c>
      <c r="J328">
        <f t="shared" si="28"/>
        <v>5</v>
      </c>
      <c r="K328">
        <f t="shared" si="29"/>
        <v>2014</v>
      </c>
      <c r="M328">
        <v>2</v>
      </c>
      <c r="N328" t="str">
        <f>VLOOKUP(M328,'Cadastro Vendedores'!A:H,2,2)</f>
        <v>Luis</v>
      </c>
      <c r="O328" s="2"/>
      <c r="P328" s="16">
        <v>2000</v>
      </c>
      <c r="Q328" s="2">
        <f>VLOOKUP(B328,'Cadastro Produtos'!A:F,5,2)</f>
        <v>21</v>
      </c>
      <c r="R328" s="14">
        <f t="shared" si="25"/>
        <v>42000</v>
      </c>
    </row>
    <row r="329" spans="1:18" x14ac:dyDescent="0.25">
      <c r="A329">
        <v>328</v>
      </c>
      <c r="B329">
        <v>10</v>
      </c>
      <c r="C329" t="str">
        <f>VLOOKUP(B329,'Cadastro Produtos'!A:E,2,2)</f>
        <v>Limonada Alfa com Hortelã Zero 1 L</v>
      </c>
      <c r="D329">
        <v>13</v>
      </c>
      <c r="E329" t="str">
        <f>VLOOKUP(D329,'Cadatro Clientes'!A:O,2,2)</f>
        <v>Monster Lemon</v>
      </c>
      <c r="F329" t="str">
        <f>VLOOKUP(D329,'Cadatro Clientes'!A:O,9,2)</f>
        <v>Nordeste</v>
      </c>
      <c r="G329" s="15">
        <v>41773</v>
      </c>
      <c r="H329">
        <f t="shared" si="26"/>
        <v>4</v>
      </c>
      <c r="I329">
        <f t="shared" si="27"/>
        <v>14</v>
      </c>
      <c r="J329">
        <f t="shared" si="28"/>
        <v>5</v>
      </c>
      <c r="K329">
        <f t="shared" si="29"/>
        <v>2014</v>
      </c>
      <c r="M329">
        <v>2</v>
      </c>
      <c r="N329" t="str">
        <f>VLOOKUP(M329,'Cadastro Vendedores'!A:H,2,2)</f>
        <v>Luis</v>
      </c>
      <c r="O329" s="2"/>
      <c r="P329" s="16">
        <v>800</v>
      </c>
      <c r="Q329" s="2">
        <f>VLOOKUP(B329,'Cadastro Produtos'!A:F,5,2)</f>
        <v>21</v>
      </c>
      <c r="R329" s="14">
        <f t="shared" si="25"/>
        <v>16800</v>
      </c>
    </row>
    <row r="330" spans="1:18" x14ac:dyDescent="0.25">
      <c r="A330">
        <v>329</v>
      </c>
      <c r="B330">
        <v>9</v>
      </c>
      <c r="C330" t="str">
        <f>VLOOKUP(B330,'Cadastro Produtos'!A:E,2,2)</f>
        <v>Limonada Alfa com Hortelã e Açúcar 1 L</v>
      </c>
      <c r="D330">
        <v>13</v>
      </c>
      <c r="E330" t="str">
        <f>VLOOKUP(D330,'Cadatro Clientes'!A:O,2,2)</f>
        <v>Monster Lemon</v>
      </c>
      <c r="F330" t="str">
        <f>VLOOKUP(D330,'Cadatro Clientes'!A:O,9,2)</f>
        <v>Nordeste</v>
      </c>
      <c r="G330" s="15">
        <v>41773</v>
      </c>
      <c r="H330">
        <f t="shared" si="26"/>
        <v>4</v>
      </c>
      <c r="I330">
        <f t="shared" si="27"/>
        <v>14</v>
      </c>
      <c r="J330">
        <f t="shared" si="28"/>
        <v>5</v>
      </c>
      <c r="K330">
        <f t="shared" si="29"/>
        <v>2014</v>
      </c>
      <c r="M330">
        <v>3</v>
      </c>
      <c r="N330" t="str">
        <f>VLOOKUP(M330,'Cadastro Vendedores'!A:H,2,2)</f>
        <v>Antônia</v>
      </c>
      <c r="O330" s="2"/>
      <c r="P330" s="16">
        <v>1600</v>
      </c>
      <c r="Q330" s="2">
        <f>VLOOKUP(B330,'Cadastro Produtos'!A:F,5,2)</f>
        <v>17.5</v>
      </c>
      <c r="R330" s="14">
        <f t="shared" si="25"/>
        <v>28000</v>
      </c>
    </row>
    <row r="331" spans="1:18" x14ac:dyDescent="0.25">
      <c r="A331">
        <v>330</v>
      </c>
      <c r="B331">
        <v>4</v>
      </c>
      <c r="C331" t="str">
        <f>VLOOKUP(B331,'Cadastro Produtos'!A:E,2,2)</f>
        <v>Limonada Beta Zero 500 ml</v>
      </c>
      <c r="D331">
        <v>7</v>
      </c>
      <c r="E331" t="str">
        <f>VLOOKUP(D331,'Cadatro Clientes'!A:O,2,2)</f>
        <v>Limo</v>
      </c>
      <c r="F331" t="str">
        <f>VLOOKUP(D331,'Cadatro Clientes'!A:O,9,2)</f>
        <v>Centro-Oeste</v>
      </c>
      <c r="G331" s="15">
        <v>41774</v>
      </c>
      <c r="H331">
        <f t="shared" si="26"/>
        <v>5</v>
      </c>
      <c r="I331">
        <f t="shared" si="27"/>
        <v>15</v>
      </c>
      <c r="J331">
        <f t="shared" si="28"/>
        <v>5</v>
      </c>
      <c r="K331">
        <f t="shared" si="29"/>
        <v>2014</v>
      </c>
      <c r="M331">
        <v>3</v>
      </c>
      <c r="N331" t="str">
        <f>VLOOKUP(M331,'Cadastro Vendedores'!A:H,2,2)</f>
        <v>Antônia</v>
      </c>
      <c r="O331" s="2"/>
      <c r="P331" s="16">
        <v>6500</v>
      </c>
      <c r="Q331" s="2">
        <f>VLOOKUP(B331,'Cadastro Produtos'!A:F,5,2)</f>
        <v>7</v>
      </c>
      <c r="R331" s="14">
        <f t="shared" si="25"/>
        <v>45500</v>
      </c>
    </row>
    <row r="332" spans="1:18" x14ac:dyDescent="0.25">
      <c r="A332">
        <v>331</v>
      </c>
      <c r="B332">
        <v>5</v>
      </c>
      <c r="C332" t="str">
        <f>VLOOKUP(B332,'Cadastro Produtos'!A:E,2,2)</f>
        <v>Limonada Alfa com Açúcar 1 L</v>
      </c>
      <c r="D332">
        <v>20</v>
      </c>
      <c r="E332" t="str">
        <f>VLOOKUP(D332,'Cadatro Clientes'!A:O,2,2)</f>
        <v>Brasil Saúde</v>
      </c>
      <c r="F332" t="str">
        <f>VLOOKUP(D332,'Cadatro Clientes'!A:O,9,2)</f>
        <v>Nordeste</v>
      </c>
      <c r="G332" s="15">
        <v>41775</v>
      </c>
      <c r="H332">
        <f t="shared" si="26"/>
        <v>6</v>
      </c>
      <c r="I332">
        <f t="shared" si="27"/>
        <v>16</v>
      </c>
      <c r="J332">
        <f t="shared" si="28"/>
        <v>5</v>
      </c>
      <c r="K332">
        <f t="shared" si="29"/>
        <v>2014</v>
      </c>
      <c r="M332">
        <v>3</v>
      </c>
      <c r="N332" t="str">
        <f>VLOOKUP(M332,'Cadastro Vendedores'!A:H,2,2)</f>
        <v>Antônia</v>
      </c>
      <c r="O332" s="2"/>
      <c r="P332" s="16">
        <v>2900</v>
      </c>
      <c r="Q332" s="2">
        <f>VLOOKUP(B332,'Cadastro Produtos'!A:F,5,2)</f>
        <v>15</v>
      </c>
      <c r="R332" s="14">
        <f t="shared" si="25"/>
        <v>43500</v>
      </c>
    </row>
    <row r="333" spans="1:18" x14ac:dyDescent="0.25">
      <c r="A333">
        <v>332</v>
      </c>
      <c r="B333">
        <v>5</v>
      </c>
      <c r="C333" t="str">
        <f>VLOOKUP(B333,'Cadastro Produtos'!A:E,2,2)</f>
        <v>Limonada Alfa com Açúcar 1 L</v>
      </c>
      <c r="D333">
        <v>5</v>
      </c>
      <c r="E333" t="str">
        <f>VLOOKUP(D333,'Cadatro Clientes'!A:O,2,2)</f>
        <v>Axé com Limão</v>
      </c>
      <c r="F333" t="str">
        <f>VLOOKUP(D333,'Cadatro Clientes'!A:O,9,2)</f>
        <v>Nordeste</v>
      </c>
      <c r="G333" s="15">
        <v>41775</v>
      </c>
      <c r="H333">
        <f t="shared" si="26"/>
        <v>6</v>
      </c>
      <c r="I333">
        <f t="shared" si="27"/>
        <v>16</v>
      </c>
      <c r="J333">
        <f t="shared" si="28"/>
        <v>5</v>
      </c>
      <c r="K333">
        <f t="shared" si="29"/>
        <v>2014</v>
      </c>
      <c r="M333">
        <v>2</v>
      </c>
      <c r="N333" t="str">
        <f>VLOOKUP(M333,'Cadastro Vendedores'!A:H,2,2)</f>
        <v>Luis</v>
      </c>
      <c r="O333" s="2"/>
      <c r="P333" s="16">
        <v>2700</v>
      </c>
      <c r="Q333" s="2">
        <f>VLOOKUP(B333,'Cadastro Produtos'!A:F,5,2)</f>
        <v>15</v>
      </c>
      <c r="R333" s="14">
        <f t="shared" si="25"/>
        <v>40500</v>
      </c>
    </row>
    <row r="334" spans="1:18" x14ac:dyDescent="0.25">
      <c r="A334">
        <v>333</v>
      </c>
      <c r="B334">
        <v>6</v>
      </c>
      <c r="C334" t="str">
        <f>VLOOKUP(B334,'Cadastro Produtos'!A:E,2,2)</f>
        <v>Limonada Beta com Açúcar 1 L</v>
      </c>
      <c r="D334">
        <v>11</v>
      </c>
      <c r="E334" t="str">
        <f>VLOOKUP(D334,'Cadatro Clientes'!A:O,2,2)</f>
        <v>Red Lemon</v>
      </c>
      <c r="F334" t="str">
        <f>VLOOKUP(D334,'Cadatro Clientes'!A:O,9,2)</f>
        <v>Sul</v>
      </c>
      <c r="G334" s="15">
        <v>41776</v>
      </c>
      <c r="H334">
        <f t="shared" si="26"/>
        <v>7</v>
      </c>
      <c r="I334">
        <f t="shared" si="27"/>
        <v>17</v>
      </c>
      <c r="J334">
        <f t="shared" si="28"/>
        <v>5</v>
      </c>
      <c r="K334">
        <f t="shared" si="29"/>
        <v>2014</v>
      </c>
      <c r="M334">
        <v>8</v>
      </c>
      <c r="N334" t="str">
        <f>VLOOKUP(M334,'Cadastro Vendedores'!A:H,2,2)</f>
        <v>Sérgio</v>
      </c>
      <c r="O334" s="2"/>
      <c r="P334" s="16">
        <v>2100</v>
      </c>
      <c r="Q334" s="2">
        <f>VLOOKUP(B334,'Cadastro Produtos'!A:F,5,2)</f>
        <v>12</v>
      </c>
      <c r="R334" s="14">
        <f t="shared" si="25"/>
        <v>25200</v>
      </c>
    </row>
    <row r="335" spans="1:18" x14ac:dyDescent="0.25">
      <c r="A335">
        <v>334</v>
      </c>
      <c r="B335">
        <v>8</v>
      </c>
      <c r="C335" t="str">
        <f>VLOOKUP(B335,'Cadastro Produtos'!A:E,2,2)</f>
        <v>Limonada Beta Zero 1 L</v>
      </c>
      <c r="D335">
        <v>8</v>
      </c>
      <c r="E335" t="str">
        <f>VLOOKUP(D335,'Cadatro Clientes'!A:O,2,2)</f>
        <v>Refresko</v>
      </c>
      <c r="F335" t="str">
        <f>VLOOKUP(D335,'Cadatro Clientes'!A:O,9,2)</f>
        <v>Sul</v>
      </c>
      <c r="G335" s="15">
        <v>41777</v>
      </c>
      <c r="H335">
        <f t="shared" si="26"/>
        <v>1</v>
      </c>
      <c r="I335">
        <f t="shared" si="27"/>
        <v>18</v>
      </c>
      <c r="J335">
        <f t="shared" si="28"/>
        <v>5</v>
      </c>
      <c r="K335">
        <f t="shared" si="29"/>
        <v>2014</v>
      </c>
      <c r="M335">
        <v>9</v>
      </c>
      <c r="N335" t="str">
        <f>VLOOKUP(M335,'Cadastro Vendedores'!A:H,2,2)</f>
        <v>Adriana</v>
      </c>
      <c r="O335" s="2"/>
      <c r="P335" s="16">
        <v>2100</v>
      </c>
      <c r="Q335" s="2">
        <f>VLOOKUP(B335,'Cadastro Produtos'!A:F,5,2)</f>
        <v>12</v>
      </c>
      <c r="R335" s="14">
        <f t="shared" si="25"/>
        <v>25200</v>
      </c>
    </row>
    <row r="336" spans="1:18" x14ac:dyDescent="0.25">
      <c r="A336">
        <v>335</v>
      </c>
      <c r="B336">
        <v>8</v>
      </c>
      <c r="C336" t="str">
        <f>VLOOKUP(B336,'Cadastro Produtos'!A:E,2,2)</f>
        <v>Limonada Beta Zero 1 L</v>
      </c>
      <c r="D336">
        <v>5</v>
      </c>
      <c r="E336" t="str">
        <f>VLOOKUP(D336,'Cadatro Clientes'!A:O,2,2)</f>
        <v>Axé com Limão</v>
      </c>
      <c r="F336" t="str">
        <f>VLOOKUP(D336,'Cadatro Clientes'!A:O,9,2)</f>
        <v>Nordeste</v>
      </c>
      <c r="G336" s="15">
        <v>41777</v>
      </c>
      <c r="H336">
        <f t="shared" si="26"/>
        <v>1</v>
      </c>
      <c r="I336">
        <f t="shared" si="27"/>
        <v>18</v>
      </c>
      <c r="J336">
        <f t="shared" si="28"/>
        <v>5</v>
      </c>
      <c r="K336">
        <f t="shared" si="29"/>
        <v>2014</v>
      </c>
      <c r="M336">
        <v>2</v>
      </c>
      <c r="N336" t="str">
        <f>VLOOKUP(M336,'Cadastro Vendedores'!A:H,2,2)</f>
        <v>Luis</v>
      </c>
      <c r="O336" s="2"/>
      <c r="P336" s="16">
        <v>2400</v>
      </c>
      <c r="Q336" s="2">
        <f>VLOOKUP(B336,'Cadastro Produtos'!A:F,5,2)</f>
        <v>12</v>
      </c>
      <c r="R336" s="14">
        <f t="shared" si="25"/>
        <v>28800</v>
      </c>
    </row>
    <row r="337" spans="1:18" x14ac:dyDescent="0.25">
      <c r="A337">
        <v>336</v>
      </c>
      <c r="B337">
        <v>10</v>
      </c>
      <c r="C337" t="str">
        <f>VLOOKUP(B337,'Cadastro Produtos'!A:E,2,2)</f>
        <v>Limonada Alfa com Hortelã Zero 1 L</v>
      </c>
      <c r="D337">
        <v>11</v>
      </c>
      <c r="E337" t="str">
        <f>VLOOKUP(D337,'Cadatro Clientes'!A:O,2,2)</f>
        <v>Red Lemon</v>
      </c>
      <c r="F337" t="str">
        <f>VLOOKUP(D337,'Cadatro Clientes'!A:O,9,2)</f>
        <v>Sul</v>
      </c>
      <c r="G337" s="15">
        <v>41778</v>
      </c>
      <c r="H337">
        <f t="shared" si="26"/>
        <v>2</v>
      </c>
      <c r="I337">
        <f t="shared" si="27"/>
        <v>19</v>
      </c>
      <c r="J337">
        <f t="shared" si="28"/>
        <v>5</v>
      </c>
      <c r="K337">
        <f t="shared" si="29"/>
        <v>2014</v>
      </c>
      <c r="M337">
        <v>2</v>
      </c>
      <c r="N337" t="str">
        <f>VLOOKUP(M337,'Cadastro Vendedores'!A:H,2,2)</f>
        <v>Luis</v>
      </c>
      <c r="O337" s="2"/>
      <c r="P337" s="16">
        <v>900</v>
      </c>
      <c r="Q337" s="2">
        <f>VLOOKUP(B337,'Cadastro Produtos'!A:F,5,2)</f>
        <v>21</v>
      </c>
      <c r="R337" s="14">
        <f t="shared" si="25"/>
        <v>18900</v>
      </c>
    </row>
    <row r="338" spans="1:18" x14ac:dyDescent="0.25">
      <c r="A338">
        <v>337</v>
      </c>
      <c r="B338">
        <v>10</v>
      </c>
      <c r="C338" t="str">
        <f>VLOOKUP(B338,'Cadastro Produtos'!A:E,2,2)</f>
        <v>Limonada Alfa com Hortelã Zero 1 L</v>
      </c>
      <c r="D338">
        <v>1</v>
      </c>
      <c r="E338" t="str">
        <f>VLOOKUP(D338,'Cadatro Clientes'!A:O,2,2)</f>
        <v>Meu Suco de Limão</v>
      </c>
      <c r="F338" t="str">
        <f>VLOOKUP(D338,'Cadatro Clientes'!A:O,9,2)</f>
        <v>Norte</v>
      </c>
      <c r="G338" s="15">
        <v>41778</v>
      </c>
      <c r="H338">
        <f t="shared" si="26"/>
        <v>2</v>
      </c>
      <c r="I338">
        <f t="shared" si="27"/>
        <v>19</v>
      </c>
      <c r="J338">
        <f t="shared" si="28"/>
        <v>5</v>
      </c>
      <c r="K338">
        <f t="shared" si="29"/>
        <v>2014</v>
      </c>
      <c r="M338">
        <v>3</v>
      </c>
      <c r="N338" t="str">
        <f>VLOOKUP(M338,'Cadastro Vendedores'!A:H,2,2)</f>
        <v>Antônia</v>
      </c>
      <c r="O338" s="2"/>
      <c r="P338" s="16">
        <v>600</v>
      </c>
      <c r="Q338" s="2">
        <f>VLOOKUP(B338,'Cadastro Produtos'!A:F,5,2)</f>
        <v>21</v>
      </c>
      <c r="R338" s="14">
        <f t="shared" si="25"/>
        <v>12600</v>
      </c>
    </row>
    <row r="339" spans="1:18" x14ac:dyDescent="0.25">
      <c r="A339">
        <v>338</v>
      </c>
      <c r="B339">
        <v>7</v>
      </c>
      <c r="C339" t="str">
        <f>VLOOKUP(B339,'Cadastro Produtos'!A:E,2,2)</f>
        <v>Limonada Alfa Zero 1 L</v>
      </c>
      <c r="D339">
        <v>17</v>
      </c>
      <c r="E339" t="str">
        <f>VLOOKUP(D339,'Cadatro Clientes'!A:O,2,2)</f>
        <v>Aracasuco</v>
      </c>
      <c r="F339" t="str">
        <f>VLOOKUP(D339,'Cadatro Clientes'!A:O,9,2)</f>
        <v>Nordeste</v>
      </c>
      <c r="G339" s="15">
        <v>41778</v>
      </c>
      <c r="H339">
        <f t="shared" si="26"/>
        <v>2</v>
      </c>
      <c r="I339">
        <f t="shared" si="27"/>
        <v>19</v>
      </c>
      <c r="J339">
        <f t="shared" si="28"/>
        <v>5</v>
      </c>
      <c r="K339">
        <f t="shared" si="29"/>
        <v>2014</v>
      </c>
      <c r="M339">
        <v>3</v>
      </c>
      <c r="N339" t="str">
        <f>VLOOKUP(M339,'Cadastro Vendedores'!A:H,2,2)</f>
        <v>Antônia</v>
      </c>
      <c r="O339" s="2"/>
      <c r="P339" s="16">
        <v>1800</v>
      </c>
      <c r="Q339" s="2">
        <f>VLOOKUP(B339,'Cadastro Produtos'!A:F,5,2)</f>
        <v>15</v>
      </c>
      <c r="R339" s="14">
        <f t="shared" si="25"/>
        <v>27000</v>
      </c>
    </row>
    <row r="340" spans="1:18" x14ac:dyDescent="0.25">
      <c r="A340">
        <v>339</v>
      </c>
      <c r="B340">
        <v>2</v>
      </c>
      <c r="C340" t="str">
        <f>VLOOKUP(B340,'Cadastro Produtos'!A:E,2,2)</f>
        <v>Limonada Beta com Açúcar 500 ml</v>
      </c>
      <c r="D340">
        <v>9</v>
      </c>
      <c r="E340" t="str">
        <f>VLOOKUP(D340,'Cadatro Clientes'!A:O,2,2)</f>
        <v>Fresh Lemon</v>
      </c>
      <c r="F340" t="str">
        <f>VLOOKUP(D340,'Cadatro Clientes'!A:O,9,2)</f>
        <v>Sudeste</v>
      </c>
      <c r="G340" s="15">
        <v>41778</v>
      </c>
      <c r="H340">
        <f t="shared" si="26"/>
        <v>2</v>
      </c>
      <c r="I340">
        <f t="shared" si="27"/>
        <v>19</v>
      </c>
      <c r="J340">
        <f t="shared" si="28"/>
        <v>5</v>
      </c>
      <c r="K340">
        <f t="shared" si="29"/>
        <v>2014</v>
      </c>
      <c r="M340">
        <v>4</v>
      </c>
      <c r="N340" t="str">
        <f>VLOOKUP(M340,'Cadastro Vendedores'!A:H,2,2)</f>
        <v>José</v>
      </c>
      <c r="O340" s="2"/>
      <c r="P340" s="16">
        <v>6000</v>
      </c>
      <c r="Q340" s="2">
        <f>VLOOKUP(B340,'Cadastro Produtos'!A:F,5,2)</f>
        <v>6.5</v>
      </c>
      <c r="R340" s="14">
        <f t="shared" si="25"/>
        <v>39000</v>
      </c>
    </row>
    <row r="341" spans="1:18" x14ac:dyDescent="0.25">
      <c r="A341">
        <v>340</v>
      </c>
      <c r="B341">
        <v>3</v>
      </c>
      <c r="C341" t="str">
        <f>VLOOKUP(B341,'Cadastro Produtos'!A:E,2,2)</f>
        <v>Limonada Alfa Zero 500 ml</v>
      </c>
      <c r="D341">
        <v>8</v>
      </c>
      <c r="E341" t="str">
        <f>VLOOKUP(D341,'Cadatro Clientes'!A:O,2,2)</f>
        <v>Refresko</v>
      </c>
      <c r="F341" t="str">
        <f>VLOOKUP(D341,'Cadatro Clientes'!A:O,9,2)</f>
        <v>Sul</v>
      </c>
      <c r="G341" s="15">
        <v>41779</v>
      </c>
      <c r="H341">
        <f t="shared" si="26"/>
        <v>3</v>
      </c>
      <c r="I341">
        <f t="shared" si="27"/>
        <v>20</v>
      </c>
      <c r="J341">
        <f t="shared" si="28"/>
        <v>5</v>
      </c>
      <c r="K341">
        <f t="shared" si="29"/>
        <v>2014</v>
      </c>
      <c r="M341">
        <v>8</v>
      </c>
      <c r="N341" t="str">
        <f>VLOOKUP(M341,'Cadastro Vendedores'!A:H,2,2)</f>
        <v>Sérgio</v>
      </c>
      <c r="O341" s="2"/>
      <c r="P341" s="16">
        <v>2800</v>
      </c>
      <c r="Q341" s="2">
        <f>VLOOKUP(B341,'Cadastro Produtos'!A:F,5,2)</f>
        <v>9</v>
      </c>
      <c r="R341" s="14">
        <f t="shared" si="25"/>
        <v>25200</v>
      </c>
    </row>
    <row r="342" spans="1:18" x14ac:dyDescent="0.25">
      <c r="A342">
        <v>341</v>
      </c>
      <c r="B342">
        <v>4</v>
      </c>
      <c r="C342" t="str">
        <f>VLOOKUP(B342,'Cadastro Produtos'!A:E,2,2)</f>
        <v>Limonada Beta Zero 500 ml</v>
      </c>
      <c r="D342">
        <v>5</v>
      </c>
      <c r="E342" t="str">
        <f>VLOOKUP(D342,'Cadatro Clientes'!A:O,2,2)</f>
        <v>Axé com Limão</v>
      </c>
      <c r="F342" t="str">
        <f>VLOOKUP(D342,'Cadatro Clientes'!A:O,9,2)</f>
        <v>Nordeste</v>
      </c>
      <c r="G342" s="15">
        <v>41779</v>
      </c>
      <c r="H342">
        <f t="shared" si="26"/>
        <v>3</v>
      </c>
      <c r="I342">
        <f t="shared" si="27"/>
        <v>20</v>
      </c>
      <c r="J342">
        <f t="shared" si="28"/>
        <v>5</v>
      </c>
      <c r="K342">
        <f t="shared" si="29"/>
        <v>2014</v>
      </c>
      <c r="M342">
        <v>8</v>
      </c>
      <c r="N342" t="str">
        <f>VLOOKUP(M342,'Cadastro Vendedores'!A:H,2,2)</f>
        <v>Sérgio</v>
      </c>
      <c r="O342" s="2"/>
      <c r="P342" s="16">
        <v>5100</v>
      </c>
      <c r="Q342" s="2">
        <f>VLOOKUP(B342,'Cadastro Produtos'!A:F,5,2)</f>
        <v>7</v>
      </c>
      <c r="R342" s="14">
        <f t="shared" si="25"/>
        <v>35700</v>
      </c>
    </row>
    <row r="343" spans="1:18" x14ac:dyDescent="0.25">
      <c r="A343">
        <v>342</v>
      </c>
      <c r="B343">
        <v>10</v>
      </c>
      <c r="C343" t="str">
        <f>VLOOKUP(B343,'Cadastro Produtos'!A:E,2,2)</f>
        <v>Limonada Alfa com Hortelã Zero 1 L</v>
      </c>
      <c r="D343">
        <v>9</v>
      </c>
      <c r="E343" t="str">
        <f>VLOOKUP(D343,'Cadatro Clientes'!A:O,2,2)</f>
        <v>Fresh Lemon</v>
      </c>
      <c r="F343" t="str">
        <f>VLOOKUP(D343,'Cadatro Clientes'!A:O,9,2)</f>
        <v>Sudeste</v>
      </c>
      <c r="G343" s="15">
        <v>41779</v>
      </c>
      <c r="H343">
        <f t="shared" si="26"/>
        <v>3</v>
      </c>
      <c r="I343">
        <f t="shared" si="27"/>
        <v>20</v>
      </c>
      <c r="J343">
        <f t="shared" si="28"/>
        <v>5</v>
      </c>
      <c r="K343">
        <f t="shared" si="29"/>
        <v>2014</v>
      </c>
      <c r="M343">
        <v>3</v>
      </c>
      <c r="N343" t="str">
        <f>VLOOKUP(M343,'Cadastro Vendedores'!A:H,2,2)</f>
        <v>Antônia</v>
      </c>
      <c r="O343" s="2"/>
      <c r="P343" s="16">
        <v>600</v>
      </c>
      <c r="Q343" s="2">
        <f>VLOOKUP(B343,'Cadastro Produtos'!A:F,5,2)</f>
        <v>21</v>
      </c>
      <c r="R343" s="14">
        <f t="shared" si="25"/>
        <v>12600</v>
      </c>
    </row>
    <row r="344" spans="1:18" x14ac:dyDescent="0.25">
      <c r="A344">
        <v>343</v>
      </c>
      <c r="B344">
        <v>2</v>
      </c>
      <c r="C344" t="str">
        <f>VLOOKUP(B344,'Cadastro Produtos'!A:E,2,2)</f>
        <v>Limonada Beta com Açúcar 500 ml</v>
      </c>
      <c r="D344">
        <v>1</v>
      </c>
      <c r="E344" t="str">
        <f>VLOOKUP(D344,'Cadatro Clientes'!A:O,2,2)</f>
        <v>Meu Suco de Limão</v>
      </c>
      <c r="F344" t="str">
        <f>VLOOKUP(D344,'Cadatro Clientes'!A:O,9,2)</f>
        <v>Norte</v>
      </c>
      <c r="G344" s="15">
        <v>41779</v>
      </c>
      <c r="H344">
        <f t="shared" si="26"/>
        <v>3</v>
      </c>
      <c r="I344">
        <f t="shared" si="27"/>
        <v>20</v>
      </c>
      <c r="J344">
        <f t="shared" si="28"/>
        <v>5</v>
      </c>
      <c r="K344">
        <f t="shared" si="29"/>
        <v>2014</v>
      </c>
      <c r="M344">
        <v>2</v>
      </c>
      <c r="N344" t="str">
        <f>VLOOKUP(M344,'Cadastro Vendedores'!A:H,2,2)</f>
        <v>Luis</v>
      </c>
      <c r="O344" s="2"/>
      <c r="P344" s="16">
        <v>6800</v>
      </c>
      <c r="Q344" s="2">
        <f>VLOOKUP(B344,'Cadastro Produtos'!A:F,5,2)</f>
        <v>6.5</v>
      </c>
      <c r="R344" s="14">
        <f t="shared" si="25"/>
        <v>44200</v>
      </c>
    </row>
    <row r="345" spans="1:18" x14ac:dyDescent="0.25">
      <c r="A345">
        <v>344</v>
      </c>
      <c r="B345">
        <v>6</v>
      </c>
      <c r="C345" t="str">
        <f>VLOOKUP(B345,'Cadastro Produtos'!A:E,2,2)</f>
        <v>Limonada Beta com Açúcar 1 L</v>
      </c>
      <c r="D345">
        <v>1</v>
      </c>
      <c r="E345" t="str">
        <f>VLOOKUP(D345,'Cadatro Clientes'!A:O,2,2)</f>
        <v>Meu Suco de Limão</v>
      </c>
      <c r="F345" t="str">
        <f>VLOOKUP(D345,'Cadatro Clientes'!A:O,9,2)</f>
        <v>Norte</v>
      </c>
      <c r="G345" s="15">
        <v>41780</v>
      </c>
      <c r="H345">
        <f t="shared" si="26"/>
        <v>4</v>
      </c>
      <c r="I345">
        <f t="shared" si="27"/>
        <v>21</v>
      </c>
      <c r="J345">
        <f t="shared" si="28"/>
        <v>5</v>
      </c>
      <c r="K345">
        <f t="shared" si="29"/>
        <v>2014</v>
      </c>
      <c r="M345">
        <v>3</v>
      </c>
      <c r="N345" t="str">
        <f>VLOOKUP(M345,'Cadastro Vendedores'!A:H,2,2)</f>
        <v>Antônia</v>
      </c>
      <c r="O345" s="2"/>
      <c r="P345" s="16">
        <v>1600</v>
      </c>
      <c r="Q345" s="2">
        <f>VLOOKUP(B345,'Cadastro Produtos'!A:F,5,2)</f>
        <v>12</v>
      </c>
      <c r="R345" s="14">
        <f t="shared" si="25"/>
        <v>19200</v>
      </c>
    </row>
    <row r="346" spans="1:18" x14ac:dyDescent="0.25">
      <c r="A346">
        <v>345</v>
      </c>
      <c r="B346">
        <v>6</v>
      </c>
      <c r="C346" t="str">
        <f>VLOOKUP(B346,'Cadastro Produtos'!A:E,2,2)</f>
        <v>Limonada Beta com Açúcar 1 L</v>
      </c>
      <c r="D346">
        <v>5</v>
      </c>
      <c r="E346" t="str">
        <f>VLOOKUP(D346,'Cadatro Clientes'!A:O,2,2)</f>
        <v>Axé com Limão</v>
      </c>
      <c r="F346" t="str">
        <f>VLOOKUP(D346,'Cadatro Clientes'!A:O,9,2)</f>
        <v>Nordeste</v>
      </c>
      <c r="G346" s="15">
        <v>41780</v>
      </c>
      <c r="H346">
        <f t="shared" si="26"/>
        <v>4</v>
      </c>
      <c r="I346">
        <f t="shared" si="27"/>
        <v>21</v>
      </c>
      <c r="J346">
        <f t="shared" si="28"/>
        <v>5</v>
      </c>
      <c r="K346">
        <f t="shared" si="29"/>
        <v>2014</v>
      </c>
      <c r="M346">
        <v>7</v>
      </c>
      <c r="N346" t="str">
        <f>VLOOKUP(M346,'Cadastro Vendedores'!A:H,2,2)</f>
        <v>Benedito</v>
      </c>
      <c r="O346" s="2"/>
      <c r="P346" s="16">
        <v>3700</v>
      </c>
      <c r="Q346" s="2">
        <f>VLOOKUP(B346,'Cadastro Produtos'!A:F,5,2)</f>
        <v>12</v>
      </c>
      <c r="R346" s="14">
        <f t="shared" si="25"/>
        <v>44400</v>
      </c>
    </row>
    <row r="347" spans="1:18" x14ac:dyDescent="0.25">
      <c r="A347">
        <v>346</v>
      </c>
      <c r="B347">
        <v>6</v>
      </c>
      <c r="C347" t="str">
        <f>VLOOKUP(B347,'Cadastro Produtos'!A:E,2,2)</f>
        <v>Limonada Beta com Açúcar 1 L</v>
      </c>
      <c r="D347">
        <v>20</v>
      </c>
      <c r="E347" t="str">
        <f>VLOOKUP(D347,'Cadatro Clientes'!A:O,2,2)</f>
        <v>Brasil Saúde</v>
      </c>
      <c r="F347" t="str">
        <f>VLOOKUP(D347,'Cadatro Clientes'!A:O,9,2)</f>
        <v>Nordeste</v>
      </c>
      <c r="G347" s="15">
        <v>41780</v>
      </c>
      <c r="H347">
        <f t="shared" si="26"/>
        <v>4</v>
      </c>
      <c r="I347">
        <f t="shared" si="27"/>
        <v>21</v>
      </c>
      <c r="J347">
        <f t="shared" si="28"/>
        <v>5</v>
      </c>
      <c r="K347">
        <f t="shared" si="29"/>
        <v>2014</v>
      </c>
      <c r="M347">
        <v>3</v>
      </c>
      <c r="N347" t="str">
        <f>VLOOKUP(M347,'Cadastro Vendedores'!A:H,2,2)</f>
        <v>Antônia</v>
      </c>
      <c r="O347" s="2"/>
      <c r="P347" s="16">
        <v>1300</v>
      </c>
      <c r="Q347" s="2">
        <f>VLOOKUP(B347,'Cadastro Produtos'!A:F,5,2)</f>
        <v>12</v>
      </c>
      <c r="R347" s="14">
        <f t="shared" si="25"/>
        <v>15600</v>
      </c>
    </row>
    <row r="348" spans="1:18" x14ac:dyDescent="0.25">
      <c r="A348">
        <v>347</v>
      </c>
      <c r="B348">
        <v>9</v>
      </c>
      <c r="C348" t="str">
        <f>VLOOKUP(B348,'Cadastro Produtos'!A:E,2,2)</f>
        <v>Limonada Alfa com Hortelã e Açúcar 1 L</v>
      </c>
      <c r="D348">
        <v>14</v>
      </c>
      <c r="E348" t="str">
        <f>VLOOKUP(D348,'Cadatro Clientes'!A:O,2,2)</f>
        <v>Sprite</v>
      </c>
      <c r="F348" t="str">
        <f>VLOOKUP(D348,'Cadatro Clientes'!A:O,9,2)</f>
        <v>Norte</v>
      </c>
      <c r="G348" s="15">
        <v>41780</v>
      </c>
      <c r="H348">
        <f t="shared" si="26"/>
        <v>4</v>
      </c>
      <c r="I348">
        <f t="shared" si="27"/>
        <v>21</v>
      </c>
      <c r="J348">
        <f t="shared" si="28"/>
        <v>5</v>
      </c>
      <c r="K348">
        <f t="shared" si="29"/>
        <v>2014</v>
      </c>
      <c r="M348">
        <v>8</v>
      </c>
      <c r="N348" t="str">
        <f>VLOOKUP(M348,'Cadastro Vendedores'!A:H,2,2)</f>
        <v>Sérgio</v>
      </c>
      <c r="O348" s="2"/>
      <c r="P348" s="16">
        <v>2500</v>
      </c>
      <c r="Q348" s="2">
        <f>VLOOKUP(B348,'Cadastro Produtos'!A:F,5,2)</f>
        <v>17.5</v>
      </c>
      <c r="R348" s="14">
        <f t="shared" si="25"/>
        <v>43750</v>
      </c>
    </row>
    <row r="349" spans="1:18" x14ac:dyDescent="0.25">
      <c r="A349">
        <v>348</v>
      </c>
      <c r="B349">
        <v>1</v>
      </c>
      <c r="C349" t="str">
        <f>VLOOKUP(B349,'Cadastro Produtos'!A:E,2,2)</f>
        <v>Limonada Alfa com Açúcar 500 ml</v>
      </c>
      <c r="D349">
        <v>5</v>
      </c>
      <c r="E349" t="str">
        <f>VLOOKUP(D349,'Cadatro Clientes'!A:O,2,2)</f>
        <v>Axé com Limão</v>
      </c>
      <c r="F349" t="str">
        <f>VLOOKUP(D349,'Cadatro Clientes'!A:O,9,2)</f>
        <v>Nordeste</v>
      </c>
      <c r="G349" s="15">
        <v>41780</v>
      </c>
      <c r="H349">
        <f t="shared" si="26"/>
        <v>4</v>
      </c>
      <c r="I349">
        <f t="shared" si="27"/>
        <v>21</v>
      </c>
      <c r="J349">
        <f t="shared" si="28"/>
        <v>5</v>
      </c>
      <c r="K349">
        <f t="shared" si="29"/>
        <v>2014</v>
      </c>
      <c r="M349">
        <v>7</v>
      </c>
      <c r="N349" t="str">
        <f>VLOOKUP(M349,'Cadastro Vendedores'!A:H,2,2)</f>
        <v>Benedito</v>
      </c>
      <c r="O349" s="2"/>
      <c r="P349" s="16">
        <v>6500</v>
      </c>
      <c r="Q349" s="2">
        <f>VLOOKUP(B349,'Cadastro Produtos'!A:F,5,2)</f>
        <v>8.5</v>
      </c>
      <c r="R349" s="14">
        <f t="shared" si="25"/>
        <v>55250</v>
      </c>
    </row>
    <row r="350" spans="1:18" x14ac:dyDescent="0.25">
      <c r="A350">
        <v>349</v>
      </c>
      <c r="B350">
        <v>6</v>
      </c>
      <c r="C350" t="str">
        <f>VLOOKUP(B350,'Cadastro Produtos'!A:E,2,2)</f>
        <v>Limonada Beta com Açúcar 1 L</v>
      </c>
      <c r="D350">
        <v>2</v>
      </c>
      <c r="E350" t="str">
        <f>VLOOKUP(D350,'Cadatro Clientes'!A:O,2,2)</f>
        <v>Limão S/A</v>
      </c>
      <c r="F350" t="str">
        <f>VLOOKUP(D350,'Cadatro Clientes'!A:O,9,2)</f>
        <v>Centro-Oeste</v>
      </c>
      <c r="G350" s="15">
        <v>41781</v>
      </c>
      <c r="H350">
        <f t="shared" si="26"/>
        <v>5</v>
      </c>
      <c r="I350">
        <f t="shared" si="27"/>
        <v>22</v>
      </c>
      <c r="J350">
        <f t="shared" si="28"/>
        <v>5</v>
      </c>
      <c r="K350">
        <f t="shared" si="29"/>
        <v>2014</v>
      </c>
      <c r="M350">
        <v>7</v>
      </c>
      <c r="N350" t="str">
        <f>VLOOKUP(M350,'Cadastro Vendedores'!A:H,2,2)</f>
        <v>Benedito</v>
      </c>
      <c r="O350" s="2"/>
      <c r="P350" s="16">
        <v>1200</v>
      </c>
      <c r="Q350" s="2">
        <f>VLOOKUP(B350,'Cadastro Produtos'!A:F,5,2)</f>
        <v>12</v>
      </c>
      <c r="R350" s="14">
        <f t="shared" si="25"/>
        <v>14400</v>
      </c>
    </row>
    <row r="351" spans="1:18" x14ac:dyDescent="0.25">
      <c r="A351">
        <v>350</v>
      </c>
      <c r="B351">
        <v>4</v>
      </c>
      <c r="C351" t="str">
        <f>VLOOKUP(B351,'Cadastro Produtos'!A:E,2,2)</f>
        <v>Limonada Beta Zero 500 ml</v>
      </c>
      <c r="D351">
        <v>19</v>
      </c>
      <c r="E351" t="str">
        <f>VLOOKUP(D351,'Cadatro Clientes'!A:O,2,2)</f>
        <v>Lima Limão</v>
      </c>
      <c r="F351" t="str">
        <f>VLOOKUP(D351,'Cadatro Clientes'!A:O,9,2)</f>
        <v>Sudeste</v>
      </c>
      <c r="G351" s="15">
        <v>41781</v>
      </c>
      <c r="H351">
        <f t="shared" si="26"/>
        <v>5</v>
      </c>
      <c r="I351">
        <f t="shared" si="27"/>
        <v>22</v>
      </c>
      <c r="J351">
        <f t="shared" si="28"/>
        <v>5</v>
      </c>
      <c r="K351">
        <f t="shared" si="29"/>
        <v>2014</v>
      </c>
      <c r="M351">
        <v>3</v>
      </c>
      <c r="N351" t="str">
        <f>VLOOKUP(M351,'Cadastro Vendedores'!A:H,2,2)</f>
        <v>Antônia</v>
      </c>
      <c r="O351" s="2"/>
      <c r="P351" s="16">
        <v>2800</v>
      </c>
      <c r="Q351" s="2">
        <f>VLOOKUP(B351,'Cadastro Produtos'!A:F,5,2)</f>
        <v>7</v>
      </c>
      <c r="R351" s="14">
        <f t="shared" si="25"/>
        <v>19600</v>
      </c>
    </row>
    <row r="352" spans="1:18" x14ac:dyDescent="0.25">
      <c r="A352">
        <v>351</v>
      </c>
      <c r="B352">
        <v>10</v>
      </c>
      <c r="C352" t="str">
        <f>VLOOKUP(B352,'Cadastro Produtos'!A:E,2,2)</f>
        <v>Limonada Alfa com Hortelã Zero 1 L</v>
      </c>
      <c r="D352">
        <v>6</v>
      </c>
      <c r="E352" t="str">
        <f>VLOOKUP(D352,'Cadatro Clientes'!A:O,2,2)</f>
        <v>Lemonade</v>
      </c>
      <c r="F352" t="str">
        <f>VLOOKUP(D352,'Cadatro Clientes'!A:O,9,2)</f>
        <v>Norte</v>
      </c>
      <c r="G352" s="15">
        <v>41781</v>
      </c>
      <c r="H352">
        <f t="shared" si="26"/>
        <v>5</v>
      </c>
      <c r="I352">
        <f t="shared" si="27"/>
        <v>22</v>
      </c>
      <c r="J352">
        <f t="shared" si="28"/>
        <v>5</v>
      </c>
      <c r="K352">
        <f t="shared" si="29"/>
        <v>2014</v>
      </c>
      <c r="M352">
        <v>4</v>
      </c>
      <c r="N352" t="str">
        <f>VLOOKUP(M352,'Cadastro Vendedores'!A:H,2,2)</f>
        <v>José</v>
      </c>
      <c r="O352" s="2"/>
      <c r="P352" s="16">
        <v>1000</v>
      </c>
      <c r="Q352" s="2">
        <f>VLOOKUP(B352,'Cadastro Produtos'!A:F,5,2)</f>
        <v>21</v>
      </c>
      <c r="R352" s="14">
        <f t="shared" si="25"/>
        <v>21000</v>
      </c>
    </row>
    <row r="353" spans="1:18" x14ac:dyDescent="0.25">
      <c r="A353">
        <v>352</v>
      </c>
      <c r="B353">
        <v>8</v>
      </c>
      <c r="C353" t="str">
        <f>VLOOKUP(B353,'Cadastro Produtos'!A:E,2,2)</f>
        <v>Limonada Beta Zero 1 L</v>
      </c>
      <c r="D353">
        <v>8</v>
      </c>
      <c r="E353" t="str">
        <f>VLOOKUP(D353,'Cadatro Clientes'!A:O,2,2)</f>
        <v>Refresko</v>
      </c>
      <c r="F353" t="str">
        <f>VLOOKUP(D353,'Cadatro Clientes'!A:O,9,2)</f>
        <v>Sul</v>
      </c>
      <c r="G353" s="15">
        <v>41784</v>
      </c>
      <c r="H353">
        <f t="shared" si="26"/>
        <v>1</v>
      </c>
      <c r="I353">
        <f t="shared" si="27"/>
        <v>25</v>
      </c>
      <c r="J353">
        <f t="shared" si="28"/>
        <v>5</v>
      </c>
      <c r="K353">
        <f t="shared" si="29"/>
        <v>2014</v>
      </c>
      <c r="M353">
        <v>4</v>
      </c>
      <c r="N353" t="str">
        <f>VLOOKUP(M353,'Cadastro Vendedores'!A:H,2,2)</f>
        <v>José</v>
      </c>
      <c r="O353" s="2"/>
      <c r="P353" s="16">
        <v>1300</v>
      </c>
      <c r="Q353" s="2">
        <f>VLOOKUP(B353,'Cadastro Produtos'!A:F,5,2)</f>
        <v>12</v>
      </c>
      <c r="R353" s="14">
        <f t="shared" si="25"/>
        <v>15600</v>
      </c>
    </row>
    <row r="354" spans="1:18" x14ac:dyDescent="0.25">
      <c r="A354">
        <v>353</v>
      </c>
      <c r="B354">
        <v>4</v>
      </c>
      <c r="C354" t="str">
        <f>VLOOKUP(B354,'Cadastro Produtos'!A:E,2,2)</f>
        <v>Limonada Beta Zero 500 ml</v>
      </c>
      <c r="D354">
        <v>17</v>
      </c>
      <c r="E354" t="str">
        <f>VLOOKUP(D354,'Cadatro Clientes'!A:O,2,2)</f>
        <v>Aracasuco</v>
      </c>
      <c r="F354" t="str">
        <f>VLOOKUP(D354,'Cadatro Clientes'!A:O,9,2)</f>
        <v>Nordeste</v>
      </c>
      <c r="G354" s="15">
        <v>41784</v>
      </c>
      <c r="H354">
        <f t="shared" si="26"/>
        <v>1</v>
      </c>
      <c r="I354">
        <f t="shared" si="27"/>
        <v>25</v>
      </c>
      <c r="J354">
        <f t="shared" si="28"/>
        <v>5</v>
      </c>
      <c r="K354">
        <f t="shared" si="29"/>
        <v>2014</v>
      </c>
      <c r="M354">
        <v>3</v>
      </c>
      <c r="N354" t="str">
        <f>VLOOKUP(M354,'Cadastro Vendedores'!A:H,2,2)</f>
        <v>Antônia</v>
      </c>
      <c r="O354" s="2"/>
      <c r="P354" s="16">
        <v>5400</v>
      </c>
      <c r="Q354" s="2">
        <f>VLOOKUP(B354,'Cadastro Produtos'!A:F,5,2)</f>
        <v>7</v>
      </c>
      <c r="R354" s="14">
        <f t="shared" si="25"/>
        <v>37800</v>
      </c>
    </row>
    <row r="355" spans="1:18" x14ac:dyDescent="0.25">
      <c r="A355">
        <v>354</v>
      </c>
      <c r="B355">
        <v>7</v>
      </c>
      <c r="C355" t="str">
        <f>VLOOKUP(B355,'Cadastro Produtos'!A:E,2,2)</f>
        <v>Limonada Alfa Zero 1 L</v>
      </c>
      <c r="D355">
        <v>14</v>
      </c>
      <c r="E355" t="str">
        <f>VLOOKUP(D355,'Cadatro Clientes'!A:O,2,2)</f>
        <v>Sprite</v>
      </c>
      <c r="F355" t="str">
        <f>VLOOKUP(D355,'Cadatro Clientes'!A:O,9,2)</f>
        <v>Norte</v>
      </c>
      <c r="G355" s="15">
        <v>41784</v>
      </c>
      <c r="H355">
        <f t="shared" si="26"/>
        <v>1</v>
      </c>
      <c r="I355">
        <f t="shared" si="27"/>
        <v>25</v>
      </c>
      <c r="J355">
        <f t="shared" si="28"/>
        <v>5</v>
      </c>
      <c r="K355">
        <f t="shared" si="29"/>
        <v>2014</v>
      </c>
      <c r="M355">
        <v>2</v>
      </c>
      <c r="N355" t="str">
        <f>VLOOKUP(M355,'Cadastro Vendedores'!A:H,2,2)</f>
        <v>Luis</v>
      </c>
      <c r="O355" s="2"/>
      <c r="P355" s="16">
        <v>1400</v>
      </c>
      <c r="Q355" s="2">
        <f>VLOOKUP(B355,'Cadastro Produtos'!A:F,5,2)</f>
        <v>15</v>
      </c>
      <c r="R355" s="14">
        <f t="shared" si="25"/>
        <v>21000</v>
      </c>
    </row>
    <row r="356" spans="1:18" x14ac:dyDescent="0.25">
      <c r="A356">
        <v>355</v>
      </c>
      <c r="B356">
        <v>7</v>
      </c>
      <c r="C356" t="str">
        <f>VLOOKUP(B356,'Cadastro Produtos'!A:E,2,2)</f>
        <v>Limonada Alfa Zero 1 L</v>
      </c>
      <c r="D356">
        <v>20</v>
      </c>
      <c r="E356" t="str">
        <f>VLOOKUP(D356,'Cadatro Clientes'!A:O,2,2)</f>
        <v>Brasil Saúde</v>
      </c>
      <c r="F356" t="str">
        <f>VLOOKUP(D356,'Cadatro Clientes'!A:O,9,2)</f>
        <v>Nordeste</v>
      </c>
      <c r="G356" s="15">
        <v>41785</v>
      </c>
      <c r="H356">
        <f t="shared" si="26"/>
        <v>2</v>
      </c>
      <c r="I356">
        <f t="shared" si="27"/>
        <v>26</v>
      </c>
      <c r="J356">
        <f t="shared" si="28"/>
        <v>5</v>
      </c>
      <c r="K356">
        <f t="shared" si="29"/>
        <v>2014</v>
      </c>
      <c r="M356">
        <v>2</v>
      </c>
      <c r="N356" t="str">
        <f>VLOOKUP(M356,'Cadastro Vendedores'!A:H,2,2)</f>
        <v>Luis</v>
      </c>
      <c r="O356" s="2"/>
      <c r="P356" s="16">
        <v>1100</v>
      </c>
      <c r="Q356" s="2">
        <f>VLOOKUP(B356,'Cadastro Produtos'!A:F,5,2)</f>
        <v>15</v>
      </c>
      <c r="R356" s="14">
        <f t="shared" si="25"/>
        <v>16500</v>
      </c>
    </row>
    <row r="357" spans="1:18" x14ac:dyDescent="0.25">
      <c r="A357">
        <v>356</v>
      </c>
      <c r="B357">
        <v>4</v>
      </c>
      <c r="C357" t="str">
        <f>VLOOKUP(B357,'Cadastro Produtos'!A:E,2,2)</f>
        <v>Limonada Beta Zero 500 ml</v>
      </c>
      <c r="D357">
        <v>6</v>
      </c>
      <c r="E357" t="str">
        <f>VLOOKUP(D357,'Cadatro Clientes'!A:O,2,2)</f>
        <v>Lemonade</v>
      </c>
      <c r="F357" t="str">
        <f>VLOOKUP(D357,'Cadatro Clientes'!A:O,9,2)</f>
        <v>Norte</v>
      </c>
      <c r="G357" s="15">
        <v>41785</v>
      </c>
      <c r="H357">
        <f t="shared" si="26"/>
        <v>2</v>
      </c>
      <c r="I357">
        <f t="shared" si="27"/>
        <v>26</v>
      </c>
      <c r="J357">
        <f t="shared" si="28"/>
        <v>5</v>
      </c>
      <c r="K357">
        <f t="shared" si="29"/>
        <v>2014</v>
      </c>
      <c r="M357">
        <v>3</v>
      </c>
      <c r="N357" t="str">
        <f>VLOOKUP(M357,'Cadastro Vendedores'!A:H,2,2)</f>
        <v>Antônia</v>
      </c>
      <c r="O357" s="2"/>
      <c r="P357" s="16">
        <v>7100</v>
      </c>
      <c r="Q357" s="2">
        <f>VLOOKUP(B357,'Cadastro Produtos'!A:F,5,2)</f>
        <v>7</v>
      </c>
      <c r="R357" s="14">
        <f t="shared" si="25"/>
        <v>49700</v>
      </c>
    </row>
    <row r="358" spans="1:18" x14ac:dyDescent="0.25">
      <c r="A358">
        <v>357</v>
      </c>
      <c r="B358">
        <v>5</v>
      </c>
      <c r="C358" t="str">
        <f>VLOOKUP(B358,'Cadastro Produtos'!A:E,2,2)</f>
        <v>Limonada Alfa com Açúcar 1 L</v>
      </c>
      <c r="D358">
        <v>2</v>
      </c>
      <c r="E358" t="str">
        <f>VLOOKUP(D358,'Cadatro Clientes'!A:O,2,2)</f>
        <v>Limão S/A</v>
      </c>
      <c r="F358" t="str">
        <f>VLOOKUP(D358,'Cadatro Clientes'!A:O,9,2)</f>
        <v>Centro-Oeste</v>
      </c>
      <c r="G358" s="15">
        <v>41786</v>
      </c>
      <c r="H358">
        <f t="shared" si="26"/>
        <v>3</v>
      </c>
      <c r="I358">
        <f t="shared" si="27"/>
        <v>27</v>
      </c>
      <c r="J358">
        <f t="shared" si="28"/>
        <v>5</v>
      </c>
      <c r="K358">
        <f t="shared" si="29"/>
        <v>2014</v>
      </c>
      <c r="M358">
        <v>7</v>
      </c>
      <c r="N358" t="str">
        <f>VLOOKUP(M358,'Cadastro Vendedores'!A:H,2,2)</f>
        <v>Benedito</v>
      </c>
      <c r="O358" s="2"/>
      <c r="P358" s="16">
        <v>1100</v>
      </c>
      <c r="Q358" s="2">
        <f>VLOOKUP(B358,'Cadastro Produtos'!A:F,5,2)</f>
        <v>15</v>
      </c>
      <c r="R358" s="14">
        <f t="shared" si="25"/>
        <v>16500</v>
      </c>
    </row>
    <row r="359" spans="1:18" x14ac:dyDescent="0.25">
      <c r="A359">
        <v>358</v>
      </c>
      <c r="B359">
        <v>6</v>
      </c>
      <c r="C359" t="str">
        <f>VLOOKUP(B359,'Cadastro Produtos'!A:E,2,2)</f>
        <v>Limonada Beta com Açúcar 1 L</v>
      </c>
      <c r="D359">
        <v>8</v>
      </c>
      <c r="E359" t="str">
        <f>VLOOKUP(D359,'Cadatro Clientes'!A:O,2,2)</f>
        <v>Refresko</v>
      </c>
      <c r="F359" t="str">
        <f>VLOOKUP(D359,'Cadatro Clientes'!A:O,9,2)</f>
        <v>Sul</v>
      </c>
      <c r="G359" s="15">
        <v>41786</v>
      </c>
      <c r="H359">
        <f t="shared" si="26"/>
        <v>3</v>
      </c>
      <c r="I359">
        <f t="shared" si="27"/>
        <v>27</v>
      </c>
      <c r="J359">
        <f t="shared" si="28"/>
        <v>5</v>
      </c>
      <c r="K359">
        <f t="shared" si="29"/>
        <v>2014</v>
      </c>
      <c r="M359">
        <v>7</v>
      </c>
      <c r="N359" t="str">
        <f>VLOOKUP(M359,'Cadastro Vendedores'!A:H,2,2)</f>
        <v>Benedito</v>
      </c>
      <c r="O359" s="2"/>
      <c r="P359" s="16">
        <v>2100</v>
      </c>
      <c r="Q359" s="2">
        <f>VLOOKUP(B359,'Cadastro Produtos'!A:F,5,2)</f>
        <v>12</v>
      </c>
      <c r="R359" s="14">
        <f t="shared" si="25"/>
        <v>25200</v>
      </c>
    </row>
    <row r="360" spans="1:18" x14ac:dyDescent="0.25">
      <c r="A360">
        <v>359</v>
      </c>
      <c r="B360">
        <v>6</v>
      </c>
      <c r="C360" t="str">
        <f>VLOOKUP(B360,'Cadastro Produtos'!A:E,2,2)</f>
        <v>Limonada Beta com Açúcar 1 L</v>
      </c>
      <c r="D360">
        <v>8</v>
      </c>
      <c r="E360" t="str">
        <f>VLOOKUP(D360,'Cadatro Clientes'!A:O,2,2)</f>
        <v>Refresko</v>
      </c>
      <c r="F360" t="str">
        <f>VLOOKUP(D360,'Cadatro Clientes'!A:O,9,2)</f>
        <v>Sul</v>
      </c>
      <c r="G360" s="15">
        <v>41786</v>
      </c>
      <c r="H360">
        <f t="shared" si="26"/>
        <v>3</v>
      </c>
      <c r="I360">
        <f t="shared" si="27"/>
        <v>27</v>
      </c>
      <c r="J360">
        <f t="shared" si="28"/>
        <v>5</v>
      </c>
      <c r="K360">
        <f t="shared" si="29"/>
        <v>2014</v>
      </c>
      <c r="M360">
        <v>9</v>
      </c>
      <c r="N360" t="str">
        <f>VLOOKUP(M360,'Cadastro Vendedores'!A:H,2,2)</f>
        <v>Adriana</v>
      </c>
      <c r="O360" s="2"/>
      <c r="P360" s="16">
        <v>2900</v>
      </c>
      <c r="Q360" s="2">
        <f>VLOOKUP(B360,'Cadastro Produtos'!A:F,5,2)</f>
        <v>12</v>
      </c>
      <c r="R360" s="14">
        <f t="shared" si="25"/>
        <v>34800</v>
      </c>
    </row>
    <row r="361" spans="1:18" x14ac:dyDescent="0.25">
      <c r="A361">
        <v>360</v>
      </c>
      <c r="B361">
        <v>1</v>
      </c>
      <c r="C361" t="str">
        <f>VLOOKUP(B361,'Cadastro Produtos'!A:E,2,2)</f>
        <v>Limonada Alfa com Açúcar 500 ml</v>
      </c>
      <c r="D361">
        <v>13</v>
      </c>
      <c r="E361" t="str">
        <f>VLOOKUP(D361,'Cadatro Clientes'!A:O,2,2)</f>
        <v>Monster Lemon</v>
      </c>
      <c r="F361" t="str">
        <f>VLOOKUP(D361,'Cadatro Clientes'!A:O,9,2)</f>
        <v>Nordeste</v>
      </c>
      <c r="G361" s="15">
        <v>41787</v>
      </c>
      <c r="H361">
        <f t="shared" si="26"/>
        <v>4</v>
      </c>
      <c r="I361">
        <f t="shared" si="27"/>
        <v>28</v>
      </c>
      <c r="J361">
        <f t="shared" si="28"/>
        <v>5</v>
      </c>
      <c r="K361">
        <f t="shared" si="29"/>
        <v>2014</v>
      </c>
      <c r="M361">
        <v>9</v>
      </c>
      <c r="N361" t="str">
        <f>VLOOKUP(M361,'Cadastro Vendedores'!A:H,2,2)</f>
        <v>Adriana</v>
      </c>
      <c r="O361" s="2"/>
      <c r="P361" s="16">
        <v>4200</v>
      </c>
      <c r="Q361" s="2">
        <f>VLOOKUP(B361,'Cadastro Produtos'!A:F,5,2)</f>
        <v>8.5</v>
      </c>
      <c r="R361" s="14">
        <f t="shared" si="25"/>
        <v>35700</v>
      </c>
    </row>
    <row r="362" spans="1:18" x14ac:dyDescent="0.25">
      <c r="A362">
        <v>361</v>
      </c>
      <c r="B362">
        <v>1</v>
      </c>
      <c r="C362" t="str">
        <f>VLOOKUP(B362,'Cadastro Produtos'!A:E,2,2)</f>
        <v>Limonada Alfa com Açúcar 500 ml</v>
      </c>
      <c r="D362">
        <v>9</v>
      </c>
      <c r="E362" t="str">
        <f>VLOOKUP(D362,'Cadatro Clientes'!A:O,2,2)</f>
        <v>Fresh Lemon</v>
      </c>
      <c r="F362" t="str">
        <f>VLOOKUP(D362,'Cadatro Clientes'!A:O,9,2)</f>
        <v>Sudeste</v>
      </c>
      <c r="G362" s="15">
        <v>41788</v>
      </c>
      <c r="H362">
        <f t="shared" si="26"/>
        <v>5</v>
      </c>
      <c r="I362">
        <f t="shared" si="27"/>
        <v>29</v>
      </c>
      <c r="J362">
        <f t="shared" si="28"/>
        <v>5</v>
      </c>
      <c r="K362">
        <f t="shared" si="29"/>
        <v>2014</v>
      </c>
      <c r="M362">
        <v>3</v>
      </c>
      <c r="N362" t="str">
        <f>VLOOKUP(M362,'Cadastro Vendedores'!A:H,2,2)</f>
        <v>Antônia</v>
      </c>
      <c r="O362" s="2"/>
      <c r="P362" s="16">
        <v>5500</v>
      </c>
      <c r="Q362" s="2">
        <f>VLOOKUP(B362,'Cadastro Produtos'!A:F,5,2)</f>
        <v>8.5</v>
      </c>
      <c r="R362" s="14">
        <f t="shared" si="25"/>
        <v>46750</v>
      </c>
    </row>
    <row r="363" spans="1:18" x14ac:dyDescent="0.25">
      <c r="A363">
        <v>362</v>
      </c>
      <c r="B363">
        <v>2</v>
      </c>
      <c r="C363" t="str">
        <f>VLOOKUP(B363,'Cadastro Produtos'!A:E,2,2)</f>
        <v>Limonada Beta com Açúcar 500 ml</v>
      </c>
      <c r="D363">
        <v>9</v>
      </c>
      <c r="E363" t="str">
        <f>VLOOKUP(D363,'Cadatro Clientes'!A:O,2,2)</f>
        <v>Fresh Lemon</v>
      </c>
      <c r="F363" t="str">
        <f>VLOOKUP(D363,'Cadatro Clientes'!A:O,9,2)</f>
        <v>Sudeste</v>
      </c>
      <c r="G363" s="15">
        <v>41788</v>
      </c>
      <c r="H363">
        <f t="shared" si="26"/>
        <v>5</v>
      </c>
      <c r="I363">
        <f t="shared" si="27"/>
        <v>29</v>
      </c>
      <c r="J363">
        <f t="shared" si="28"/>
        <v>5</v>
      </c>
      <c r="K363">
        <f t="shared" si="29"/>
        <v>2014</v>
      </c>
      <c r="M363">
        <v>3</v>
      </c>
      <c r="N363" t="str">
        <f>VLOOKUP(M363,'Cadastro Vendedores'!A:H,2,2)</f>
        <v>Antônia</v>
      </c>
      <c r="O363" s="2"/>
      <c r="P363" s="16">
        <v>5500</v>
      </c>
      <c r="Q363" s="2">
        <f>VLOOKUP(B363,'Cadastro Produtos'!A:F,5,2)</f>
        <v>6.5</v>
      </c>
      <c r="R363" s="14">
        <f t="shared" si="25"/>
        <v>35750</v>
      </c>
    </row>
    <row r="364" spans="1:18" x14ac:dyDescent="0.25">
      <c r="A364">
        <v>363</v>
      </c>
      <c r="B364">
        <v>10</v>
      </c>
      <c r="C364" t="str">
        <f>VLOOKUP(B364,'Cadastro Produtos'!A:E,2,2)</f>
        <v>Limonada Alfa com Hortelã Zero 1 L</v>
      </c>
      <c r="D364">
        <v>20</v>
      </c>
      <c r="E364" t="str">
        <f>VLOOKUP(D364,'Cadatro Clientes'!A:O,2,2)</f>
        <v>Brasil Saúde</v>
      </c>
      <c r="F364" t="str">
        <f>VLOOKUP(D364,'Cadatro Clientes'!A:O,9,2)</f>
        <v>Nordeste</v>
      </c>
      <c r="G364" s="15">
        <v>41789</v>
      </c>
      <c r="H364">
        <f t="shared" si="26"/>
        <v>6</v>
      </c>
      <c r="I364">
        <f t="shared" si="27"/>
        <v>30</v>
      </c>
      <c r="J364">
        <f t="shared" si="28"/>
        <v>5</v>
      </c>
      <c r="K364">
        <f t="shared" si="29"/>
        <v>2014</v>
      </c>
      <c r="M364">
        <v>2</v>
      </c>
      <c r="N364" t="str">
        <f>VLOOKUP(M364,'Cadastro Vendedores'!A:H,2,2)</f>
        <v>Luis</v>
      </c>
      <c r="O364" s="2"/>
      <c r="P364" s="16">
        <v>1900</v>
      </c>
      <c r="Q364" s="2">
        <f>VLOOKUP(B364,'Cadastro Produtos'!A:F,5,2)</f>
        <v>21</v>
      </c>
      <c r="R364" s="14">
        <f t="shared" si="25"/>
        <v>39900</v>
      </c>
    </row>
    <row r="365" spans="1:18" x14ac:dyDescent="0.25">
      <c r="A365">
        <v>364</v>
      </c>
      <c r="B365">
        <v>3</v>
      </c>
      <c r="C365" t="str">
        <f>VLOOKUP(B365,'Cadastro Produtos'!A:E,2,2)</f>
        <v>Limonada Alfa Zero 500 ml</v>
      </c>
      <c r="D365">
        <v>8</v>
      </c>
      <c r="E365" t="str">
        <f>VLOOKUP(D365,'Cadatro Clientes'!A:O,2,2)</f>
        <v>Refresko</v>
      </c>
      <c r="F365" t="str">
        <f>VLOOKUP(D365,'Cadatro Clientes'!A:O,9,2)</f>
        <v>Sul</v>
      </c>
      <c r="G365" s="15">
        <v>41789</v>
      </c>
      <c r="H365">
        <f t="shared" si="26"/>
        <v>6</v>
      </c>
      <c r="I365">
        <f t="shared" si="27"/>
        <v>30</v>
      </c>
      <c r="J365">
        <f t="shared" si="28"/>
        <v>5</v>
      </c>
      <c r="K365">
        <f t="shared" si="29"/>
        <v>2014</v>
      </c>
      <c r="M365">
        <v>3</v>
      </c>
      <c r="N365" t="str">
        <f>VLOOKUP(M365,'Cadastro Vendedores'!A:H,2,2)</f>
        <v>Antônia</v>
      </c>
      <c r="O365" s="2"/>
      <c r="P365" s="16">
        <v>3000</v>
      </c>
      <c r="Q365" s="2">
        <f>VLOOKUP(B365,'Cadastro Produtos'!A:F,5,2)</f>
        <v>9</v>
      </c>
      <c r="R365" s="14">
        <f t="shared" si="25"/>
        <v>27000</v>
      </c>
    </row>
    <row r="366" spans="1:18" x14ac:dyDescent="0.25">
      <c r="A366">
        <v>365</v>
      </c>
      <c r="B366">
        <v>2</v>
      </c>
      <c r="C366" t="str">
        <f>VLOOKUP(B366,'Cadastro Produtos'!A:E,2,2)</f>
        <v>Limonada Beta com Açúcar 500 ml</v>
      </c>
      <c r="D366">
        <v>5</v>
      </c>
      <c r="E366" t="str">
        <f>VLOOKUP(D366,'Cadatro Clientes'!A:O,2,2)</f>
        <v>Axé com Limão</v>
      </c>
      <c r="F366" t="str">
        <f>VLOOKUP(D366,'Cadatro Clientes'!A:O,9,2)</f>
        <v>Nordeste</v>
      </c>
      <c r="G366" s="15">
        <v>41790</v>
      </c>
      <c r="H366">
        <f t="shared" si="26"/>
        <v>7</v>
      </c>
      <c r="I366">
        <f t="shared" si="27"/>
        <v>31</v>
      </c>
      <c r="J366">
        <f t="shared" si="28"/>
        <v>5</v>
      </c>
      <c r="K366">
        <f t="shared" si="29"/>
        <v>2014</v>
      </c>
      <c r="M366">
        <v>3</v>
      </c>
      <c r="N366" t="str">
        <f>VLOOKUP(M366,'Cadastro Vendedores'!A:H,2,2)</f>
        <v>Antônia</v>
      </c>
      <c r="O366" s="2"/>
      <c r="P366" s="16">
        <v>6900</v>
      </c>
      <c r="Q366" s="2">
        <f>VLOOKUP(B366,'Cadastro Produtos'!A:F,5,2)</f>
        <v>6.5</v>
      </c>
      <c r="R366" s="14">
        <f t="shared" si="25"/>
        <v>44850</v>
      </c>
    </row>
    <row r="367" spans="1:18" x14ac:dyDescent="0.25">
      <c r="A367">
        <v>366</v>
      </c>
      <c r="B367">
        <v>10</v>
      </c>
      <c r="C367" t="str">
        <f>VLOOKUP(B367,'Cadastro Produtos'!A:E,2,2)</f>
        <v>Limonada Alfa com Hortelã Zero 1 L</v>
      </c>
      <c r="D367">
        <v>16</v>
      </c>
      <c r="E367" t="str">
        <f>VLOOKUP(D367,'Cadatro Clientes'!A:O,2,2)</f>
        <v>Norte Suco</v>
      </c>
      <c r="F367" t="str">
        <f>VLOOKUP(D367,'Cadatro Clientes'!A:O,9,2)</f>
        <v>Nordeste</v>
      </c>
      <c r="G367" s="15">
        <v>41790</v>
      </c>
      <c r="H367">
        <f t="shared" si="26"/>
        <v>7</v>
      </c>
      <c r="I367">
        <f t="shared" si="27"/>
        <v>31</v>
      </c>
      <c r="J367">
        <f t="shared" si="28"/>
        <v>5</v>
      </c>
      <c r="K367">
        <f t="shared" si="29"/>
        <v>2014</v>
      </c>
      <c r="M367">
        <v>7</v>
      </c>
      <c r="N367" t="str">
        <f>VLOOKUP(M367,'Cadastro Vendedores'!A:H,2,2)</f>
        <v>Benedito</v>
      </c>
      <c r="O367" s="2"/>
      <c r="P367" s="16">
        <v>700</v>
      </c>
      <c r="Q367" s="2">
        <f>VLOOKUP(B367,'Cadastro Produtos'!A:F,5,2)</f>
        <v>21</v>
      </c>
      <c r="R367" s="14">
        <f t="shared" si="25"/>
        <v>14700</v>
      </c>
    </row>
    <row r="368" spans="1:18" x14ac:dyDescent="0.25">
      <c r="A368">
        <v>367</v>
      </c>
      <c r="B368">
        <v>4</v>
      </c>
      <c r="C368" t="str">
        <f>VLOOKUP(B368,'Cadastro Produtos'!A:E,2,2)</f>
        <v>Limonada Beta Zero 500 ml</v>
      </c>
      <c r="D368">
        <v>14</v>
      </c>
      <c r="E368" t="str">
        <f>VLOOKUP(D368,'Cadatro Clientes'!A:O,2,2)</f>
        <v>Sprite</v>
      </c>
      <c r="F368" t="str">
        <f>VLOOKUP(D368,'Cadatro Clientes'!A:O,9,2)</f>
        <v>Norte</v>
      </c>
      <c r="G368" s="15">
        <v>41790</v>
      </c>
      <c r="H368">
        <f t="shared" si="26"/>
        <v>7</v>
      </c>
      <c r="I368">
        <f t="shared" si="27"/>
        <v>31</v>
      </c>
      <c r="J368">
        <f t="shared" si="28"/>
        <v>5</v>
      </c>
      <c r="K368">
        <f t="shared" si="29"/>
        <v>2014</v>
      </c>
      <c r="M368">
        <v>6</v>
      </c>
      <c r="N368" t="str">
        <f>VLOOKUP(M368,'Cadastro Vendedores'!A:H,2,2)</f>
        <v>Antônia</v>
      </c>
      <c r="O368" s="2"/>
      <c r="P368" s="16">
        <v>1900</v>
      </c>
      <c r="Q368" s="2">
        <f>VLOOKUP(B368,'Cadastro Produtos'!A:F,5,2)</f>
        <v>7</v>
      </c>
      <c r="R368" s="14">
        <f t="shared" si="25"/>
        <v>13300</v>
      </c>
    </row>
    <row r="369" spans="1:18" x14ac:dyDescent="0.25">
      <c r="A369">
        <v>368</v>
      </c>
      <c r="B369">
        <v>2</v>
      </c>
      <c r="C369" t="str">
        <f>VLOOKUP(B369,'Cadastro Produtos'!A:E,2,2)</f>
        <v>Limonada Beta com Açúcar 500 ml</v>
      </c>
      <c r="D369">
        <v>6</v>
      </c>
      <c r="E369" t="str">
        <f>VLOOKUP(D369,'Cadatro Clientes'!A:O,2,2)</f>
        <v>Lemonade</v>
      </c>
      <c r="F369" t="str">
        <f>VLOOKUP(D369,'Cadatro Clientes'!A:O,9,2)</f>
        <v>Norte</v>
      </c>
      <c r="G369" s="15">
        <v>41790</v>
      </c>
      <c r="H369">
        <f t="shared" si="26"/>
        <v>7</v>
      </c>
      <c r="I369">
        <f t="shared" si="27"/>
        <v>31</v>
      </c>
      <c r="J369">
        <f t="shared" si="28"/>
        <v>5</v>
      </c>
      <c r="K369">
        <f t="shared" si="29"/>
        <v>2014</v>
      </c>
      <c r="M369">
        <v>7</v>
      </c>
      <c r="N369" t="str">
        <f>VLOOKUP(M369,'Cadastro Vendedores'!A:H,2,2)</f>
        <v>Benedito</v>
      </c>
      <c r="O369" s="2"/>
      <c r="P369" s="16">
        <v>6200</v>
      </c>
      <c r="Q369" s="2">
        <f>VLOOKUP(B369,'Cadastro Produtos'!A:F,5,2)</f>
        <v>6.5</v>
      </c>
      <c r="R369" s="14">
        <f t="shared" si="25"/>
        <v>40300</v>
      </c>
    </row>
    <row r="370" spans="1:18" x14ac:dyDescent="0.25">
      <c r="A370">
        <v>369</v>
      </c>
      <c r="B370">
        <v>4</v>
      </c>
      <c r="C370" t="str">
        <f>VLOOKUP(B370,'Cadastro Produtos'!A:E,2,2)</f>
        <v>Limonada Beta Zero 500 ml</v>
      </c>
      <c r="D370">
        <v>1</v>
      </c>
      <c r="E370" t="str">
        <f>VLOOKUP(D370,'Cadatro Clientes'!A:O,2,2)</f>
        <v>Meu Suco de Limão</v>
      </c>
      <c r="F370" t="str">
        <f>VLOOKUP(D370,'Cadatro Clientes'!A:O,9,2)</f>
        <v>Norte</v>
      </c>
      <c r="G370" s="15">
        <v>41791</v>
      </c>
      <c r="H370">
        <f t="shared" si="26"/>
        <v>1</v>
      </c>
      <c r="I370">
        <f t="shared" si="27"/>
        <v>1</v>
      </c>
      <c r="J370">
        <f t="shared" si="28"/>
        <v>6</v>
      </c>
      <c r="K370">
        <f t="shared" si="29"/>
        <v>2014</v>
      </c>
      <c r="M370">
        <v>3</v>
      </c>
      <c r="N370" t="str">
        <f>VLOOKUP(M370,'Cadastro Vendedores'!A:H,2,2)</f>
        <v>Antônia</v>
      </c>
      <c r="O370" s="2"/>
      <c r="P370" s="16">
        <v>2600</v>
      </c>
      <c r="Q370" s="2">
        <f>VLOOKUP(B370,'Cadastro Produtos'!A:F,5,2)</f>
        <v>7</v>
      </c>
      <c r="R370" s="14">
        <f t="shared" si="25"/>
        <v>18200</v>
      </c>
    </row>
    <row r="371" spans="1:18" x14ac:dyDescent="0.25">
      <c r="A371">
        <v>370</v>
      </c>
      <c r="B371">
        <v>8</v>
      </c>
      <c r="C371" t="str">
        <f>VLOOKUP(B371,'Cadastro Produtos'!A:E,2,2)</f>
        <v>Limonada Beta Zero 1 L</v>
      </c>
      <c r="D371">
        <v>8</v>
      </c>
      <c r="E371" t="str">
        <f>VLOOKUP(D371,'Cadatro Clientes'!A:O,2,2)</f>
        <v>Refresko</v>
      </c>
      <c r="F371" t="str">
        <f>VLOOKUP(D371,'Cadatro Clientes'!A:O,9,2)</f>
        <v>Sul</v>
      </c>
      <c r="G371" s="15">
        <v>41791</v>
      </c>
      <c r="H371">
        <f t="shared" si="26"/>
        <v>1</v>
      </c>
      <c r="I371">
        <f t="shared" si="27"/>
        <v>1</v>
      </c>
      <c r="J371">
        <f t="shared" si="28"/>
        <v>6</v>
      </c>
      <c r="K371">
        <f t="shared" si="29"/>
        <v>2014</v>
      </c>
      <c r="M371">
        <v>7</v>
      </c>
      <c r="N371" t="str">
        <f>VLOOKUP(M371,'Cadastro Vendedores'!A:H,2,2)</f>
        <v>Benedito</v>
      </c>
      <c r="O371" s="2"/>
      <c r="P371" s="16">
        <v>2000</v>
      </c>
      <c r="Q371" s="2">
        <f>VLOOKUP(B371,'Cadastro Produtos'!A:F,5,2)</f>
        <v>12</v>
      </c>
      <c r="R371" s="14">
        <f t="shared" si="25"/>
        <v>24000</v>
      </c>
    </row>
    <row r="372" spans="1:18" x14ac:dyDescent="0.25">
      <c r="A372">
        <v>371</v>
      </c>
      <c r="B372">
        <v>7</v>
      </c>
      <c r="C372" t="str">
        <f>VLOOKUP(B372,'Cadastro Produtos'!A:E,2,2)</f>
        <v>Limonada Alfa Zero 1 L</v>
      </c>
      <c r="D372">
        <v>5</v>
      </c>
      <c r="E372" t="str">
        <f>VLOOKUP(D372,'Cadatro Clientes'!A:O,2,2)</f>
        <v>Axé com Limão</v>
      </c>
      <c r="F372" t="str">
        <f>VLOOKUP(D372,'Cadatro Clientes'!A:O,9,2)</f>
        <v>Nordeste</v>
      </c>
      <c r="G372" s="15">
        <v>41791</v>
      </c>
      <c r="H372">
        <f t="shared" si="26"/>
        <v>1</v>
      </c>
      <c r="I372">
        <f t="shared" si="27"/>
        <v>1</v>
      </c>
      <c r="J372">
        <f t="shared" si="28"/>
        <v>6</v>
      </c>
      <c r="K372">
        <f t="shared" si="29"/>
        <v>2014</v>
      </c>
      <c r="M372">
        <v>6</v>
      </c>
      <c r="N372" t="str">
        <f>VLOOKUP(M372,'Cadastro Vendedores'!A:H,2,2)</f>
        <v>Antônia</v>
      </c>
      <c r="O372" s="2"/>
      <c r="P372" s="16">
        <v>1700</v>
      </c>
      <c r="Q372" s="2">
        <f>VLOOKUP(B372,'Cadastro Produtos'!A:F,5,2)</f>
        <v>15</v>
      </c>
      <c r="R372" s="14">
        <f t="shared" si="25"/>
        <v>25500</v>
      </c>
    </row>
    <row r="373" spans="1:18" x14ac:dyDescent="0.25">
      <c r="A373">
        <v>372</v>
      </c>
      <c r="B373">
        <v>4</v>
      </c>
      <c r="C373" t="str">
        <f>VLOOKUP(B373,'Cadastro Produtos'!A:E,2,2)</f>
        <v>Limonada Beta Zero 500 ml</v>
      </c>
      <c r="D373">
        <v>6</v>
      </c>
      <c r="E373" t="str">
        <f>VLOOKUP(D373,'Cadatro Clientes'!A:O,2,2)</f>
        <v>Lemonade</v>
      </c>
      <c r="F373" t="str">
        <f>VLOOKUP(D373,'Cadatro Clientes'!A:O,9,2)</f>
        <v>Norte</v>
      </c>
      <c r="G373" s="15">
        <v>41791</v>
      </c>
      <c r="H373">
        <f t="shared" si="26"/>
        <v>1</v>
      </c>
      <c r="I373">
        <f t="shared" si="27"/>
        <v>1</v>
      </c>
      <c r="J373">
        <f t="shared" si="28"/>
        <v>6</v>
      </c>
      <c r="K373">
        <f t="shared" si="29"/>
        <v>2014</v>
      </c>
      <c r="M373">
        <v>3</v>
      </c>
      <c r="N373" t="str">
        <f>VLOOKUP(M373,'Cadastro Vendedores'!A:H,2,2)</f>
        <v>Antônia</v>
      </c>
      <c r="O373" s="2"/>
      <c r="P373" s="16">
        <v>7400</v>
      </c>
      <c r="Q373" s="2">
        <f>VLOOKUP(B373,'Cadastro Produtos'!A:F,5,2)</f>
        <v>7</v>
      </c>
      <c r="R373" s="14">
        <f t="shared" si="25"/>
        <v>51800</v>
      </c>
    </row>
    <row r="374" spans="1:18" x14ac:dyDescent="0.25">
      <c r="A374">
        <v>373</v>
      </c>
      <c r="B374">
        <v>2</v>
      </c>
      <c r="C374" t="str">
        <f>VLOOKUP(B374,'Cadastro Produtos'!A:E,2,2)</f>
        <v>Limonada Beta com Açúcar 500 ml</v>
      </c>
      <c r="D374">
        <v>5</v>
      </c>
      <c r="E374" t="str">
        <f>VLOOKUP(D374,'Cadatro Clientes'!A:O,2,2)</f>
        <v>Axé com Limão</v>
      </c>
      <c r="F374" t="str">
        <f>VLOOKUP(D374,'Cadatro Clientes'!A:O,9,2)</f>
        <v>Nordeste</v>
      </c>
      <c r="G374" s="15">
        <v>41791</v>
      </c>
      <c r="H374">
        <f t="shared" si="26"/>
        <v>1</v>
      </c>
      <c r="I374">
        <f t="shared" si="27"/>
        <v>1</v>
      </c>
      <c r="J374">
        <f t="shared" si="28"/>
        <v>6</v>
      </c>
      <c r="K374">
        <f t="shared" si="29"/>
        <v>2014</v>
      </c>
      <c r="M374">
        <v>3</v>
      </c>
      <c r="N374" t="str">
        <f>VLOOKUP(M374,'Cadastro Vendedores'!A:H,2,2)</f>
        <v>Antônia</v>
      </c>
      <c r="O374" s="2"/>
      <c r="P374" s="16">
        <v>3600</v>
      </c>
      <c r="Q374" s="2">
        <f>VLOOKUP(B374,'Cadastro Produtos'!A:F,5,2)</f>
        <v>6.5</v>
      </c>
      <c r="R374" s="14">
        <f t="shared" si="25"/>
        <v>23400</v>
      </c>
    </row>
    <row r="375" spans="1:18" x14ac:dyDescent="0.25">
      <c r="A375">
        <v>374</v>
      </c>
      <c r="B375">
        <v>2</v>
      </c>
      <c r="C375" t="str">
        <f>VLOOKUP(B375,'Cadastro Produtos'!A:E,2,2)</f>
        <v>Limonada Beta com Açúcar 500 ml</v>
      </c>
      <c r="D375">
        <v>11</v>
      </c>
      <c r="E375" t="str">
        <f>VLOOKUP(D375,'Cadatro Clientes'!A:O,2,2)</f>
        <v>Red Lemon</v>
      </c>
      <c r="F375" t="str">
        <f>VLOOKUP(D375,'Cadatro Clientes'!A:O,9,2)</f>
        <v>Sul</v>
      </c>
      <c r="G375" s="15">
        <v>41792</v>
      </c>
      <c r="H375">
        <f t="shared" si="26"/>
        <v>2</v>
      </c>
      <c r="I375">
        <f t="shared" si="27"/>
        <v>2</v>
      </c>
      <c r="J375">
        <f t="shared" si="28"/>
        <v>6</v>
      </c>
      <c r="K375">
        <f t="shared" si="29"/>
        <v>2014</v>
      </c>
      <c r="M375">
        <v>3</v>
      </c>
      <c r="N375" t="str">
        <f>VLOOKUP(M375,'Cadastro Vendedores'!A:H,2,2)</f>
        <v>Antônia</v>
      </c>
      <c r="O375" s="2"/>
      <c r="P375" s="16">
        <v>5200</v>
      </c>
      <c r="Q375" s="2">
        <f>VLOOKUP(B375,'Cadastro Produtos'!A:F,5,2)</f>
        <v>6.5</v>
      </c>
      <c r="R375" s="14">
        <f t="shared" si="25"/>
        <v>33800</v>
      </c>
    </row>
    <row r="376" spans="1:18" x14ac:dyDescent="0.25">
      <c r="A376">
        <v>375</v>
      </c>
      <c r="B376">
        <v>2</v>
      </c>
      <c r="C376" t="str">
        <f>VLOOKUP(B376,'Cadastro Produtos'!A:E,2,2)</f>
        <v>Limonada Beta com Açúcar 500 ml</v>
      </c>
      <c r="D376">
        <v>16</v>
      </c>
      <c r="E376" t="str">
        <f>VLOOKUP(D376,'Cadatro Clientes'!A:O,2,2)</f>
        <v>Norte Suco</v>
      </c>
      <c r="F376" t="str">
        <f>VLOOKUP(D376,'Cadatro Clientes'!A:O,9,2)</f>
        <v>Nordeste</v>
      </c>
      <c r="G376" s="15">
        <v>41792</v>
      </c>
      <c r="H376">
        <f t="shared" si="26"/>
        <v>2</v>
      </c>
      <c r="I376">
        <f t="shared" si="27"/>
        <v>2</v>
      </c>
      <c r="J376">
        <f t="shared" si="28"/>
        <v>6</v>
      </c>
      <c r="K376">
        <f t="shared" si="29"/>
        <v>2014</v>
      </c>
      <c r="M376">
        <v>8</v>
      </c>
      <c r="N376" t="str">
        <f>VLOOKUP(M376,'Cadastro Vendedores'!A:H,2,2)</f>
        <v>Sérgio</v>
      </c>
      <c r="O376" s="2"/>
      <c r="P376" s="16">
        <v>4200</v>
      </c>
      <c r="Q376" s="2">
        <f>VLOOKUP(B376,'Cadastro Produtos'!A:F,5,2)</f>
        <v>6.5</v>
      </c>
      <c r="R376" s="14">
        <f t="shared" si="25"/>
        <v>27300</v>
      </c>
    </row>
    <row r="377" spans="1:18" x14ac:dyDescent="0.25">
      <c r="A377">
        <v>376</v>
      </c>
      <c r="B377">
        <v>6</v>
      </c>
      <c r="C377" t="str">
        <f>VLOOKUP(B377,'Cadastro Produtos'!A:E,2,2)</f>
        <v>Limonada Beta com Açúcar 1 L</v>
      </c>
      <c r="D377">
        <v>6</v>
      </c>
      <c r="E377" t="str">
        <f>VLOOKUP(D377,'Cadatro Clientes'!A:O,2,2)</f>
        <v>Lemonade</v>
      </c>
      <c r="F377" t="str">
        <f>VLOOKUP(D377,'Cadatro Clientes'!A:O,9,2)</f>
        <v>Norte</v>
      </c>
      <c r="G377" s="15">
        <v>41792</v>
      </c>
      <c r="H377">
        <f t="shared" si="26"/>
        <v>2</v>
      </c>
      <c r="I377">
        <f t="shared" si="27"/>
        <v>2</v>
      </c>
      <c r="J377">
        <f t="shared" si="28"/>
        <v>6</v>
      </c>
      <c r="K377">
        <f t="shared" si="29"/>
        <v>2014</v>
      </c>
      <c r="M377">
        <v>2</v>
      </c>
      <c r="N377" t="str">
        <f>VLOOKUP(M377,'Cadastro Vendedores'!A:H,2,2)</f>
        <v>Luis</v>
      </c>
      <c r="O377" s="2"/>
      <c r="P377" s="16">
        <v>4500</v>
      </c>
      <c r="Q377" s="2">
        <f>VLOOKUP(B377,'Cadastro Produtos'!A:F,5,2)</f>
        <v>12</v>
      </c>
      <c r="R377" s="14">
        <f t="shared" si="25"/>
        <v>54000</v>
      </c>
    </row>
    <row r="378" spans="1:18" x14ac:dyDescent="0.25">
      <c r="A378">
        <v>377</v>
      </c>
      <c r="B378">
        <v>6</v>
      </c>
      <c r="C378" t="str">
        <f>VLOOKUP(B378,'Cadastro Produtos'!A:E,2,2)</f>
        <v>Limonada Beta com Açúcar 1 L</v>
      </c>
      <c r="D378">
        <v>9</v>
      </c>
      <c r="E378" t="str">
        <f>VLOOKUP(D378,'Cadatro Clientes'!A:O,2,2)</f>
        <v>Fresh Lemon</v>
      </c>
      <c r="F378" t="str">
        <f>VLOOKUP(D378,'Cadatro Clientes'!A:O,9,2)</f>
        <v>Sudeste</v>
      </c>
      <c r="G378" s="15">
        <v>41792</v>
      </c>
      <c r="H378">
        <f t="shared" si="26"/>
        <v>2</v>
      </c>
      <c r="I378">
        <f t="shared" si="27"/>
        <v>2</v>
      </c>
      <c r="J378">
        <f t="shared" si="28"/>
        <v>6</v>
      </c>
      <c r="K378">
        <f t="shared" si="29"/>
        <v>2014</v>
      </c>
      <c r="M378">
        <v>2</v>
      </c>
      <c r="N378" t="str">
        <f>VLOOKUP(M378,'Cadastro Vendedores'!A:H,2,2)</f>
        <v>Luis</v>
      </c>
      <c r="O378" s="2"/>
      <c r="P378" s="16">
        <v>4100</v>
      </c>
      <c r="Q378" s="2">
        <f>VLOOKUP(B378,'Cadastro Produtos'!A:F,5,2)</f>
        <v>12</v>
      </c>
      <c r="R378" s="14">
        <f t="shared" si="25"/>
        <v>49200</v>
      </c>
    </row>
    <row r="379" spans="1:18" x14ac:dyDescent="0.25">
      <c r="A379">
        <v>378</v>
      </c>
      <c r="B379">
        <v>10</v>
      </c>
      <c r="C379" t="str">
        <f>VLOOKUP(B379,'Cadastro Produtos'!A:E,2,2)</f>
        <v>Limonada Alfa com Hortelã Zero 1 L</v>
      </c>
      <c r="D379">
        <v>5</v>
      </c>
      <c r="E379" t="str">
        <f>VLOOKUP(D379,'Cadatro Clientes'!A:O,2,2)</f>
        <v>Axé com Limão</v>
      </c>
      <c r="F379" t="str">
        <f>VLOOKUP(D379,'Cadatro Clientes'!A:O,9,2)</f>
        <v>Nordeste</v>
      </c>
      <c r="G379" s="15">
        <v>41792</v>
      </c>
      <c r="H379">
        <f t="shared" si="26"/>
        <v>2</v>
      </c>
      <c r="I379">
        <f t="shared" si="27"/>
        <v>2</v>
      </c>
      <c r="J379">
        <f t="shared" si="28"/>
        <v>6</v>
      </c>
      <c r="K379">
        <f t="shared" si="29"/>
        <v>2014</v>
      </c>
      <c r="M379">
        <v>8</v>
      </c>
      <c r="N379" t="str">
        <f>VLOOKUP(M379,'Cadastro Vendedores'!A:H,2,2)</f>
        <v>Sérgio</v>
      </c>
      <c r="O379" s="2"/>
      <c r="P379" s="16">
        <v>1300</v>
      </c>
      <c r="Q379" s="2">
        <f>VLOOKUP(B379,'Cadastro Produtos'!A:F,5,2)</f>
        <v>21</v>
      </c>
      <c r="R379" s="14">
        <f t="shared" si="25"/>
        <v>27300</v>
      </c>
    </row>
    <row r="380" spans="1:18" x14ac:dyDescent="0.25">
      <c r="A380">
        <v>379</v>
      </c>
      <c r="B380">
        <v>3</v>
      </c>
      <c r="C380" t="str">
        <f>VLOOKUP(B380,'Cadastro Produtos'!A:E,2,2)</f>
        <v>Limonada Alfa Zero 500 ml</v>
      </c>
      <c r="D380">
        <v>7</v>
      </c>
      <c r="E380" t="str">
        <f>VLOOKUP(D380,'Cadatro Clientes'!A:O,2,2)</f>
        <v>Limo</v>
      </c>
      <c r="F380" t="str">
        <f>VLOOKUP(D380,'Cadatro Clientes'!A:O,9,2)</f>
        <v>Centro-Oeste</v>
      </c>
      <c r="G380" s="15">
        <v>41793</v>
      </c>
      <c r="H380">
        <f t="shared" si="26"/>
        <v>3</v>
      </c>
      <c r="I380">
        <f t="shared" si="27"/>
        <v>3</v>
      </c>
      <c r="J380">
        <f t="shared" si="28"/>
        <v>6</v>
      </c>
      <c r="K380">
        <f t="shared" si="29"/>
        <v>2014</v>
      </c>
      <c r="M380">
        <v>3</v>
      </c>
      <c r="N380" t="str">
        <f>VLOOKUP(M380,'Cadastro Vendedores'!A:H,2,2)</f>
        <v>Antônia</v>
      </c>
      <c r="O380" s="2"/>
      <c r="P380" s="16">
        <v>4500</v>
      </c>
      <c r="Q380" s="2">
        <f>VLOOKUP(B380,'Cadastro Produtos'!A:F,5,2)</f>
        <v>9</v>
      </c>
      <c r="R380" s="14">
        <f t="shared" si="25"/>
        <v>40500</v>
      </c>
    </row>
    <row r="381" spans="1:18" x14ac:dyDescent="0.25">
      <c r="A381">
        <v>380</v>
      </c>
      <c r="B381">
        <v>7</v>
      </c>
      <c r="C381" t="str">
        <f>VLOOKUP(B381,'Cadastro Produtos'!A:E,2,2)</f>
        <v>Limonada Alfa Zero 1 L</v>
      </c>
      <c r="D381">
        <v>9</v>
      </c>
      <c r="E381" t="str">
        <f>VLOOKUP(D381,'Cadatro Clientes'!A:O,2,2)</f>
        <v>Fresh Lemon</v>
      </c>
      <c r="F381" t="str">
        <f>VLOOKUP(D381,'Cadatro Clientes'!A:O,9,2)</f>
        <v>Sudeste</v>
      </c>
      <c r="G381" s="15">
        <v>41793</v>
      </c>
      <c r="H381">
        <f t="shared" si="26"/>
        <v>3</v>
      </c>
      <c r="I381">
        <f t="shared" si="27"/>
        <v>3</v>
      </c>
      <c r="J381">
        <f t="shared" si="28"/>
        <v>6</v>
      </c>
      <c r="K381">
        <f t="shared" si="29"/>
        <v>2014</v>
      </c>
      <c r="M381">
        <v>3</v>
      </c>
      <c r="N381" t="str">
        <f>VLOOKUP(M381,'Cadastro Vendedores'!A:H,2,2)</f>
        <v>Antônia</v>
      </c>
      <c r="O381" s="2"/>
      <c r="P381" s="16">
        <v>2800</v>
      </c>
      <c r="Q381" s="2">
        <f>VLOOKUP(B381,'Cadastro Produtos'!A:F,5,2)</f>
        <v>15</v>
      </c>
      <c r="R381" s="14">
        <f t="shared" si="25"/>
        <v>42000</v>
      </c>
    </row>
    <row r="382" spans="1:18" x14ac:dyDescent="0.25">
      <c r="A382">
        <v>381</v>
      </c>
      <c r="B382">
        <v>4</v>
      </c>
      <c r="C382" t="str">
        <f>VLOOKUP(B382,'Cadastro Produtos'!A:E,2,2)</f>
        <v>Limonada Beta Zero 500 ml</v>
      </c>
      <c r="D382">
        <v>1</v>
      </c>
      <c r="E382" t="str">
        <f>VLOOKUP(D382,'Cadatro Clientes'!A:O,2,2)</f>
        <v>Meu Suco de Limão</v>
      </c>
      <c r="F382" t="str">
        <f>VLOOKUP(D382,'Cadatro Clientes'!A:O,9,2)</f>
        <v>Norte</v>
      </c>
      <c r="G382" s="15">
        <v>41793</v>
      </c>
      <c r="H382">
        <f t="shared" si="26"/>
        <v>3</v>
      </c>
      <c r="I382">
        <f t="shared" si="27"/>
        <v>3</v>
      </c>
      <c r="J382">
        <f t="shared" si="28"/>
        <v>6</v>
      </c>
      <c r="K382">
        <f t="shared" si="29"/>
        <v>2014</v>
      </c>
      <c r="M382">
        <v>2</v>
      </c>
      <c r="N382" t="str">
        <f>VLOOKUP(M382,'Cadastro Vendedores'!A:H,2,2)</f>
        <v>Luis</v>
      </c>
      <c r="O382" s="2"/>
      <c r="P382" s="16">
        <v>4500</v>
      </c>
      <c r="Q382" s="2">
        <f>VLOOKUP(B382,'Cadastro Produtos'!A:F,5,2)</f>
        <v>7</v>
      </c>
      <c r="R382" s="14">
        <f t="shared" si="25"/>
        <v>31500</v>
      </c>
    </row>
    <row r="383" spans="1:18" x14ac:dyDescent="0.25">
      <c r="A383">
        <v>382</v>
      </c>
      <c r="B383">
        <v>8</v>
      </c>
      <c r="C383" t="str">
        <f>VLOOKUP(B383,'Cadastro Produtos'!A:E,2,2)</f>
        <v>Limonada Beta Zero 1 L</v>
      </c>
      <c r="D383">
        <v>1</v>
      </c>
      <c r="E383" t="str">
        <f>VLOOKUP(D383,'Cadatro Clientes'!A:O,2,2)</f>
        <v>Meu Suco de Limão</v>
      </c>
      <c r="F383" t="str">
        <f>VLOOKUP(D383,'Cadatro Clientes'!A:O,9,2)</f>
        <v>Norte</v>
      </c>
      <c r="G383" s="15">
        <v>41793</v>
      </c>
      <c r="H383">
        <f t="shared" si="26"/>
        <v>3</v>
      </c>
      <c r="I383">
        <f t="shared" si="27"/>
        <v>3</v>
      </c>
      <c r="J383">
        <f t="shared" si="28"/>
        <v>6</v>
      </c>
      <c r="K383">
        <f t="shared" si="29"/>
        <v>2014</v>
      </c>
      <c r="M383">
        <v>6</v>
      </c>
      <c r="N383" t="str">
        <f>VLOOKUP(M383,'Cadastro Vendedores'!A:H,2,2)</f>
        <v>Antônia</v>
      </c>
      <c r="O383" s="2"/>
      <c r="P383" s="16">
        <v>4600</v>
      </c>
      <c r="Q383" s="2">
        <f>VLOOKUP(B383,'Cadastro Produtos'!A:F,5,2)</f>
        <v>12</v>
      </c>
      <c r="R383" s="14">
        <f t="shared" si="25"/>
        <v>55200</v>
      </c>
    </row>
    <row r="384" spans="1:18" x14ac:dyDescent="0.25">
      <c r="A384">
        <v>383</v>
      </c>
      <c r="B384">
        <v>4</v>
      </c>
      <c r="C384" t="str">
        <f>VLOOKUP(B384,'Cadastro Produtos'!A:E,2,2)</f>
        <v>Limonada Beta Zero 500 ml</v>
      </c>
      <c r="D384">
        <v>8</v>
      </c>
      <c r="E384" t="str">
        <f>VLOOKUP(D384,'Cadatro Clientes'!A:O,2,2)</f>
        <v>Refresko</v>
      </c>
      <c r="F384" t="str">
        <f>VLOOKUP(D384,'Cadatro Clientes'!A:O,9,2)</f>
        <v>Sul</v>
      </c>
      <c r="G384" s="15">
        <v>41794</v>
      </c>
      <c r="H384">
        <f t="shared" si="26"/>
        <v>4</v>
      </c>
      <c r="I384">
        <f t="shared" si="27"/>
        <v>4</v>
      </c>
      <c r="J384">
        <f t="shared" si="28"/>
        <v>6</v>
      </c>
      <c r="K384">
        <f t="shared" si="29"/>
        <v>2014</v>
      </c>
      <c r="M384">
        <v>2</v>
      </c>
      <c r="N384" t="str">
        <f>VLOOKUP(M384,'Cadastro Vendedores'!A:H,2,2)</f>
        <v>Luis</v>
      </c>
      <c r="O384" s="2"/>
      <c r="P384" s="16">
        <v>3100</v>
      </c>
      <c r="Q384" s="2">
        <f>VLOOKUP(B384,'Cadastro Produtos'!A:F,5,2)</f>
        <v>7</v>
      </c>
      <c r="R384" s="14">
        <f t="shared" si="25"/>
        <v>21700</v>
      </c>
    </row>
    <row r="385" spans="1:18" x14ac:dyDescent="0.25">
      <c r="A385">
        <v>384</v>
      </c>
      <c r="B385">
        <v>3</v>
      </c>
      <c r="C385" t="str">
        <f>VLOOKUP(B385,'Cadastro Produtos'!A:E,2,2)</f>
        <v>Limonada Alfa Zero 500 ml</v>
      </c>
      <c r="D385">
        <v>20</v>
      </c>
      <c r="E385" t="str">
        <f>VLOOKUP(D385,'Cadatro Clientes'!A:O,2,2)</f>
        <v>Brasil Saúde</v>
      </c>
      <c r="F385" t="str">
        <f>VLOOKUP(D385,'Cadatro Clientes'!A:O,9,2)</f>
        <v>Nordeste</v>
      </c>
      <c r="G385" s="15">
        <v>41794</v>
      </c>
      <c r="H385">
        <f t="shared" si="26"/>
        <v>4</v>
      </c>
      <c r="I385">
        <f t="shared" si="27"/>
        <v>4</v>
      </c>
      <c r="J385">
        <f t="shared" si="28"/>
        <v>6</v>
      </c>
      <c r="K385">
        <f t="shared" si="29"/>
        <v>2014</v>
      </c>
      <c r="M385">
        <v>8</v>
      </c>
      <c r="N385" t="str">
        <f>VLOOKUP(M385,'Cadastro Vendedores'!A:H,2,2)</f>
        <v>Sérgio</v>
      </c>
      <c r="O385" s="2"/>
      <c r="P385" s="16">
        <v>4400</v>
      </c>
      <c r="Q385" s="2">
        <f>VLOOKUP(B385,'Cadastro Produtos'!A:F,5,2)</f>
        <v>9</v>
      </c>
      <c r="R385" s="14">
        <f t="shared" si="25"/>
        <v>39600</v>
      </c>
    </row>
    <row r="386" spans="1:18" x14ac:dyDescent="0.25">
      <c r="A386">
        <v>385</v>
      </c>
      <c r="B386">
        <v>4</v>
      </c>
      <c r="C386" t="str">
        <f>VLOOKUP(B386,'Cadastro Produtos'!A:E,2,2)</f>
        <v>Limonada Beta Zero 500 ml</v>
      </c>
      <c r="D386">
        <v>14</v>
      </c>
      <c r="E386" t="str">
        <f>VLOOKUP(D386,'Cadatro Clientes'!A:O,2,2)</f>
        <v>Sprite</v>
      </c>
      <c r="F386" t="str">
        <f>VLOOKUP(D386,'Cadatro Clientes'!A:O,9,2)</f>
        <v>Norte</v>
      </c>
      <c r="G386" s="15">
        <v>41794</v>
      </c>
      <c r="H386">
        <f t="shared" si="26"/>
        <v>4</v>
      </c>
      <c r="I386">
        <f t="shared" si="27"/>
        <v>4</v>
      </c>
      <c r="J386">
        <f t="shared" si="28"/>
        <v>6</v>
      </c>
      <c r="K386">
        <f t="shared" si="29"/>
        <v>2014</v>
      </c>
      <c r="M386">
        <v>2</v>
      </c>
      <c r="N386" t="str">
        <f>VLOOKUP(M386,'Cadastro Vendedores'!A:H,2,2)</f>
        <v>Luis</v>
      </c>
      <c r="O386" s="2"/>
      <c r="P386" s="16">
        <v>2800</v>
      </c>
      <c r="Q386" s="2">
        <f>VLOOKUP(B386,'Cadastro Produtos'!A:F,5,2)</f>
        <v>7</v>
      </c>
      <c r="R386" s="14">
        <f t="shared" ref="R386:R449" si="30">Q386*P386</f>
        <v>19600</v>
      </c>
    </row>
    <row r="387" spans="1:18" x14ac:dyDescent="0.25">
      <c r="A387">
        <v>386</v>
      </c>
      <c r="B387">
        <v>9</v>
      </c>
      <c r="C387" t="str">
        <f>VLOOKUP(B387,'Cadastro Produtos'!A:E,2,2)</f>
        <v>Limonada Alfa com Hortelã e Açúcar 1 L</v>
      </c>
      <c r="D387">
        <v>16</v>
      </c>
      <c r="E387" t="str">
        <f>VLOOKUP(D387,'Cadatro Clientes'!A:O,2,2)</f>
        <v>Norte Suco</v>
      </c>
      <c r="F387" t="str">
        <f>VLOOKUP(D387,'Cadatro Clientes'!A:O,9,2)</f>
        <v>Nordeste</v>
      </c>
      <c r="G387" s="15">
        <v>41794</v>
      </c>
      <c r="H387">
        <f t="shared" ref="H387:H450" si="31">WEEKDAY(G387)</f>
        <v>4</v>
      </c>
      <c r="I387">
        <f t="shared" ref="I387:I450" si="32">DAY(G387)</f>
        <v>4</v>
      </c>
      <c r="J387">
        <f t="shared" ref="J387:J450" si="33">MONTH(G387)</f>
        <v>6</v>
      </c>
      <c r="K387">
        <f t="shared" ref="K387:K450" si="34">YEAR(G387)</f>
        <v>2014</v>
      </c>
      <c r="M387">
        <v>7</v>
      </c>
      <c r="N387" t="str">
        <f>VLOOKUP(M387,'Cadastro Vendedores'!A:H,2,2)</f>
        <v>Benedito</v>
      </c>
      <c r="O387" s="2"/>
      <c r="P387" s="16">
        <v>1500</v>
      </c>
      <c r="Q387" s="2">
        <f>VLOOKUP(B387,'Cadastro Produtos'!A:F,5,2)</f>
        <v>17.5</v>
      </c>
      <c r="R387" s="14">
        <f t="shared" si="30"/>
        <v>26250</v>
      </c>
    </row>
    <row r="388" spans="1:18" x14ac:dyDescent="0.25">
      <c r="A388">
        <v>387</v>
      </c>
      <c r="B388">
        <v>2</v>
      </c>
      <c r="C388" t="str">
        <f>VLOOKUP(B388,'Cadastro Produtos'!A:E,2,2)</f>
        <v>Limonada Beta com Açúcar 500 ml</v>
      </c>
      <c r="D388">
        <v>17</v>
      </c>
      <c r="E388" t="str">
        <f>VLOOKUP(D388,'Cadatro Clientes'!A:O,2,2)</f>
        <v>Aracasuco</v>
      </c>
      <c r="F388" t="str">
        <f>VLOOKUP(D388,'Cadatro Clientes'!A:O,9,2)</f>
        <v>Nordeste</v>
      </c>
      <c r="G388" s="15">
        <v>41794</v>
      </c>
      <c r="H388">
        <f t="shared" si="31"/>
        <v>4</v>
      </c>
      <c r="I388">
        <f t="shared" si="32"/>
        <v>4</v>
      </c>
      <c r="J388">
        <f t="shared" si="33"/>
        <v>6</v>
      </c>
      <c r="K388">
        <f t="shared" si="34"/>
        <v>2014</v>
      </c>
      <c r="M388">
        <v>3</v>
      </c>
      <c r="N388" t="str">
        <f>VLOOKUP(M388,'Cadastro Vendedores'!A:H,2,2)</f>
        <v>Antônia</v>
      </c>
      <c r="O388" s="2"/>
      <c r="P388" s="16">
        <v>3000</v>
      </c>
      <c r="Q388" s="2">
        <f>VLOOKUP(B388,'Cadastro Produtos'!A:F,5,2)</f>
        <v>6.5</v>
      </c>
      <c r="R388" s="14">
        <f t="shared" si="30"/>
        <v>19500</v>
      </c>
    </row>
    <row r="389" spans="1:18" x14ac:dyDescent="0.25">
      <c r="A389">
        <v>388</v>
      </c>
      <c r="B389">
        <v>4</v>
      </c>
      <c r="C389" t="str">
        <f>VLOOKUP(B389,'Cadastro Produtos'!A:E,2,2)</f>
        <v>Limonada Beta Zero 500 ml</v>
      </c>
      <c r="D389">
        <v>19</v>
      </c>
      <c r="E389" t="str">
        <f>VLOOKUP(D389,'Cadatro Clientes'!A:O,2,2)</f>
        <v>Lima Limão</v>
      </c>
      <c r="F389" t="str">
        <f>VLOOKUP(D389,'Cadatro Clientes'!A:O,9,2)</f>
        <v>Sudeste</v>
      </c>
      <c r="G389" s="15">
        <v>41794</v>
      </c>
      <c r="H389">
        <f t="shared" si="31"/>
        <v>4</v>
      </c>
      <c r="I389">
        <f t="shared" si="32"/>
        <v>4</v>
      </c>
      <c r="J389">
        <f t="shared" si="33"/>
        <v>6</v>
      </c>
      <c r="K389">
        <f t="shared" si="34"/>
        <v>2014</v>
      </c>
      <c r="M389">
        <v>2</v>
      </c>
      <c r="N389" t="str">
        <f>VLOOKUP(M389,'Cadastro Vendedores'!A:H,2,2)</f>
        <v>Luis</v>
      </c>
      <c r="O389" s="2"/>
      <c r="P389" s="16">
        <v>4600</v>
      </c>
      <c r="Q389" s="2">
        <f>VLOOKUP(B389,'Cadastro Produtos'!A:F,5,2)</f>
        <v>7</v>
      </c>
      <c r="R389" s="14">
        <f t="shared" si="30"/>
        <v>32200</v>
      </c>
    </row>
    <row r="390" spans="1:18" x14ac:dyDescent="0.25">
      <c r="A390">
        <v>389</v>
      </c>
      <c r="B390">
        <v>9</v>
      </c>
      <c r="C390" t="str">
        <f>VLOOKUP(B390,'Cadastro Produtos'!A:E,2,2)</f>
        <v>Limonada Alfa com Hortelã e Açúcar 1 L</v>
      </c>
      <c r="D390">
        <v>11</v>
      </c>
      <c r="E390" t="str">
        <f>VLOOKUP(D390,'Cadatro Clientes'!A:O,2,2)</f>
        <v>Red Lemon</v>
      </c>
      <c r="F390" t="str">
        <f>VLOOKUP(D390,'Cadatro Clientes'!A:O,9,2)</f>
        <v>Sul</v>
      </c>
      <c r="G390" s="15">
        <v>41794</v>
      </c>
      <c r="H390">
        <f t="shared" si="31"/>
        <v>4</v>
      </c>
      <c r="I390">
        <f t="shared" si="32"/>
        <v>4</v>
      </c>
      <c r="J390">
        <f t="shared" si="33"/>
        <v>6</v>
      </c>
      <c r="K390">
        <f t="shared" si="34"/>
        <v>2014</v>
      </c>
      <c r="M390">
        <v>2</v>
      </c>
      <c r="N390" t="str">
        <f>VLOOKUP(M390,'Cadastro Vendedores'!A:H,2,2)</f>
        <v>Luis</v>
      </c>
      <c r="O390" s="2"/>
      <c r="P390" s="16">
        <v>1200</v>
      </c>
      <c r="Q390" s="2">
        <f>VLOOKUP(B390,'Cadastro Produtos'!A:F,5,2)</f>
        <v>17.5</v>
      </c>
      <c r="R390" s="14">
        <f t="shared" si="30"/>
        <v>21000</v>
      </c>
    </row>
    <row r="391" spans="1:18" x14ac:dyDescent="0.25">
      <c r="A391">
        <v>390</v>
      </c>
      <c r="B391">
        <v>9</v>
      </c>
      <c r="C391" t="str">
        <f>VLOOKUP(B391,'Cadastro Produtos'!A:E,2,2)</f>
        <v>Limonada Alfa com Hortelã e Açúcar 1 L</v>
      </c>
      <c r="D391">
        <v>1</v>
      </c>
      <c r="E391" t="str">
        <f>VLOOKUP(D391,'Cadatro Clientes'!A:O,2,2)</f>
        <v>Meu Suco de Limão</v>
      </c>
      <c r="F391" t="str">
        <f>VLOOKUP(D391,'Cadatro Clientes'!A:O,9,2)</f>
        <v>Norte</v>
      </c>
      <c r="G391" s="15">
        <v>41794</v>
      </c>
      <c r="H391">
        <f t="shared" si="31"/>
        <v>4</v>
      </c>
      <c r="I391">
        <f t="shared" si="32"/>
        <v>4</v>
      </c>
      <c r="J391">
        <f t="shared" si="33"/>
        <v>6</v>
      </c>
      <c r="K391">
        <f t="shared" si="34"/>
        <v>2014</v>
      </c>
      <c r="M391">
        <v>4</v>
      </c>
      <c r="N391" t="str">
        <f>VLOOKUP(M391,'Cadastro Vendedores'!A:H,2,2)</f>
        <v>José</v>
      </c>
      <c r="O391" s="2"/>
      <c r="P391" s="16">
        <v>1100</v>
      </c>
      <c r="Q391" s="2">
        <f>VLOOKUP(B391,'Cadastro Produtos'!A:F,5,2)</f>
        <v>17.5</v>
      </c>
      <c r="R391" s="14">
        <f t="shared" si="30"/>
        <v>19250</v>
      </c>
    </row>
    <row r="392" spans="1:18" x14ac:dyDescent="0.25">
      <c r="A392">
        <v>391</v>
      </c>
      <c r="B392">
        <v>4</v>
      </c>
      <c r="C392" t="str">
        <f>VLOOKUP(B392,'Cadastro Produtos'!A:E,2,2)</f>
        <v>Limonada Beta Zero 500 ml</v>
      </c>
      <c r="D392">
        <v>1</v>
      </c>
      <c r="E392" t="str">
        <f>VLOOKUP(D392,'Cadatro Clientes'!A:O,2,2)</f>
        <v>Meu Suco de Limão</v>
      </c>
      <c r="F392" t="str">
        <f>VLOOKUP(D392,'Cadatro Clientes'!A:O,9,2)</f>
        <v>Norte</v>
      </c>
      <c r="G392" s="15">
        <v>41795</v>
      </c>
      <c r="H392">
        <f t="shared" si="31"/>
        <v>5</v>
      </c>
      <c r="I392">
        <f t="shared" si="32"/>
        <v>5</v>
      </c>
      <c r="J392">
        <f t="shared" si="33"/>
        <v>6</v>
      </c>
      <c r="K392">
        <f t="shared" si="34"/>
        <v>2014</v>
      </c>
      <c r="M392">
        <v>6</v>
      </c>
      <c r="N392" t="str">
        <f>VLOOKUP(M392,'Cadastro Vendedores'!A:H,2,2)</f>
        <v>Antônia</v>
      </c>
      <c r="O392" s="2"/>
      <c r="P392" s="16">
        <v>3800</v>
      </c>
      <c r="Q392" s="2">
        <f>VLOOKUP(B392,'Cadastro Produtos'!A:F,5,2)</f>
        <v>7</v>
      </c>
      <c r="R392" s="14">
        <f t="shared" si="30"/>
        <v>26600</v>
      </c>
    </row>
    <row r="393" spans="1:18" x14ac:dyDescent="0.25">
      <c r="A393">
        <v>392</v>
      </c>
      <c r="B393">
        <v>10</v>
      </c>
      <c r="C393" t="str">
        <f>VLOOKUP(B393,'Cadastro Produtos'!A:E,2,2)</f>
        <v>Limonada Alfa com Hortelã Zero 1 L</v>
      </c>
      <c r="D393">
        <v>9</v>
      </c>
      <c r="E393" t="str">
        <f>VLOOKUP(D393,'Cadatro Clientes'!A:O,2,2)</f>
        <v>Fresh Lemon</v>
      </c>
      <c r="F393" t="str">
        <f>VLOOKUP(D393,'Cadatro Clientes'!A:O,9,2)</f>
        <v>Sudeste</v>
      </c>
      <c r="G393" s="15">
        <v>41795</v>
      </c>
      <c r="H393">
        <f t="shared" si="31"/>
        <v>5</v>
      </c>
      <c r="I393">
        <f t="shared" si="32"/>
        <v>5</v>
      </c>
      <c r="J393">
        <f t="shared" si="33"/>
        <v>6</v>
      </c>
      <c r="K393">
        <f t="shared" si="34"/>
        <v>2014</v>
      </c>
      <c r="M393">
        <v>3</v>
      </c>
      <c r="N393" t="str">
        <f>VLOOKUP(M393,'Cadastro Vendedores'!A:H,2,2)</f>
        <v>Antônia</v>
      </c>
      <c r="O393" s="2"/>
      <c r="P393" s="16">
        <v>1900</v>
      </c>
      <c r="Q393" s="2">
        <f>VLOOKUP(B393,'Cadastro Produtos'!A:F,5,2)</f>
        <v>21</v>
      </c>
      <c r="R393" s="14">
        <f t="shared" si="30"/>
        <v>39900</v>
      </c>
    </row>
    <row r="394" spans="1:18" x14ac:dyDescent="0.25">
      <c r="A394">
        <v>393</v>
      </c>
      <c r="B394">
        <v>6</v>
      </c>
      <c r="C394" t="str">
        <f>VLOOKUP(B394,'Cadastro Produtos'!A:E,2,2)</f>
        <v>Limonada Beta com Açúcar 1 L</v>
      </c>
      <c r="D394">
        <v>1</v>
      </c>
      <c r="E394" t="str">
        <f>VLOOKUP(D394,'Cadatro Clientes'!A:O,2,2)</f>
        <v>Meu Suco de Limão</v>
      </c>
      <c r="F394" t="str">
        <f>VLOOKUP(D394,'Cadatro Clientes'!A:O,9,2)</f>
        <v>Norte</v>
      </c>
      <c r="G394" s="15">
        <v>41796</v>
      </c>
      <c r="H394">
        <f t="shared" si="31"/>
        <v>6</v>
      </c>
      <c r="I394">
        <f t="shared" si="32"/>
        <v>6</v>
      </c>
      <c r="J394">
        <f t="shared" si="33"/>
        <v>6</v>
      </c>
      <c r="K394">
        <f t="shared" si="34"/>
        <v>2014</v>
      </c>
      <c r="M394">
        <v>6</v>
      </c>
      <c r="N394" t="str">
        <f>VLOOKUP(M394,'Cadastro Vendedores'!A:H,2,2)</f>
        <v>Antônia</v>
      </c>
      <c r="O394" s="2"/>
      <c r="P394" s="16">
        <v>1700</v>
      </c>
      <c r="Q394" s="2">
        <f>VLOOKUP(B394,'Cadastro Produtos'!A:F,5,2)</f>
        <v>12</v>
      </c>
      <c r="R394" s="14">
        <f t="shared" si="30"/>
        <v>20400</v>
      </c>
    </row>
    <row r="395" spans="1:18" x14ac:dyDescent="0.25">
      <c r="A395">
        <v>394</v>
      </c>
      <c r="B395">
        <v>5</v>
      </c>
      <c r="C395" t="str">
        <f>VLOOKUP(B395,'Cadastro Produtos'!A:E,2,2)</f>
        <v>Limonada Alfa com Açúcar 1 L</v>
      </c>
      <c r="D395">
        <v>2</v>
      </c>
      <c r="E395" t="str">
        <f>VLOOKUP(D395,'Cadatro Clientes'!A:O,2,2)</f>
        <v>Limão S/A</v>
      </c>
      <c r="F395" t="str">
        <f>VLOOKUP(D395,'Cadatro Clientes'!A:O,9,2)</f>
        <v>Centro-Oeste</v>
      </c>
      <c r="G395" s="15">
        <v>41796</v>
      </c>
      <c r="H395">
        <f t="shared" si="31"/>
        <v>6</v>
      </c>
      <c r="I395">
        <f t="shared" si="32"/>
        <v>6</v>
      </c>
      <c r="J395">
        <f t="shared" si="33"/>
        <v>6</v>
      </c>
      <c r="K395">
        <f t="shared" si="34"/>
        <v>2014</v>
      </c>
      <c r="M395">
        <v>7</v>
      </c>
      <c r="N395" t="str">
        <f>VLOOKUP(M395,'Cadastro Vendedores'!A:H,2,2)</f>
        <v>Benedito</v>
      </c>
      <c r="O395" s="2"/>
      <c r="P395" s="16">
        <v>3100</v>
      </c>
      <c r="Q395" s="2">
        <f>VLOOKUP(B395,'Cadastro Produtos'!A:F,5,2)</f>
        <v>15</v>
      </c>
      <c r="R395" s="14">
        <f t="shared" si="30"/>
        <v>46500</v>
      </c>
    </row>
    <row r="396" spans="1:18" x14ac:dyDescent="0.25">
      <c r="A396">
        <v>395</v>
      </c>
      <c r="B396">
        <v>2</v>
      </c>
      <c r="C396" t="str">
        <f>VLOOKUP(B396,'Cadastro Produtos'!A:E,2,2)</f>
        <v>Limonada Beta com Açúcar 500 ml</v>
      </c>
      <c r="D396">
        <v>11</v>
      </c>
      <c r="E396" t="str">
        <f>VLOOKUP(D396,'Cadatro Clientes'!A:O,2,2)</f>
        <v>Red Lemon</v>
      </c>
      <c r="F396" t="str">
        <f>VLOOKUP(D396,'Cadatro Clientes'!A:O,9,2)</f>
        <v>Sul</v>
      </c>
      <c r="G396" s="15">
        <v>41796</v>
      </c>
      <c r="H396">
        <f t="shared" si="31"/>
        <v>6</v>
      </c>
      <c r="I396">
        <f t="shared" si="32"/>
        <v>6</v>
      </c>
      <c r="J396">
        <f t="shared" si="33"/>
        <v>6</v>
      </c>
      <c r="K396">
        <f t="shared" si="34"/>
        <v>2014</v>
      </c>
      <c r="M396">
        <v>3</v>
      </c>
      <c r="N396" t="str">
        <f>VLOOKUP(M396,'Cadastro Vendedores'!A:H,2,2)</f>
        <v>Antônia</v>
      </c>
      <c r="O396" s="2"/>
      <c r="P396" s="16">
        <v>4200</v>
      </c>
      <c r="Q396" s="2">
        <f>VLOOKUP(B396,'Cadastro Produtos'!A:F,5,2)</f>
        <v>6.5</v>
      </c>
      <c r="R396" s="14">
        <f t="shared" si="30"/>
        <v>27300</v>
      </c>
    </row>
    <row r="397" spans="1:18" x14ac:dyDescent="0.25">
      <c r="A397">
        <v>396</v>
      </c>
      <c r="B397">
        <v>10</v>
      </c>
      <c r="C397" t="str">
        <f>VLOOKUP(B397,'Cadastro Produtos'!A:E,2,2)</f>
        <v>Limonada Alfa com Hortelã Zero 1 L</v>
      </c>
      <c r="D397">
        <v>5</v>
      </c>
      <c r="E397" t="str">
        <f>VLOOKUP(D397,'Cadatro Clientes'!A:O,2,2)</f>
        <v>Axé com Limão</v>
      </c>
      <c r="F397" t="str">
        <f>VLOOKUP(D397,'Cadatro Clientes'!A:O,9,2)</f>
        <v>Nordeste</v>
      </c>
      <c r="G397" s="15">
        <v>41797</v>
      </c>
      <c r="H397">
        <f t="shared" si="31"/>
        <v>7</v>
      </c>
      <c r="I397">
        <f t="shared" si="32"/>
        <v>7</v>
      </c>
      <c r="J397">
        <f t="shared" si="33"/>
        <v>6</v>
      </c>
      <c r="K397">
        <f t="shared" si="34"/>
        <v>2014</v>
      </c>
      <c r="M397">
        <v>2</v>
      </c>
      <c r="N397" t="str">
        <f>VLOOKUP(M397,'Cadastro Vendedores'!A:H,2,2)</f>
        <v>Luis</v>
      </c>
      <c r="O397" s="2"/>
      <c r="P397" s="16">
        <v>1800</v>
      </c>
      <c r="Q397" s="2">
        <f>VLOOKUP(B397,'Cadastro Produtos'!A:F,5,2)</f>
        <v>21</v>
      </c>
      <c r="R397" s="14">
        <f t="shared" si="30"/>
        <v>37800</v>
      </c>
    </row>
    <row r="398" spans="1:18" x14ac:dyDescent="0.25">
      <c r="A398">
        <v>397</v>
      </c>
      <c r="B398">
        <v>10</v>
      </c>
      <c r="C398" t="str">
        <f>VLOOKUP(B398,'Cadastro Produtos'!A:E,2,2)</f>
        <v>Limonada Alfa com Hortelã Zero 1 L</v>
      </c>
      <c r="D398">
        <v>17</v>
      </c>
      <c r="E398" t="str">
        <f>VLOOKUP(D398,'Cadatro Clientes'!A:O,2,2)</f>
        <v>Aracasuco</v>
      </c>
      <c r="F398" t="str">
        <f>VLOOKUP(D398,'Cadatro Clientes'!A:O,9,2)</f>
        <v>Nordeste</v>
      </c>
      <c r="G398" s="15">
        <v>41797</v>
      </c>
      <c r="H398">
        <f t="shared" si="31"/>
        <v>7</v>
      </c>
      <c r="I398">
        <f t="shared" si="32"/>
        <v>7</v>
      </c>
      <c r="J398">
        <f t="shared" si="33"/>
        <v>6</v>
      </c>
      <c r="K398">
        <f t="shared" si="34"/>
        <v>2014</v>
      </c>
      <c r="M398">
        <v>7</v>
      </c>
      <c r="N398" t="str">
        <f>VLOOKUP(M398,'Cadastro Vendedores'!A:H,2,2)</f>
        <v>Benedito</v>
      </c>
      <c r="O398" s="2"/>
      <c r="P398" s="16">
        <v>1300</v>
      </c>
      <c r="Q398" s="2">
        <f>VLOOKUP(B398,'Cadastro Produtos'!A:F,5,2)</f>
        <v>21</v>
      </c>
      <c r="R398" s="14">
        <f t="shared" si="30"/>
        <v>27300</v>
      </c>
    </row>
    <row r="399" spans="1:18" x14ac:dyDescent="0.25">
      <c r="A399">
        <v>398</v>
      </c>
      <c r="B399">
        <v>9</v>
      </c>
      <c r="C399" t="str">
        <f>VLOOKUP(B399,'Cadastro Produtos'!A:E,2,2)</f>
        <v>Limonada Alfa com Hortelã e Açúcar 1 L</v>
      </c>
      <c r="D399">
        <v>7</v>
      </c>
      <c r="E399" t="str">
        <f>VLOOKUP(D399,'Cadatro Clientes'!A:O,2,2)</f>
        <v>Limo</v>
      </c>
      <c r="F399" t="str">
        <f>VLOOKUP(D399,'Cadatro Clientes'!A:O,9,2)</f>
        <v>Centro-Oeste</v>
      </c>
      <c r="G399" s="15">
        <v>41797</v>
      </c>
      <c r="H399">
        <f t="shared" si="31"/>
        <v>7</v>
      </c>
      <c r="I399">
        <f t="shared" si="32"/>
        <v>7</v>
      </c>
      <c r="J399">
        <f t="shared" si="33"/>
        <v>6</v>
      </c>
      <c r="K399">
        <f t="shared" si="34"/>
        <v>2014</v>
      </c>
      <c r="M399">
        <v>7</v>
      </c>
      <c r="N399" t="str">
        <f>VLOOKUP(M399,'Cadastro Vendedores'!A:H,2,2)</f>
        <v>Benedito</v>
      </c>
      <c r="O399" s="2"/>
      <c r="P399" s="16">
        <v>900</v>
      </c>
      <c r="Q399" s="2">
        <f>VLOOKUP(B399,'Cadastro Produtos'!A:F,5,2)</f>
        <v>17.5</v>
      </c>
      <c r="R399" s="14">
        <f t="shared" si="30"/>
        <v>15750</v>
      </c>
    </row>
    <row r="400" spans="1:18" x14ac:dyDescent="0.25">
      <c r="A400">
        <v>399</v>
      </c>
      <c r="B400">
        <v>9</v>
      </c>
      <c r="C400" t="str">
        <f>VLOOKUP(B400,'Cadastro Produtos'!A:E,2,2)</f>
        <v>Limonada Alfa com Hortelã e Açúcar 1 L</v>
      </c>
      <c r="D400">
        <v>11</v>
      </c>
      <c r="E400" t="str">
        <f>VLOOKUP(D400,'Cadatro Clientes'!A:O,2,2)</f>
        <v>Red Lemon</v>
      </c>
      <c r="F400" t="str">
        <f>VLOOKUP(D400,'Cadatro Clientes'!A:O,9,2)</f>
        <v>Sul</v>
      </c>
      <c r="G400" s="15">
        <v>41799</v>
      </c>
      <c r="H400">
        <f t="shared" si="31"/>
        <v>2</v>
      </c>
      <c r="I400">
        <f t="shared" si="32"/>
        <v>9</v>
      </c>
      <c r="J400">
        <f t="shared" si="33"/>
        <v>6</v>
      </c>
      <c r="K400">
        <f t="shared" si="34"/>
        <v>2014</v>
      </c>
      <c r="M400">
        <v>6</v>
      </c>
      <c r="N400" t="str">
        <f>VLOOKUP(M400,'Cadastro Vendedores'!A:H,2,2)</f>
        <v>Antônia</v>
      </c>
      <c r="O400" s="2"/>
      <c r="P400" s="16">
        <v>1300</v>
      </c>
      <c r="Q400" s="2">
        <f>VLOOKUP(B400,'Cadastro Produtos'!A:F,5,2)</f>
        <v>17.5</v>
      </c>
      <c r="R400" s="14">
        <f t="shared" si="30"/>
        <v>22750</v>
      </c>
    </row>
    <row r="401" spans="1:18" x14ac:dyDescent="0.25">
      <c r="A401">
        <v>400</v>
      </c>
      <c r="B401">
        <v>7</v>
      </c>
      <c r="C401" t="str">
        <f>VLOOKUP(B401,'Cadastro Produtos'!A:E,2,2)</f>
        <v>Limonada Alfa Zero 1 L</v>
      </c>
      <c r="D401">
        <v>20</v>
      </c>
      <c r="E401" t="str">
        <f>VLOOKUP(D401,'Cadatro Clientes'!A:O,2,2)</f>
        <v>Brasil Saúde</v>
      </c>
      <c r="F401" t="str">
        <f>VLOOKUP(D401,'Cadatro Clientes'!A:O,9,2)</f>
        <v>Nordeste</v>
      </c>
      <c r="G401" s="15">
        <v>41799</v>
      </c>
      <c r="H401">
        <f t="shared" si="31"/>
        <v>2</v>
      </c>
      <c r="I401">
        <f t="shared" si="32"/>
        <v>9</v>
      </c>
      <c r="J401">
        <f t="shared" si="33"/>
        <v>6</v>
      </c>
      <c r="K401">
        <f t="shared" si="34"/>
        <v>2014</v>
      </c>
      <c r="M401">
        <v>3</v>
      </c>
      <c r="N401" t="str">
        <f>VLOOKUP(M401,'Cadastro Vendedores'!A:H,2,2)</f>
        <v>Antônia</v>
      </c>
      <c r="O401" s="2"/>
      <c r="P401" s="16">
        <v>2800</v>
      </c>
      <c r="Q401" s="2">
        <f>VLOOKUP(B401,'Cadastro Produtos'!A:F,5,2)</f>
        <v>15</v>
      </c>
      <c r="R401" s="14">
        <f t="shared" si="30"/>
        <v>42000</v>
      </c>
    </row>
    <row r="402" spans="1:18" x14ac:dyDescent="0.25">
      <c r="A402">
        <v>401</v>
      </c>
      <c r="B402">
        <v>9</v>
      </c>
      <c r="C402" t="str">
        <f>VLOOKUP(B402,'Cadastro Produtos'!A:E,2,2)</f>
        <v>Limonada Alfa com Hortelã e Açúcar 1 L</v>
      </c>
      <c r="D402">
        <v>19</v>
      </c>
      <c r="E402" t="str">
        <f>VLOOKUP(D402,'Cadatro Clientes'!A:O,2,2)</f>
        <v>Lima Limão</v>
      </c>
      <c r="F402" t="str">
        <f>VLOOKUP(D402,'Cadatro Clientes'!A:O,9,2)</f>
        <v>Sudeste</v>
      </c>
      <c r="G402" s="15">
        <v>41799</v>
      </c>
      <c r="H402">
        <f t="shared" si="31"/>
        <v>2</v>
      </c>
      <c r="I402">
        <f t="shared" si="32"/>
        <v>9</v>
      </c>
      <c r="J402">
        <f t="shared" si="33"/>
        <v>6</v>
      </c>
      <c r="K402">
        <f t="shared" si="34"/>
        <v>2014</v>
      </c>
      <c r="M402">
        <v>2</v>
      </c>
      <c r="N402" t="str">
        <f>VLOOKUP(M402,'Cadastro Vendedores'!A:H,2,2)</f>
        <v>Luis</v>
      </c>
      <c r="O402" s="2"/>
      <c r="P402" s="16">
        <v>2300</v>
      </c>
      <c r="Q402" s="2">
        <f>VLOOKUP(B402,'Cadastro Produtos'!A:F,5,2)</f>
        <v>17.5</v>
      </c>
      <c r="R402" s="14">
        <f t="shared" si="30"/>
        <v>40250</v>
      </c>
    </row>
    <row r="403" spans="1:18" x14ac:dyDescent="0.25">
      <c r="A403">
        <v>402</v>
      </c>
      <c r="B403">
        <v>2</v>
      </c>
      <c r="C403" t="str">
        <f>VLOOKUP(B403,'Cadastro Produtos'!A:E,2,2)</f>
        <v>Limonada Beta com Açúcar 500 ml</v>
      </c>
      <c r="D403">
        <v>1</v>
      </c>
      <c r="E403" t="str">
        <f>VLOOKUP(D403,'Cadatro Clientes'!A:O,2,2)</f>
        <v>Meu Suco de Limão</v>
      </c>
      <c r="F403" t="str">
        <f>VLOOKUP(D403,'Cadatro Clientes'!A:O,9,2)</f>
        <v>Norte</v>
      </c>
      <c r="G403" s="15">
        <v>41800</v>
      </c>
      <c r="H403">
        <f t="shared" si="31"/>
        <v>3</v>
      </c>
      <c r="I403">
        <f t="shared" si="32"/>
        <v>10</v>
      </c>
      <c r="J403">
        <f t="shared" si="33"/>
        <v>6</v>
      </c>
      <c r="K403">
        <f t="shared" si="34"/>
        <v>2014</v>
      </c>
      <c r="M403">
        <v>8</v>
      </c>
      <c r="N403" t="str">
        <f>VLOOKUP(M403,'Cadastro Vendedores'!A:H,2,2)</f>
        <v>Sérgio</v>
      </c>
      <c r="O403" s="2"/>
      <c r="P403" s="16">
        <v>6200</v>
      </c>
      <c r="Q403" s="2">
        <f>VLOOKUP(B403,'Cadastro Produtos'!A:F,5,2)</f>
        <v>6.5</v>
      </c>
      <c r="R403" s="14">
        <f t="shared" si="30"/>
        <v>40300</v>
      </c>
    </row>
    <row r="404" spans="1:18" x14ac:dyDescent="0.25">
      <c r="A404">
        <v>403</v>
      </c>
      <c r="B404">
        <v>2</v>
      </c>
      <c r="C404" t="str">
        <f>VLOOKUP(B404,'Cadastro Produtos'!A:E,2,2)</f>
        <v>Limonada Beta com Açúcar 500 ml</v>
      </c>
      <c r="D404">
        <v>5</v>
      </c>
      <c r="E404" t="str">
        <f>VLOOKUP(D404,'Cadatro Clientes'!A:O,2,2)</f>
        <v>Axé com Limão</v>
      </c>
      <c r="F404" t="str">
        <f>VLOOKUP(D404,'Cadatro Clientes'!A:O,9,2)</f>
        <v>Nordeste</v>
      </c>
      <c r="G404" s="15">
        <v>41800</v>
      </c>
      <c r="H404">
        <f t="shared" si="31"/>
        <v>3</v>
      </c>
      <c r="I404">
        <f t="shared" si="32"/>
        <v>10</v>
      </c>
      <c r="J404">
        <f t="shared" si="33"/>
        <v>6</v>
      </c>
      <c r="K404">
        <f t="shared" si="34"/>
        <v>2014</v>
      </c>
      <c r="M404">
        <v>4</v>
      </c>
      <c r="N404" t="str">
        <f>VLOOKUP(M404,'Cadastro Vendedores'!A:H,2,2)</f>
        <v>José</v>
      </c>
      <c r="O404" s="2"/>
      <c r="P404" s="16">
        <v>1700</v>
      </c>
      <c r="Q404" s="2">
        <f>VLOOKUP(B404,'Cadastro Produtos'!A:F,5,2)</f>
        <v>6.5</v>
      </c>
      <c r="R404" s="14">
        <f t="shared" si="30"/>
        <v>11050</v>
      </c>
    </row>
    <row r="405" spans="1:18" x14ac:dyDescent="0.25">
      <c r="A405">
        <v>404</v>
      </c>
      <c r="B405">
        <v>3</v>
      </c>
      <c r="C405" t="str">
        <f>VLOOKUP(B405,'Cadastro Produtos'!A:E,2,2)</f>
        <v>Limonada Alfa Zero 500 ml</v>
      </c>
      <c r="D405">
        <v>13</v>
      </c>
      <c r="E405" t="str">
        <f>VLOOKUP(D405,'Cadatro Clientes'!A:O,2,2)</f>
        <v>Monster Lemon</v>
      </c>
      <c r="F405" t="str">
        <f>VLOOKUP(D405,'Cadatro Clientes'!A:O,9,2)</f>
        <v>Nordeste</v>
      </c>
      <c r="G405" s="15">
        <v>41800</v>
      </c>
      <c r="H405">
        <f t="shared" si="31"/>
        <v>3</v>
      </c>
      <c r="I405">
        <f t="shared" si="32"/>
        <v>10</v>
      </c>
      <c r="J405">
        <f t="shared" si="33"/>
        <v>6</v>
      </c>
      <c r="K405">
        <f t="shared" si="34"/>
        <v>2014</v>
      </c>
      <c r="M405">
        <v>4</v>
      </c>
      <c r="N405" t="str">
        <f>VLOOKUP(M405,'Cadastro Vendedores'!A:H,2,2)</f>
        <v>José</v>
      </c>
      <c r="O405" s="2"/>
      <c r="P405" s="16">
        <v>4400</v>
      </c>
      <c r="Q405" s="2">
        <f>VLOOKUP(B405,'Cadastro Produtos'!A:F,5,2)</f>
        <v>9</v>
      </c>
      <c r="R405" s="14">
        <f t="shared" si="30"/>
        <v>39600</v>
      </c>
    </row>
    <row r="406" spans="1:18" x14ac:dyDescent="0.25">
      <c r="A406">
        <v>405</v>
      </c>
      <c r="B406">
        <v>2</v>
      </c>
      <c r="C406" t="str">
        <f>VLOOKUP(B406,'Cadastro Produtos'!A:E,2,2)</f>
        <v>Limonada Beta com Açúcar 500 ml</v>
      </c>
      <c r="D406">
        <v>4</v>
      </c>
      <c r="E406" t="str">
        <f>VLOOKUP(D406,'Cadatro Clientes'!A:O,2,2)</f>
        <v>Limão Carioca e Cia</v>
      </c>
      <c r="F406" t="str">
        <f>VLOOKUP(D406,'Cadatro Clientes'!A:O,9,2)</f>
        <v>Sudeste</v>
      </c>
      <c r="G406" s="15">
        <v>41800</v>
      </c>
      <c r="H406">
        <f t="shared" si="31"/>
        <v>3</v>
      </c>
      <c r="I406">
        <f t="shared" si="32"/>
        <v>10</v>
      </c>
      <c r="J406">
        <f t="shared" si="33"/>
        <v>6</v>
      </c>
      <c r="K406">
        <f t="shared" si="34"/>
        <v>2014</v>
      </c>
      <c r="M406">
        <v>3</v>
      </c>
      <c r="N406" t="str">
        <f>VLOOKUP(M406,'Cadastro Vendedores'!A:H,2,2)</f>
        <v>Antônia</v>
      </c>
      <c r="O406" s="2"/>
      <c r="P406" s="16">
        <v>6000</v>
      </c>
      <c r="Q406" s="2">
        <f>VLOOKUP(B406,'Cadastro Produtos'!A:F,5,2)</f>
        <v>6.5</v>
      </c>
      <c r="R406" s="14">
        <f t="shared" si="30"/>
        <v>39000</v>
      </c>
    </row>
    <row r="407" spans="1:18" x14ac:dyDescent="0.25">
      <c r="A407">
        <v>406</v>
      </c>
      <c r="B407">
        <v>1</v>
      </c>
      <c r="C407" t="str">
        <f>VLOOKUP(B407,'Cadastro Produtos'!A:E,2,2)</f>
        <v>Limonada Alfa com Açúcar 500 ml</v>
      </c>
      <c r="D407">
        <v>16</v>
      </c>
      <c r="E407" t="str">
        <f>VLOOKUP(D407,'Cadatro Clientes'!A:O,2,2)</f>
        <v>Norte Suco</v>
      </c>
      <c r="F407" t="str">
        <f>VLOOKUP(D407,'Cadatro Clientes'!A:O,9,2)</f>
        <v>Nordeste</v>
      </c>
      <c r="G407" s="15">
        <v>41801</v>
      </c>
      <c r="H407">
        <f t="shared" si="31"/>
        <v>4</v>
      </c>
      <c r="I407">
        <f t="shared" si="32"/>
        <v>11</v>
      </c>
      <c r="J407">
        <f t="shared" si="33"/>
        <v>6</v>
      </c>
      <c r="K407">
        <f t="shared" si="34"/>
        <v>2014</v>
      </c>
      <c r="M407">
        <v>6</v>
      </c>
      <c r="N407" t="str">
        <f>VLOOKUP(M407,'Cadastro Vendedores'!A:H,2,2)</f>
        <v>Antônia</v>
      </c>
      <c r="O407" s="2"/>
      <c r="P407" s="16">
        <v>4900</v>
      </c>
      <c r="Q407" s="2">
        <f>VLOOKUP(B407,'Cadastro Produtos'!A:F,5,2)</f>
        <v>8.5</v>
      </c>
      <c r="R407" s="14">
        <f t="shared" si="30"/>
        <v>41650</v>
      </c>
    </row>
    <row r="408" spans="1:18" x14ac:dyDescent="0.25">
      <c r="A408">
        <v>407</v>
      </c>
      <c r="B408">
        <v>5</v>
      </c>
      <c r="C408" t="str">
        <f>VLOOKUP(B408,'Cadastro Produtos'!A:E,2,2)</f>
        <v>Limonada Alfa com Açúcar 1 L</v>
      </c>
      <c r="D408">
        <v>4</v>
      </c>
      <c r="E408" t="str">
        <f>VLOOKUP(D408,'Cadatro Clientes'!A:O,2,2)</f>
        <v>Limão Carioca e Cia</v>
      </c>
      <c r="F408" t="str">
        <f>VLOOKUP(D408,'Cadatro Clientes'!A:O,9,2)</f>
        <v>Sudeste</v>
      </c>
      <c r="G408" s="15">
        <v>41801</v>
      </c>
      <c r="H408">
        <f t="shared" si="31"/>
        <v>4</v>
      </c>
      <c r="I408">
        <f t="shared" si="32"/>
        <v>11</v>
      </c>
      <c r="J408">
        <f t="shared" si="33"/>
        <v>6</v>
      </c>
      <c r="K408">
        <f t="shared" si="34"/>
        <v>2014</v>
      </c>
      <c r="M408">
        <v>7</v>
      </c>
      <c r="N408" t="str">
        <f>VLOOKUP(M408,'Cadastro Vendedores'!A:H,2,2)</f>
        <v>Benedito</v>
      </c>
      <c r="O408" s="2"/>
      <c r="P408" s="16">
        <v>2900</v>
      </c>
      <c r="Q408" s="2">
        <f>VLOOKUP(B408,'Cadastro Produtos'!A:F,5,2)</f>
        <v>15</v>
      </c>
      <c r="R408" s="14">
        <f t="shared" si="30"/>
        <v>43500</v>
      </c>
    </row>
    <row r="409" spans="1:18" x14ac:dyDescent="0.25">
      <c r="A409">
        <v>408</v>
      </c>
      <c r="B409">
        <v>10</v>
      </c>
      <c r="C409" t="str">
        <f>VLOOKUP(B409,'Cadastro Produtos'!A:E,2,2)</f>
        <v>Limonada Alfa com Hortelã Zero 1 L</v>
      </c>
      <c r="D409">
        <v>14</v>
      </c>
      <c r="E409" t="str">
        <f>VLOOKUP(D409,'Cadatro Clientes'!A:O,2,2)</f>
        <v>Sprite</v>
      </c>
      <c r="F409" t="str">
        <f>VLOOKUP(D409,'Cadatro Clientes'!A:O,9,2)</f>
        <v>Norte</v>
      </c>
      <c r="G409" s="15">
        <v>41801</v>
      </c>
      <c r="H409">
        <f t="shared" si="31"/>
        <v>4</v>
      </c>
      <c r="I409">
        <f t="shared" si="32"/>
        <v>11</v>
      </c>
      <c r="J409">
        <f t="shared" si="33"/>
        <v>6</v>
      </c>
      <c r="K409">
        <f t="shared" si="34"/>
        <v>2014</v>
      </c>
      <c r="M409">
        <v>3</v>
      </c>
      <c r="N409" t="str">
        <f>VLOOKUP(M409,'Cadastro Vendedores'!A:H,2,2)</f>
        <v>Antônia</v>
      </c>
      <c r="O409" s="2"/>
      <c r="P409" s="16">
        <v>900</v>
      </c>
      <c r="Q409" s="2">
        <f>VLOOKUP(B409,'Cadastro Produtos'!A:F,5,2)</f>
        <v>21</v>
      </c>
      <c r="R409" s="14">
        <f t="shared" si="30"/>
        <v>18900</v>
      </c>
    </row>
    <row r="410" spans="1:18" x14ac:dyDescent="0.25">
      <c r="A410">
        <v>409</v>
      </c>
      <c r="B410">
        <v>10</v>
      </c>
      <c r="C410" t="str">
        <f>VLOOKUP(B410,'Cadastro Produtos'!A:E,2,2)</f>
        <v>Limonada Alfa com Hortelã Zero 1 L</v>
      </c>
      <c r="D410">
        <v>16</v>
      </c>
      <c r="E410" t="str">
        <f>VLOOKUP(D410,'Cadatro Clientes'!A:O,2,2)</f>
        <v>Norte Suco</v>
      </c>
      <c r="F410" t="str">
        <f>VLOOKUP(D410,'Cadatro Clientes'!A:O,9,2)</f>
        <v>Nordeste</v>
      </c>
      <c r="G410" s="15">
        <v>41801</v>
      </c>
      <c r="H410">
        <f t="shared" si="31"/>
        <v>4</v>
      </c>
      <c r="I410">
        <f t="shared" si="32"/>
        <v>11</v>
      </c>
      <c r="J410">
        <f t="shared" si="33"/>
        <v>6</v>
      </c>
      <c r="K410">
        <f t="shared" si="34"/>
        <v>2014</v>
      </c>
      <c r="M410">
        <v>8</v>
      </c>
      <c r="N410" t="str">
        <f>VLOOKUP(M410,'Cadastro Vendedores'!A:H,2,2)</f>
        <v>Sérgio</v>
      </c>
      <c r="O410" s="2"/>
      <c r="P410" s="16">
        <v>1300</v>
      </c>
      <c r="Q410" s="2">
        <f>VLOOKUP(B410,'Cadastro Produtos'!A:F,5,2)</f>
        <v>21</v>
      </c>
      <c r="R410" s="14">
        <f t="shared" si="30"/>
        <v>27300</v>
      </c>
    </row>
    <row r="411" spans="1:18" x14ac:dyDescent="0.25">
      <c r="A411">
        <v>410</v>
      </c>
      <c r="B411">
        <v>5</v>
      </c>
      <c r="C411" t="str">
        <f>VLOOKUP(B411,'Cadastro Produtos'!A:E,2,2)</f>
        <v>Limonada Alfa com Açúcar 1 L</v>
      </c>
      <c r="D411">
        <v>6</v>
      </c>
      <c r="E411" t="str">
        <f>VLOOKUP(D411,'Cadatro Clientes'!A:O,2,2)</f>
        <v>Lemonade</v>
      </c>
      <c r="F411" t="str">
        <f>VLOOKUP(D411,'Cadatro Clientes'!A:O,9,2)</f>
        <v>Norte</v>
      </c>
      <c r="G411" s="15">
        <v>41801</v>
      </c>
      <c r="H411">
        <f t="shared" si="31"/>
        <v>4</v>
      </c>
      <c r="I411">
        <f t="shared" si="32"/>
        <v>11</v>
      </c>
      <c r="J411">
        <f t="shared" si="33"/>
        <v>6</v>
      </c>
      <c r="K411">
        <f t="shared" si="34"/>
        <v>2014</v>
      </c>
      <c r="M411">
        <v>4</v>
      </c>
      <c r="N411" t="str">
        <f>VLOOKUP(M411,'Cadastro Vendedores'!A:H,2,2)</f>
        <v>José</v>
      </c>
      <c r="O411" s="2"/>
      <c r="P411" s="16">
        <v>3100</v>
      </c>
      <c r="Q411" s="2">
        <f>VLOOKUP(B411,'Cadastro Produtos'!A:F,5,2)</f>
        <v>15</v>
      </c>
      <c r="R411" s="14">
        <f t="shared" si="30"/>
        <v>46500</v>
      </c>
    </row>
    <row r="412" spans="1:18" x14ac:dyDescent="0.25">
      <c r="A412">
        <v>411</v>
      </c>
      <c r="B412">
        <v>10</v>
      </c>
      <c r="C412" t="str">
        <f>VLOOKUP(B412,'Cadastro Produtos'!A:E,2,2)</f>
        <v>Limonada Alfa com Hortelã Zero 1 L</v>
      </c>
      <c r="D412">
        <v>14</v>
      </c>
      <c r="E412" t="str">
        <f>VLOOKUP(D412,'Cadatro Clientes'!A:O,2,2)</f>
        <v>Sprite</v>
      </c>
      <c r="F412" t="str">
        <f>VLOOKUP(D412,'Cadatro Clientes'!A:O,9,2)</f>
        <v>Norte</v>
      </c>
      <c r="G412" s="15">
        <v>41801</v>
      </c>
      <c r="H412">
        <f t="shared" si="31"/>
        <v>4</v>
      </c>
      <c r="I412">
        <f t="shared" si="32"/>
        <v>11</v>
      </c>
      <c r="J412">
        <f t="shared" si="33"/>
        <v>6</v>
      </c>
      <c r="K412">
        <f t="shared" si="34"/>
        <v>2014</v>
      </c>
      <c r="M412">
        <v>2</v>
      </c>
      <c r="N412" t="str">
        <f>VLOOKUP(M412,'Cadastro Vendedores'!A:H,2,2)</f>
        <v>Luis</v>
      </c>
      <c r="O412" s="2"/>
      <c r="P412" s="16">
        <v>1100</v>
      </c>
      <c r="Q412" s="2">
        <f>VLOOKUP(B412,'Cadastro Produtos'!A:F,5,2)</f>
        <v>21</v>
      </c>
      <c r="R412" s="14">
        <f t="shared" si="30"/>
        <v>23100</v>
      </c>
    </row>
    <row r="413" spans="1:18" x14ac:dyDescent="0.25">
      <c r="A413">
        <v>412</v>
      </c>
      <c r="B413">
        <v>10</v>
      </c>
      <c r="C413" t="str">
        <f>VLOOKUP(B413,'Cadastro Produtos'!A:E,2,2)</f>
        <v>Limonada Alfa com Hortelã Zero 1 L</v>
      </c>
      <c r="D413">
        <v>6</v>
      </c>
      <c r="E413" t="str">
        <f>VLOOKUP(D413,'Cadatro Clientes'!A:O,2,2)</f>
        <v>Lemonade</v>
      </c>
      <c r="F413" t="str">
        <f>VLOOKUP(D413,'Cadatro Clientes'!A:O,9,2)</f>
        <v>Norte</v>
      </c>
      <c r="G413" s="15">
        <v>41801</v>
      </c>
      <c r="H413">
        <f t="shared" si="31"/>
        <v>4</v>
      </c>
      <c r="I413">
        <f t="shared" si="32"/>
        <v>11</v>
      </c>
      <c r="J413">
        <f t="shared" si="33"/>
        <v>6</v>
      </c>
      <c r="K413">
        <f t="shared" si="34"/>
        <v>2014</v>
      </c>
      <c r="M413">
        <v>4</v>
      </c>
      <c r="N413" t="str">
        <f>VLOOKUP(M413,'Cadastro Vendedores'!A:H,2,2)</f>
        <v>José</v>
      </c>
      <c r="O413" s="2"/>
      <c r="P413" s="16">
        <v>1700</v>
      </c>
      <c r="Q413" s="2">
        <f>VLOOKUP(B413,'Cadastro Produtos'!A:F,5,2)</f>
        <v>21</v>
      </c>
      <c r="R413" s="14">
        <f t="shared" si="30"/>
        <v>35700</v>
      </c>
    </row>
    <row r="414" spans="1:18" x14ac:dyDescent="0.25">
      <c r="A414">
        <v>413</v>
      </c>
      <c r="B414">
        <v>8</v>
      </c>
      <c r="C414" t="str">
        <f>VLOOKUP(B414,'Cadastro Produtos'!A:E,2,2)</f>
        <v>Limonada Beta Zero 1 L</v>
      </c>
      <c r="D414">
        <v>20</v>
      </c>
      <c r="E414" t="str">
        <f>VLOOKUP(D414,'Cadatro Clientes'!A:O,2,2)</f>
        <v>Brasil Saúde</v>
      </c>
      <c r="F414" t="str">
        <f>VLOOKUP(D414,'Cadatro Clientes'!A:O,9,2)</f>
        <v>Nordeste</v>
      </c>
      <c r="G414" s="15">
        <v>41802</v>
      </c>
      <c r="H414">
        <f t="shared" si="31"/>
        <v>5</v>
      </c>
      <c r="I414">
        <f t="shared" si="32"/>
        <v>12</v>
      </c>
      <c r="J414">
        <f t="shared" si="33"/>
        <v>6</v>
      </c>
      <c r="K414">
        <f t="shared" si="34"/>
        <v>2014</v>
      </c>
      <c r="M414">
        <v>3</v>
      </c>
      <c r="N414" t="str">
        <f>VLOOKUP(M414,'Cadastro Vendedores'!A:H,2,2)</f>
        <v>Antônia</v>
      </c>
      <c r="O414" s="2"/>
      <c r="P414" s="16">
        <v>3800</v>
      </c>
      <c r="Q414" s="2">
        <f>VLOOKUP(B414,'Cadastro Produtos'!A:F,5,2)</f>
        <v>12</v>
      </c>
      <c r="R414" s="14">
        <f t="shared" si="30"/>
        <v>45600</v>
      </c>
    </row>
    <row r="415" spans="1:18" x14ac:dyDescent="0.25">
      <c r="A415">
        <v>414</v>
      </c>
      <c r="B415">
        <v>8</v>
      </c>
      <c r="C415" t="str">
        <f>VLOOKUP(B415,'Cadastro Produtos'!A:E,2,2)</f>
        <v>Limonada Beta Zero 1 L</v>
      </c>
      <c r="D415">
        <v>4</v>
      </c>
      <c r="E415" t="str">
        <f>VLOOKUP(D415,'Cadatro Clientes'!A:O,2,2)</f>
        <v>Limão Carioca e Cia</v>
      </c>
      <c r="F415" t="str">
        <f>VLOOKUP(D415,'Cadatro Clientes'!A:O,9,2)</f>
        <v>Sudeste</v>
      </c>
      <c r="G415" s="15">
        <v>41802</v>
      </c>
      <c r="H415">
        <f t="shared" si="31"/>
        <v>5</v>
      </c>
      <c r="I415">
        <f t="shared" si="32"/>
        <v>12</v>
      </c>
      <c r="J415">
        <f t="shared" si="33"/>
        <v>6</v>
      </c>
      <c r="K415">
        <f t="shared" si="34"/>
        <v>2014</v>
      </c>
      <c r="M415">
        <v>7</v>
      </c>
      <c r="N415" t="str">
        <f>VLOOKUP(M415,'Cadastro Vendedores'!A:H,2,2)</f>
        <v>Benedito</v>
      </c>
      <c r="O415" s="2"/>
      <c r="P415" s="16">
        <v>3700</v>
      </c>
      <c r="Q415" s="2">
        <f>VLOOKUP(B415,'Cadastro Produtos'!A:F,5,2)</f>
        <v>12</v>
      </c>
      <c r="R415" s="14">
        <f t="shared" si="30"/>
        <v>44400</v>
      </c>
    </row>
    <row r="416" spans="1:18" x14ac:dyDescent="0.25">
      <c r="A416">
        <v>415</v>
      </c>
      <c r="B416">
        <v>8</v>
      </c>
      <c r="C416" t="str">
        <f>VLOOKUP(B416,'Cadastro Produtos'!A:E,2,2)</f>
        <v>Limonada Beta Zero 1 L</v>
      </c>
      <c r="D416">
        <v>17</v>
      </c>
      <c r="E416" t="str">
        <f>VLOOKUP(D416,'Cadatro Clientes'!A:O,2,2)</f>
        <v>Aracasuco</v>
      </c>
      <c r="F416" t="str">
        <f>VLOOKUP(D416,'Cadatro Clientes'!A:O,9,2)</f>
        <v>Nordeste</v>
      </c>
      <c r="G416" s="15">
        <v>41803</v>
      </c>
      <c r="H416">
        <f t="shared" si="31"/>
        <v>6</v>
      </c>
      <c r="I416">
        <f t="shared" si="32"/>
        <v>13</v>
      </c>
      <c r="J416">
        <f t="shared" si="33"/>
        <v>6</v>
      </c>
      <c r="K416">
        <f t="shared" si="34"/>
        <v>2014</v>
      </c>
      <c r="M416">
        <v>9</v>
      </c>
      <c r="N416" t="str">
        <f>VLOOKUP(M416,'Cadastro Vendedores'!A:H,2,2)</f>
        <v>Adriana</v>
      </c>
      <c r="O416" s="2"/>
      <c r="P416" s="16">
        <v>2900</v>
      </c>
      <c r="Q416" s="2">
        <f>VLOOKUP(B416,'Cadastro Produtos'!A:F,5,2)</f>
        <v>12</v>
      </c>
      <c r="R416" s="14">
        <f t="shared" si="30"/>
        <v>34800</v>
      </c>
    </row>
    <row r="417" spans="1:18" x14ac:dyDescent="0.25">
      <c r="A417">
        <v>416</v>
      </c>
      <c r="B417">
        <v>2</v>
      </c>
      <c r="C417" t="str">
        <f>VLOOKUP(B417,'Cadastro Produtos'!A:E,2,2)</f>
        <v>Limonada Beta com Açúcar 500 ml</v>
      </c>
      <c r="D417">
        <v>13</v>
      </c>
      <c r="E417" t="str">
        <f>VLOOKUP(D417,'Cadatro Clientes'!A:O,2,2)</f>
        <v>Monster Lemon</v>
      </c>
      <c r="F417" t="str">
        <f>VLOOKUP(D417,'Cadatro Clientes'!A:O,9,2)</f>
        <v>Nordeste</v>
      </c>
      <c r="G417" s="15">
        <v>41803</v>
      </c>
      <c r="H417">
        <f t="shared" si="31"/>
        <v>6</v>
      </c>
      <c r="I417">
        <f t="shared" si="32"/>
        <v>13</v>
      </c>
      <c r="J417">
        <f t="shared" si="33"/>
        <v>6</v>
      </c>
      <c r="K417">
        <f t="shared" si="34"/>
        <v>2014</v>
      </c>
      <c r="M417">
        <v>6</v>
      </c>
      <c r="N417" t="str">
        <f>VLOOKUP(M417,'Cadastro Vendedores'!A:H,2,2)</f>
        <v>Antônia</v>
      </c>
      <c r="O417" s="2"/>
      <c r="P417" s="16">
        <v>4700</v>
      </c>
      <c r="Q417" s="2">
        <f>VLOOKUP(B417,'Cadastro Produtos'!A:F,5,2)</f>
        <v>6.5</v>
      </c>
      <c r="R417" s="14">
        <f t="shared" si="30"/>
        <v>30550</v>
      </c>
    </row>
    <row r="418" spans="1:18" x14ac:dyDescent="0.25">
      <c r="A418">
        <v>417</v>
      </c>
      <c r="B418">
        <v>7</v>
      </c>
      <c r="C418" t="str">
        <f>VLOOKUP(B418,'Cadastro Produtos'!A:E,2,2)</f>
        <v>Limonada Alfa Zero 1 L</v>
      </c>
      <c r="D418">
        <v>8</v>
      </c>
      <c r="E418" t="str">
        <f>VLOOKUP(D418,'Cadatro Clientes'!A:O,2,2)</f>
        <v>Refresko</v>
      </c>
      <c r="F418" t="str">
        <f>VLOOKUP(D418,'Cadatro Clientes'!A:O,9,2)</f>
        <v>Sul</v>
      </c>
      <c r="G418" s="15">
        <v>41803</v>
      </c>
      <c r="H418">
        <f t="shared" si="31"/>
        <v>6</v>
      </c>
      <c r="I418">
        <f t="shared" si="32"/>
        <v>13</v>
      </c>
      <c r="J418">
        <f t="shared" si="33"/>
        <v>6</v>
      </c>
      <c r="K418">
        <f t="shared" si="34"/>
        <v>2014</v>
      </c>
      <c r="M418">
        <v>3</v>
      </c>
      <c r="N418" t="str">
        <f>VLOOKUP(M418,'Cadastro Vendedores'!A:H,2,2)</f>
        <v>Antônia</v>
      </c>
      <c r="O418" s="2"/>
      <c r="P418" s="16">
        <v>700</v>
      </c>
      <c r="Q418" s="2">
        <f>VLOOKUP(B418,'Cadastro Produtos'!A:F,5,2)</f>
        <v>15</v>
      </c>
      <c r="R418" s="14">
        <f t="shared" si="30"/>
        <v>10500</v>
      </c>
    </row>
    <row r="419" spans="1:18" x14ac:dyDescent="0.25">
      <c r="A419">
        <v>418</v>
      </c>
      <c r="B419">
        <v>9</v>
      </c>
      <c r="C419" t="str">
        <f>VLOOKUP(B419,'Cadastro Produtos'!A:E,2,2)</f>
        <v>Limonada Alfa com Hortelã e Açúcar 1 L</v>
      </c>
      <c r="D419">
        <v>8</v>
      </c>
      <c r="E419" t="str">
        <f>VLOOKUP(D419,'Cadatro Clientes'!A:O,2,2)</f>
        <v>Refresko</v>
      </c>
      <c r="F419" t="str">
        <f>VLOOKUP(D419,'Cadatro Clientes'!A:O,9,2)</f>
        <v>Sul</v>
      </c>
      <c r="G419" s="15">
        <v>41804</v>
      </c>
      <c r="H419">
        <f t="shared" si="31"/>
        <v>7</v>
      </c>
      <c r="I419">
        <f t="shared" si="32"/>
        <v>14</v>
      </c>
      <c r="J419">
        <f t="shared" si="33"/>
        <v>6</v>
      </c>
      <c r="K419">
        <f t="shared" si="34"/>
        <v>2014</v>
      </c>
      <c r="M419">
        <v>3</v>
      </c>
      <c r="N419" t="str">
        <f>VLOOKUP(M419,'Cadastro Vendedores'!A:H,2,2)</f>
        <v>Antônia</v>
      </c>
      <c r="O419" s="2"/>
      <c r="P419" s="16">
        <v>1300</v>
      </c>
      <c r="Q419" s="2">
        <f>VLOOKUP(B419,'Cadastro Produtos'!A:F,5,2)</f>
        <v>17.5</v>
      </c>
      <c r="R419" s="14">
        <f t="shared" si="30"/>
        <v>22750</v>
      </c>
    </row>
    <row r="420" spans="1:18" x14ac:dyDescent="0.25">
      <c r="A420">
        <v>419</v>
      </c>
      <c r="B420">
        <v>4</v>
      </c>
      <c r="C420" t="str">
        <f>VLOOKUP(B420,'Cadastro Produtos'!A:E,2,2)</f>
        <v>Limonada Beta Zero 500 ml</v>
      </c>
      <c r="D420">
        <v>18</v>
      </c>
      <c r="E420" t="str">
        <f>VLOOKUP(D420,'Cadatro Clientes'!A:O,2,2)</f>
        <v>Rio Branco Limonada Ltda</v>
      </c>
      <c r="F420" t="str">
        <f>VLOOKUP(D420,'Cadatro Clientes'!A:O,9,2)</f>
        <v>Norte</v>
      </c>
      <c r="G420" s="15">
        <v>41804</v>
      </c>
      <c r="H420">
        <f t="shared" si="31"/>
        <v>7</v>
      </c>
      <c r="I420">
        <f t="shared" si="32"/>
        <v>14</v>
      </c>
      <c r="J420">
        <f t="shared" si="33"/>
        <v>6</v>
      </c>
      <c r="K420">
        <f t="shared" si="34"/>
        <v>2014</v>
      </c>
      <c r="M420">
        <v>4</v>
      </c>
      <c r="N420" t="str">
        <f>VLOOKUP(M420,'Cadastro Vendedores'!A:H,2,2)</f>
        <v>José</v>
      </c>
      <c r="O420" s="2"/>
      <c r="P420" s="16">
        <v>4400</v>
      </c>
      <c r="Q420" s="2">
        <f>VLOOKUP(B420,'Cadastro Produtos'!A:F,5,2)</f>
        <v>7</v>
      </c>
      <c r="R420" s="14">
        <f t="shared" si="30"/>
        <v>30800</v>
      </c>
    </row>
    <row r="421" spans="1:18" x14ac:dyDescent="0.25">
      <c r="A421">
        <v>420</v>
      </c>
      <c r="B421">
        <v>5</v>
      </c>
      <c r="C421" t="str">
        <f>VLOOKUP(B421,'Cadastro Produtos'!A:E,2,2)</f>
        <v>Limonada Alfa com Açúcar 1 L</v>
      </c>
      <c r="D421">
        <v>8</v>
      </c>
      <c r="E421" t="str">
        <f>VLOOKUP(D421,'Cadatro Clientes'!A:O,2,2)</f>
        <v>Refresko</v>
      </c>
      <c r="F421" t="str">
        <f>VLOOKUP(D421,'Cadatro Clientes'!A:O,9,2)</f>
        <v>Sul</v>
      </c>
      <c r="G421" s="15">
        <v>41804</v>
      </c>
      <c r="H421">
        <f t="shared" si="31"/>
        <v>7</v>
      </c>
      <c r="I421">
        <f t="shared" si="32"/>
        <v>14</v>
      </c>
      <c r="J421">
        <f t="shared" si="33"/>
        <v>6</v>
      </c>
      <c r="K421">
        <f t="shared" si="34"/>
        <v>2014</v>
      </c>
      <c r="M421">
        <v>2</v>
      </c>
      <c r="N421" t="str">
        <f>VLOOKUP(M421,'Cadastro Vendedores'!A:H,2,2)</f>
        <v>Luis</v>
      </c>
      <c r="O421" s="2"/>
      <c r="P421" s="16">
        <v>3400</v>
      </c>
      <c r="Q421" s="2">
        <f>VLOOKUP(B421,'Cadastro Produtos'!A:F,5,2)</f>
        <v>15</v>
      </c>
      <c r="R421" s="14">
        <f t="shared" si="30"/>
        <v>51000</v>
      </c>
    </row>
    <row r="422" spans="1:18" x14ac:dyDescent="0.25">
      <c r="A422">
        <v>421</v>
      </c>
      <c r="B422">
        <v>4</v>
      </c>
      <c r="C422" t="str">
        <f>VLOOKUP(B422,'Cadastro Produtos'!A:E,2,2)</f>
        <v>Limonada Beta Zero 500 ml</v>
      </c>
      <c r="D422">
        <v>4</v>
      </c>
      <c r="E422" t="str">
        <f>VLOOKUP(D422,'Cadatro Clientes'!A:O,2,2)</f>
        <v>Limão Carioca e Cia</v>
      </c>
      <c r="F422" t="str">
        <f>VLOOKUP(D422,'Cadatro Clientes'!A:O,9,2)</f>
        <v>Sudeste</v>
      </c>
      <c r="G422" s="15">
        <v>41806</v>
      </c>
      <c r="H422">
        <f t="shared" si="31"/>
        <v>2</v>
      </c>
      <c r="I422">
        <f t="shared" si="32"/>
        <v>16</v>
      </c>
      <c r="J422">
        <f t="shared" si="33"/>
        <v>6</v>
      </c>
      <c r="K422">
        <f t="shared" si="34"/>
        <v>2014</v>
      </c>
      <c r="M422">
        <v>6</v>
      </c>
      <c r="N422" t="str">
        <f>VLOOKUP(M422,'Cadastro Vendedores'!A:H,2,2)</f>
        <v>Antônia</v>
      </c>
      <c r="O422" s="2"/>
      <c r="P422" s="16">
        <v>4300</v>
      </c>
      <c r="Q422" s="2">
        <f>VLOOKUP(B422,'Cadastro Produtos'!A:F,5,2)</f>
        <v>7</v>
      </c>
      <c r="R422" s="14">
        <f t="shared" si="30"/>
        <v>30100</v>
      </c>
    </row>
    <row r="423" spans="1:18" x14ac:dyDescent="0.25">
      <c r="A423">
        <v>422</v>
      </c>
      <c r="B423">
        <v>2</v>
      </c>
      <c r="C423" t="str">
        <f>VLOOKUP(B423,'Cadastro Produtos'!A:E,2,2)</f>
        <v>Limonada Beta com Açúcar 500 ml</v>
      </c>
      <c r="D423">
        <v>16</v>
      </c>
      <c r="E423" t="str">
        <f>VLOOKUP(D423,'Cadatro Clientes'!A:O,2,2)</f>
        <v>Norte Suco</v>
      </c>
      <c r="F423" t="str">
        <f>VLOOKUP(D423,'Cadatro Clientes'!A:O,9,2)</f>
        <v>Nordeste</v>
      </c>
      <c r="G423" s="15">
        <v>41806</v>
      </c>
      <c r="H423">
        <f t="shared" si="31"/>
        <v>2</v>
      </c>
      <c r="I423">
        <f t="shared" si="32"/>
        <v>16</v>
      </c>
      <c r="J423">
        <f t="shared" si="33"/>
        <v>6</v>
      </c>
      <c r="K423">
        <f t="shared" si="34"/>
        <v>2014</v>
      </c>
      <c r="M423">
        <v>2</v>
      </c>
      <c r="N423" t="str">
        <f>VLOOKUP(M423,'Cadastro Vendedores'!A:H,2,2)</f>
        <v>Luis</v>
      </c>
      <c r="O423" s="2"/>
      <c r="P423" s="16">
        <v>7100</v>
      </c>
      <c r="Q423" s="2">
        <f>VLOOKUP(B423,'Cadastro Produtos'!A:F,5,2)</f>
        <v>6.5</v>
      </c>
      <c r="R423" s="14">
        <f t="shared" si="30"/>
        <v>46150</v>
      </c>
    </row>
    <row r="424" spans="1:18" x14ac:dyDescent="0.25">
      <c r="A424">
        <v>423</v>
      </c>
      <c r="B424">
        <v>4</v>
      </c>
      <c r="C424" t="str">
        <f>VLOOKUP(B424,'Cadastro Produtos'!A:E,2,2)</f>
        <v>Limonada Beta Zero 500 ml</v>
      </c>
      <c r="D424">
        <v>9</v>
      </c>
      <c r="E424" t="str">
        <f>VLOOKUP(D424,'Cadatro Clientes'!A:O,2,2)</f>
        <v>Fresh Lemon</v>
      </c>
      <c r="F424" t="str">
        <f>VLOOKUP(D424,'Cadatro Clientes'!A:O,9,2)</f>
        <v>Sudeste</v>
      </c>
      <c r="G424" s="15">
        <v>41806</v>
      </c>
      <c r="H424">
        <f t="shared" si="31"/>
        <v>2</v>
      </c>
      <c r="I424">
        <f t="shared" si="32"/>
        <v>16</v>
      </c>
      <c r="J424">
        <f t="shared" si="33"/>
        <v>6</v>
      </c>
      <c r="K424">
        <f t="shared" si="34"/>
        <v>2014</v>
      </c>
      <c r="M424">
        <v>2</v>
      </c>
      <c r="N424" t="str">
        <f>VLOOKUP(M424,'Cadastro Vendedores'!A:H,2,2)</f>
        <v>Luis</v>
      </c>
      <c r="O424" s="2"/>
      <c r="P424" s="16">
        <v>7000</v>
      </c>
      <c r="Q424" s="2">
        <f>VLOOKUP(B424,'Cadastro Produtos'!A:F,5,2)</f>
        <v>7</v>
      </c>
      <c r="R424" s="14">
        <f t="shared" si="30"/>
        <v>49000</v>
      </c>
    </row>
    <row r="425" spans="1:18" x14ac:dyDescent="0.25">
      <c r="A425">
        <v>424</v>
      </c>
      <c r="B425">
        <v>9</v>
      </c>
      <c r="C425" t="str">
        <f>VLOOKUP(B425,'Cadastro Produtos'!A:E,2,2)</f>
        <v>Limonada Alfa com Hortelã e Açúcar 1 L</v>
      </c>
      <c r="D425">
        <v>11</v>
      </c>
      <c r="E425" t="str">
        <f>VLOOKUP(D425,'Cadatro Clientes'!A:O,2,2)</f>
        <v>Red Lemon</v>
      </c>
      <c r="F425" t="str">
        <f>VLOOKUP(D425,'Cadatro Clientes'!A:O,9,2)</f>
        <v>Sul</v>
      </c>
      <c r="G425" s="15">
        <v>41806</v>
      </c>
      <c r="H425">
        <f t="shared" si="31"/>
        <v>2</v>
      </c>
      <c r="I425">
        <f t="shared" si="32"/>
        <v>16</v>
      </c>
      <c r="J425">
        <f t="shared" si="33"/>
        <v>6</v>
      </c>
      <c r="K425">
        <f t="shared" si="34"/>
        <v>2014</v>
      </c>
      <c r="M425">
        <v>4</v>
      </c>
      <c r="N425" t="str">
        <f>VLOOKUP(M425,'Cadastro Vendedores'!A:H,2,2)</f>
        <v>José</v>
      </c>
      <c r="O425" s="2"/>
      <c r="P425" s="16">
        <v>800</v>
      </c>
      <c r="Q425" s="2">
        <f>VLOOKUP(B425,'Cadastro Produtos'!A:F,5,2)</f>
        <v>17.5</v>
      </c>
      <c r="R425" s="14">
        <f t="shared" si="30"/>
        <v>14000</v>
      </c>
    </row>
    <row r="426" spans="1:18" x14ac:dyDescent="0.25">
      <c r="A426">
        <v>425</v>
      </c>
      <c r="B426">
        <v>7</v>
      </c>
      <c r="C426" t="str">
        <f>VLOOKUP(B426,'Cadastro Produtos'!A:E,2,2)</f>
        <v>Limonada Alfa Zero 1 L</v>
      </c>
      <c r="D426">
        <v>1</v>
      </c>
      <c r="E426" t="str">
        <f>VLOOKUP(D426,'Cadatro Clientes'!A:O,2,2)</f>
        <v>Meu Suco de Limão</v>
      </c>
      <c r="F426" t="str">
        <f>VLOOKUP(D426,'Cadatro Clientes'!A:O,9,2)</f>
        <v>Norte</v>
      </c>
      <c r="G426" s="15">
        <v>41807</v>
      </c>
      <c r="H426">
        <f t="shared" si="31"/>
        <v>3</v>
      </c>
      <c r="I426">
        <f t="shared" si="32"/>
        <v>17</v>
      </c>
      <c r="J426">
        <f t="shared" si="33"/>
        <v>6</v>
      </c>
      <c r="K426">
        <f t="shared" si="34"/>
        <v>2014</v>
      </c>
      <c r="M426">
        <v>7</v>
      </c>
      <c r="N426" t="str">
        <f>VLOOKUP(M426,'Cadastro Vendedores'!A:H,2,2)</f>
        <v>Benedito</v>
      </c>
      <c r="O426" s="2"/>
      <c r="P426" s="16">
        <v>2400</v>
      </c>
      <c r="Q426" s="2">
        <f>VLOOKUP(B426,'Cadastro Produtos'!A:F,5,2)</f>
        <v>15</v>
      </c>
      <c r="R426" s="14">
        <f t="shared" si="30"/>
        <v>36000</v>
      </c>
    </row>
    <row r="427" spans="1:18" x14ac:dyDescent="0.25">
      <c r="A427">
        <v>426</v>
      </c>
      <c r="B427">
        <v>3</v>
      </c>
      <c r="C427" t="str">
        <f>VLOOKUP(B427,'Cadastro Produtos'!A:E,2,2)</f>
        <v>Limonada Alfa Zero 500 ml</v>
      </c>
      <c r="D427">
        <v>16</v>
      </c>
      <c r="E427" t="str">
        <f>VLOOKUP(D427,'Cadatro Clientes'!A:O,2,2)</f>
        <v>Norte Suco</v>
      </c>
      <c r="F427" t="str">
        <f>VLOOKUP(D427,'Cadatro Clientes'!A:O,9,2)</f>
        <v>Nordeste</v>
      </c>
      <c r="G427" s="15">
        <v>41808</v>
      </c>
      <c r="H427">
        <f t="shared" si="31"/>
        <v>4</v>
      </c>
      <c r="I427">
        <f t="shared" si="32"/>
        <v>18</v>
      </c>
      <c r="J427">
        <f t="shared" si="33"/>
        <v>6</v>
      </c>
      <c r="K427">
        <f t="shared" si="34"/>
        <v>2014</v>
      </c>
      <c r="M427">
        <v>8</v>
      </c>
      <c r="N427" t="str">
        <f>VLOOKUP(M427,'Cadastro Vendedores'!A:H,2,2)</f>
        <v>Sérgio</v>
      </c>
      <c r="O427" s="2"/>
      <c r="P427" s="16">
        <v>1900</v>
      </c>
      <c r="Q427" s="2">
        <f>VLOOKUP(B427,'Cadastro Produtos'!A:F,5,2)</f>
        <v>9</v>
      </c>
      <c r="R427" s="14">
        <f t="shared" si="30"/>
        <v>17100</v>
      </c>
    </row>
    <row r="428" spans="1:18" x14ac:dyDescent="0.25">
      <c r="A428">
        <v>427</v>
      </c>
      <c r="B428">
        <v>1</v>
      </c>
      <c r="C428" t="str">
        <f>VLOOKUP(B428,'Cadastro Produtos'!A:E,2,2)</f>
        <v>Limonada Alfa com Açúcar 500 ml</v>
      </c>
      <c r="D428">
        <v>5</v>
      </c>
      <c r="E428" t="str">
        <f>VLOOKUP(D428,'Cadatro Clientes'!A:O,2,2)</f>
        <v>Axé com Limão</v>
      </c>
      <c r="F428" t="str">
        <f>VLOOKUP(D428,'Cadatro Clientes'!A:O,9,2)</f>
        <v>Nordeste</v>
      </c>
      <c r="G428" s="15">
        <v>41809</v>
      </c>
      <c r="H428">
        <f t="shared" si="31"/>
        <v>5</v>
      </c>
      <c r="I428">
        <f t="shared" si="32"/>
        <v>19</v>
      </c>
      <c r="J428">
        <f t="shared" si="33"/>
        <v>6</v>
      </c>
      <c r="K428">
        <f t="shared" si="34"/>
        <v>2014</v>
      </c>
      <c r="M428">
        <v>3</v>
      </c>
      <c r="N428" t="str">
        <f>VLOOKUP(M428,'Cadastro Vendedores'!A:H,2,2)</f>
        <v>Antônia</v>
      </c>
      <c r="O428" s="2"/>
      <c r="P428" s="16">
        <v>4200</v>
      </c>
      <c r="Q428" s="2">
        <f>VLOOKUP(B428,'Cadastro Produtos'!A:F,5,2)</f>
        <v>8.5</v>
      </c>
      <c r="R428" s="14">
        <f t="shared" si="30"/>
        <v>35700</v>
      </c>
    </row>
    <row r="429" spans="1:18" x14ac:dyDescent="0.25">
      <c r="A429">
        <v>428</v>
      </c>
      <c r="B429">
        <v>8</v>
      </c>
      <c r="C429" t="str">
        <f>VLOOKUP(B429,'Cadastro Produtos'!A:E,2,2)</f>
        <v>Limonada Beta Zero 1 L</v>
      </c>
      <c r="D429">
        <v>1</v>
      </c>
      <c r="E429" t="str">
        <f>VLOOKUP(D429,'Cadatro Clientes'!A:O,2,2)</f>
        <v>Meu Suco de Limão</v>
      </c>
      <c r="F429" t="str">
        <f>VLOOKUP(D429,'Cadatro Clientes'!A:O,9,2)</f>
        <v>Norte</v>
      </c>
      <c r="G429" s="15">
        <v>41810</v>
      </c>
      <c r="H429">
        <f t="shared" si="31"/>
        <v>6</v>
      </c>
      <c r="I429">
        <f t="shared" si="32"/>
        <v>20</v>
      </c>
      <c r="J429">
        <f t="shared" si="33"/>
        <v>6</v>
      </c>
      <c r="K429">
        <f t="shared" si="34"/>
        <v>2014</v>
      </c>
      <c r="M429">
        <v>7</v>
      </c>
      <c r="N429" t="str">
        <f>VLOOKUP(M429,'Cadastro Vendedores'!A:H,2,2)</f>
        <v>Benedito</v>
      </c>
      <c r="O429" s="2"/>
      <c r="P429" s="16">
        <v>1400</v>
      </c>
      <c r="Q429" s="2">
        <f>VLOOKUP(B429,'Cadastro Produtos'!A:F,5,2)</f>
        <v>12</v>
      </c>
      <c r="R429" s="14">
        <f t="shared" si="30"/>
        <v>16800</v>
      </c>
    </row>
    <row r="430" spans="1:18" x14ac:dyDescent="0.25">
      <c r="A430">
        <v>429</v>
      </c>
      <c r="B430">
        <v>1</v>
      </c>
      <c r="C430" t="str">
        <f>VLOOKUP(B430,'Cadastro Produtos'!A:E,2,2)</f>
        <v>Limonada Alfa com Açúcar 500 ml</v>
      </c>
      <c r="D430">
        <v>5</v>
      </c>
      <c r="E430" t="str">
        <f>VLOOKUP(D430,'Cadatro Clientes'!A:O,2,2)</f>
        <v>Axé com Limão</v>
      </c>
      <c r="F430" t="str">
        <f>VLOOKUP(D430,'Cadatro Clientes'!A:O,9,2)</f>
        <v>Nordeste</v>
      </c>
      <c r="G430" s="15">
        <v>41810</v>
      </c>
      <c r="H430">
        <f t="shared" si="31"/>
        <v>6</v>
      </c>
      <c r="I430">
        <f t="shared" si="32"/>
        <v>20</v>
      </c>
      <c r="J430">
        <f t="shared" si="33"/>
        <v>6</v>
      </c>
      <c r="K430">
        <f t="shared" si="34"/>
        <v>2014</v>
      </c>
      <c r="M430">
        <v>3</v>
      </c>
      <c r="N430" t="str">
        <f>VLOOKUP(M430,'Cadastro Vendedores'!A:H,2,2)</f>
        <v>Antônia</v>
      </c>
      <c r="O430" s="2"/>
      <c r="P430" s="16">
        <v>1500</v>
      </c>
      <c r="Q430" s="2">
        <f>VLOOKUP(B430,'Cadastro Produtos'!A:F,5,2)</f>
        <v>8.5</v>
      </c>
      <c r="R430" s="14">
        <f t="shared" si="30"/>
        <v>12750</v>
      </c>
    </row>
    <row r="431" spans="1:18" x14ac:dyDescent="0.25">
      <c r="A431">
        <v>430</v>
      </c>
      <c r="B431">
        <v>4</v>
      </c>
      <c r="C431" t="str">
        <f>VLOOKUP(B431,'Cadastro Produtos'!A:E,2,2)</f>
        <v>Limonada Beta Zero 500 ml</v>
      </c>
      <c r="D431">
        <v>5</v>
      </c>
      <c r="E431" t="str">
        <f>VLOOKUP(D431,'Cadatro Clientes'!A:O,2,2)</f>
        <v>Axé com Limão</v>
      </c>
      <c r="F431" t="str">
        <f>VLOOKUP(D431,'Cadatro Clientes'!A:O,9,2)</f>
        <v>Nordeste</v>
      </c>
      <c r="G431" s="15">
        <v>41810</v>
      </c>
      <c r="H431">
        <f t="shared" si="31"/>
        <v>6</v>
      </c>
      <c r="I431">
        <f t="shared" si="32"/>
        <v>20</v>
      </c>
      <c r="J431">
        <f t="shared" si="33"/>
        <v>6</v>
      </c>
      <c r="K431">
        <f t="shared" si="34"/>
        <v>2014</v>
      </c>
      <c r="M431">
        <v>4</v>
      </c>
      <c r="N431" t="str">
        <f>VLOOKUP(M431,'Cadastro Vendedores'!A:H,2,2)</f>
        <v>José</v>
      </c>
      <c r="O431" s="2"/>
      <c r="P431" s="16">
        <v>3800</v>
      </c>
      <c r="Q431" s="2">
        <f>VLOOKUP(B431,'Cadastro Produtos'!A:F,5,2)</f>
        <v>7</v>
      </c>
      <c r="R431" s="14">
        <f t="shared" si="30"/>
        <v>26600</v>
      </c>
    </row>
    <row r="432" spans="1:18" x14ac:dyDescent="0.25">
      <c r="A432">
        <v>431</v>
      </c>
      <c r="B432">
        <v>9</v>
      </c>
      <c r="C432" t="str">
        <f>VLOOKUP(B432,'Cadastro Produtos'!A:E,2,2)</f>
        <v>Limonada Alfa com Hortelã e Açúcar 1 L</v>
      </c>
      <c r="D432">
        <v>14</v>
      </c>
      <c r="E432" t="str">
        <f>VLOOKUP(D432,'Cadatro Clientes'!A:O,2,2)</f>
        <v>Sprite</v>
      </c>
      <c r="F432" t="str">
        <f>VLOOKUP(D432,'Cadatro Clientes'!A:O,9,2)</f>
        <v>Norte</v>
      </c>
      <c r="G432" s="15">
        <v>41810</v>
      </c>
      <c r="H432">
        <f t="shared" si="31"/>
        <v>6</v>
      </c>
      <c r="I432">
        <f t="shared" si="32"/>
        <v>20</v>
      </c>
      <c r="J432">
        <f t="shared" si="33"/>
        <v>6</v>
      </c>
      <c r="K432">
        <f t="shared" si="34"/>
        <v>2014</v>
      </c>
      <c r="M432">
        <v>8</v>
      </c>
      <c r="N432" t="str">
        <f>VLOOKUP(M432,'Cadastro Vendedores'!A:H,2,2)</f>
        <v>Sérgio</v>
      </c>
      <c r="O432" s="2"/>
      <c r="P432" s="16">
        <v>1000</v>
      </c>
      <c r="Q432" s="2">
        <f>VLOOKUP(B432,'Cadastro Produtos'!A:F,5,2)</f>
        <v>17.5</v>
      </c>
      <c r="R432" s="14">
        <f t="shared" si="30"/>
        <v>17500</v>
      </c>
    </row>
    <row r="433" spans="1:18" x14ac:dyDescent="0.25">
      <c r="A433">
        <v>432</v>
      </c>
      <c r="B433">
        <v>8</v>
      </c>
      <c r="C433" t="str">
        <f>VLOOKUP(B433,'Cadastro Produtos'!A:E,2,2)</f>
        <v>Limonada Beta Zero 1 L</v>
      </c>
      <c r="D433">
        <v>9</v>
      </c>
      <c r="E433" t="str">
        <f>VLOOKUP(D433,'Cadatro Clientes'!A:O,2,2)</f>
        <v>Fresh Lemon</v>
      </c>
      <c r="F433" t="str">
        <f>VLOOKUP(D433,'Cadatro Clientes'!A:O,9,2)</f>
        <v>Sudeste</v>
      </c>
      <c r="G433" s="15">
        <v>41810</v>
      </c>
      <c r="H433">
        <f t="shared" si="31"/>
        <v>6</v>
      </c>
      <c r="I433">
        <f t="shared" si="32"/>
        <v>20</v>
      </c>
      <c r="J433">
        <f t="shared" si="33"/>
        <v>6</v>
      </c>
      <c r="K433">
        <f t="shared" si="34"/>
        <v>2014</v>
      </c>
      <c r="M433">
        <v>8</v>
      </c>
      <c r="N433" t="str">
        <f>VLOOKUP(M433,'Cadastro Vendedores'!A:H,2,2)</f>
        <v>Sérgio</v>
      </c>
      <c r="O433" s="2"/>
      <c r="P433" s="16">
        <v>2900</v>
      </c>
      <c r="Q433" s="2">
        <f>VLOOKUP(B433,'Cadastro Produtos'!A:F,5,2)</f>
        <v>12</v>
      </c>
      <c r="R433" s="14">
        <f t="shared" si="30"/>
        <v>34800</v>
      </c>
    </row>
    <row r="434" spans="1:18" x14ac:dyDescent="0.25">
      <c r="A434">
        <v>433</v>
      </c>
      <c r="B434">
        <v>8</v>
      </c>
      <c r="C434" t="str">
        <f>VLOOKUP(B434,'Cadastro Produtos'!A:E,2,2)</f>
        <v>Limonada Beta Zero 1 L</v>
      </c>
      <c r="D434">
        <v>1</v>
      </c>
      <c r="E434" t="str">
        <f>VLOOKUP(D434,'Cadatro Clientes'!A:O,2,2)</f>
        <v>Meu Suco de Limão</v>
      </c>
      <c r="F434" t="str">
        <f>VLOOKUP(D434,'Cadatro Clientes'!A:O,9,2)</f>
        <v>Norte</v>
      </c>
      <c r="G434" s="15">
        <v>41811</v>
      </c>
      <c r="H434">
        <f t="shared" si="31"/>
        <v>7</v>
      </c>
      <c r="I434">
        <f t="shared" si="32"/>
        <v>21</v>
      </c>
      <c r="J434">
        <f t="shared" si="33"/>
        <v>6</v>
      </c>
      <c r="K434">
        <f t="shared" si="34"/>
        <v>2014</v>
      </c>
      <c r="M434">
        <v>8</v>
      </c>
      <c r="N434" t="str">
        <f>VLOOKUP(M434,'Cadastro Vendedores'!A:H,2,2)</f>
        <v>Sérgio</v>
      </c>
      <c r="O434" s="2"/>
      <c r="P434" s="16">
        <v>2800</v>
      </c>
      <c r="Q434" s="2">
        <f>VLOOKUP(B434,'Cadastro Produtos'!A:F,5,2)</f>
        <v>12</v>
      </c>
      <c r="R434" s="14">
        <f t="shared" si="30"/>
        <v>33600</v>
      </c>
    </row>
    <row r="435" spans="1:18" x14ac:dyDescent="0.25">
      <c r="A435">
        <v>434</v>
      </c>
      <c r="B435">
        <v>4</v>
      </c>
      <c r="C435" t="str">
        <f>VLOOKUP(B435,'Cadastro Produtos'!A:E,2,2)</f>
        <v>Limonada Beta Zero 500 ml</v>
      </c>
      <c r="D435">
        <v>11</v>
      </c>
      <c r="E435" t="str">
        <f>VLOOKUP(D435,'Cadatro Clientes'!A:O,2,2)</f>
        <v>Red Lemon</v>
      </c>
      <c r="F435" t="str">
        <f>VLOOKUP(D435,'Cadatro Clientes'!A:O,9,2)</f>
        <v>Sul</v>
      </c>
      <c r="G435" s="15">
        <v>41812</v>
      </c>
      <c r="H435">
        <f t="shared" si="31"/>
        <v>1</v>
      </c>
      <c r="I435">
        <f t="shared" si="32"/>
        <v>22</v>
      </c>
      <c r="J435">
        <f t="shared" si="33"/>
        <v>6</v>
      </c>
      <c r="K435">
        <f t="shared" si="34"/>
        <v>2014</v>
      </c>
      <c r="M435">
        <v>8</v>
      </c>
      <c r="N435" t="str">
        <f>VLOOKUP(M435,'Cadastro Vendedores'!A:H,2,2)</f>
        <v>Sérgio</v>
      </c>
      <c r="O435" s="2"/>
      <c r="P435" s="16">
        <v>3100</v>
      </c>
      <c r="Q435" s="2">
        <f>VLOOKUP(B435,'Cadastro Produtos'!A:F,5,2)</f>
        <v>7</v>
      </c>
      <c r="R435" s="14">
        <f t="shared" si="30"/>
        <v>21700</v>
      </c>
    </row>
    <row r="436" spans="1:18" x14ac:dyDescent="0.25">
      <c r="A436">
        <v>435</v>
      </c>
      <c r="B436">
        <v>3</v>
      </c>
      <c r="C436" t="str">
        <f>VLOOKUP(B436,'Cadastro Produtos'!A:E,2,2)</f>
        <v>Limonada Alfa Zero 500 ml</v>
      </c>
      <c r="D436">
        <v>6</v>
      </c>
      <c r="E436" t="str">
        <f>VLOOKUP(D436,'Cadatro Clientes'!A:O,2,2)</f>
        <v>Lemonade</v>
      </c>
      <c r="F436" t="str">
        <f>VLOOKUP(D436,'Cadatro Clientes'!A:O,9,2)</f>
        <v>Norte</v>
      </c>
      <c r="G436" s="15">
        <v>41812</v>
      </c>
      <c r="H436">
        <f t="shared" si="31"/>
        <v>1</v>
      </c>
      <c r="I436">
        <f t="shared" si="32"/>
        <v>22</v>
      </c>
      <c r="J436">
        <f t="shared" si="33"/>
        <v>6</v>
      </c>
      <c r="K436">
        <f t="shared" si="34"/>
        <v>2014</v>
      </c>
      <c r="M436">
        <v>2</v>
      </c>
      <c r="N436" t="str">
        <f>VLOOKUP(M436,'Cadastro Vendedores'!A:H,2,2)</f>
        <v>Luis</v>
      </c>
      <c r="O436" s="2"/>
      <c r="P436" s="16">
        <v>4000</v>
      </c>
      <c r="Q436" s="2">
        <f>VLOOKUP(B436,'Cadastro Produtos'!A:F,5,2)</f>
        <v>9</v>
      </c>
      <c r="R436" s="14">
        <f t="shared" si="30"/>
        <v>36000</v>
      </c>
    </row>
    <row r="437" spans="1:18" x14ac:dyDescent="0.25">
      <c r="A437">
        <v>436</v>
      </c>
      <c r="B437">
        <v>5</v>
      </c>
      <c r="C437" t="str">
        <f>VLOOKUP(B437,'Cadastro Produtos'!A:E,2,2)</f>
        <v>Limonada Alfa com Açúcar 1 L</v>
      </c>
      <c r="D437">
        <v>2</v>
      </c>
      <c r="E437" t="str">
        <f>VLOOKUP(D437,'Cadatro Clientes'!A:O,2,2)</f>
        <v>Limão S/A</v>
      </c>
      <c r="F437" t="str">
        <f>VLOOKUP(D437,'Cadatro Clientes'!A:O,9,2)</f>
        <v>Centro-Oeste</v>
      </c>
      <c r="G437" s="15">
        <v>41812</v>
      </c>
      <c r="H437">
        <f t="shared" si="31"/>
        <v>1</v>
      </c>
      <c r="I437">
        <f t="shared" si="32"/>
        <v>22</v>
      </c>
      <c r="J437">
        <f t="shared" si="33"/>
        <v>6</v>
      </c>
      <c r="K437">
        <f t="shared" si="34"/>
        <v>2014</v>
      </c>
      <c r="M437">
        <v>3</v>
      </c>
      <c r="N437" t="str">
        <f>VLOOKUP(M437,'Cadastro Vendedores'!A:H,2,2)</f>
        <v>Antônia</v>
      </c>
      <c r="O437" s="2"/>
      <c r="P437" s="16">
        <v>2000</v>
      </c>
      <c r="Q437" s="2">
        <f>VLOOKUP(B437,'Cadastro Produtos'!A:F,5,2)</f>
        <v>15</v>
      </c>
      <c r="R437" s="14">
        <f t="shared" si="30"/>
        <v>30000</v>
      </c>
    </row>
    <row r="438" spans="1:18" x14ac:dyDescent="0.25">
      <c r="A438">
        <v>437</v>
      </c>
      <c r="B438">
        <v>7</v>
      </c>
      <c r="C438" t="str">
        <f>VLOOKUP(B438,'Cadastro Produtos'!A:E,2,2)</f>
        <v>Limonada Alfa Zero 1 L</v>
      </c>
      <c r="D438">
        <v>9</v>
      </c>
      <c r="E438" t="str">
        <f>VLOOKUP(D438,'Cadatro Clientes'!A:O,2,2)</f>
        <v>Fresh Lemon</v>
      </c>
      <c r="F438" t="str">
        <f>VLOOKUP(D438,'Cadatro Clientes'!A:O,9,2)</f>
        <v>Sudeste</v>
      </c>
      <c r="G438" s="15">
        <v>41813</v>
      </c>
      <c r="H438">
        <f t="shared" si="31"/>
        <v>2</v>
      </c>
      <c r="I438">
        <f t="shared" si="32"/>
        <v>23</v>
      </c>
      <c r="J438">
        <f t="shared" si="33"/>
        <v>6</v>
      </c>
      <c r="K438">
        <f t="shared" si="34"/>
        <v>2014</v>
      </c>
      <c r="M438">
        <v>3</v>
      </c>
      <c r="N438" t="str">
        <f>VLOOKUP(M438,'Cadastro Vendedores'!A:H,2,2)</f>
        <v>Antônia</v>
      </c>
      <c r="O438" s="2"/>
      <c r="P438" s="16">
        <v>2500</v>
      </c>
      <c r="Q438" s="2">
        <f>VLOOKUP(B438,'Cadastro Produtos'!A:F,5,2)</f>
        <v>15</v>
      </c>
      <c r="R438" s="14">
        <f t="shared" si="30"/>
        <v>37500</v>
      </c>
    </row>
    <row r="439" spans="1:18" x14ac:dyDescent="0.25">
      <c r="A439">
        <v>438</v>
      </c>
      <c r="B439">
        <v>3</v>
      </c>
      <c r="C439" t="str">
        <f>VLOOKUP(B439,'Cadastro Produtos'!A:E,2,2)</f>
        <v>Limonada Alfa Zero 500 ml</v>
      </c>
      <c r="D439">
        <v>7</v>
      </c>
      <c r="E439" t="str">
        <f>VLOOKUP(D439,'Cadatro Clientes'!A:O,2,2)</f>
        <v>Limo</v>
      </c>
      <c r="F439" t="str">
        <f>VLOOKUP(D439,'Cadatro Clientes'!A:O,9,2)</f>
        <v>Centro-Oeste</v>
      </c>
      <c r="G439" s="15">
        <v>41813</v>
      </c>
      <c r="H439">
        <f t="shared" si="31"/>
        <v>2</v>
      </c>
      <c r="I439">
        <f t="shared" si="32"/>
        <v>23</v>
      </c>
      <c r="J439">
        <f t="shared" si="33"/>
        <v>6</v>
      </c>
      <c r="K439">
        <f t="shared" si="34"/>
        <v>2014</v>
      </c>
      <c r="M439">
        <v>2</v>
      </c>
      <c r="N439" t="str">
        <f>VLOOKUP(M439,'Cadastro Vendedores'!A:H,2,2)</f>
        <v>Luis</v>
      </c>
      <c r="O439" s="2"/>
      <c r="P439" s="16">
        <v>5500</v>
      </c>
      <c r="Q439" s="2">
        <f>VLOOKUP(B439,'Cadastro Produtos'!A:F,5,2)</f>
        <v>9</v>
      </c>
      <c r="R439" s="14">
        <f t="shared" si="30"/>
        <v>49500</v>
      </c>
    </row>
    <row r="440" spans="1:18" x14ac:dyDescent="0.25">
      <c r="A440">
        <v>439</v>
      </c>
      <c r="B440">
        <v>9</v>
      </c>
      <c r="C440" t="str">
        <f>VLOOKUP(B440,'Cadastro Produtos'!A:E,2,2)</f>
        <v>Limonada Alfa com Hortelã e Açúcar 1 L</v>
      </c>
      <c r="D440">
        <v>16</v>
      </c>
      <c r="E440" t="str">
        <f>VLOOKUP(D440,'Cadatro Clientes'!A:O,2,2)</f>
        <v>Norte Suco</v>
      </c>
      <c r="F440" t="str">
        <f>VLOOKUP(D440,'Cadatro Clientes'!A:O,9,2)</f>
        <v>Nordeste</v>
      </c>
      <c r="G440" s="15">
        <v>41813</v>
      </c>
      <c r="H440">
        <f t="shared" si="31"/>
        <v>2</v>
      </c>
      <c r="I440">
        <f t="shared" si="32"/>
        <v>23</v>
      </c>
      <c r="J440">
        <f t="shared" si="33"/>
        <v>6</v>
      </c>
      <c r="K440">
        <f t="shared" si="34"/>
        <v>2014</v>
      </c>
      <c r="M440">
        <v>3</v>
      </c>
      <c r="N440" t="str">
        <f>VLOOKUP(M440,'Cadastro Vendedores'!A:H,2,2)</f>
        <v>Antônia</v>
      </c>
      <c r="O440" s="2"/>
      <c r="P440" s="16">
        <v>1500</v>
      </c>
      <c r="Q440" s="2">
        <f>VLOOKUP(B440,'Cadastro Produtos'!A:F,5,2)</f>
        <v>17.5</v>
      </c>
      <c r="R440" s="14">
        <f t="shared" si="30"/>
        <v>26250</v>
      </c>
    </row>
    <row r="441" spans="1:18" x14ac:dyDescent="0.25">
      <c r="A441">
        <v>440</v>
      </c>
      <c r="B441">
        <v>2</v>
      </c>
      <c r="C441" t="str">
        <f>VLOOKUP(B441,'Cadastro Produtos'!A:E,2,2)</f>
        <v>Limonada Beta com Açúcar 500 ml</v>
      </c>
      <c r="D441">
        <v>4</v>
      </c>
      <c r="E441" t="str">
        <f>VLOOKUP(D441,'Cadatro Clientes'!A:O,2,2)</f>
        <v>Limão Carioca e Cia</v>
      </c>
      <c r="F441" t="str">
        <f>VLOOKUP(D441,'Cadatro Clientes'!A:O,9,2)</f>
        <v>Sudeste</v>
      </c>
      <c r="G441" s="15">
        <v>41813</v>
      </c>
      <c r="H441">
        <f t="shared" si="31"/>
        <v>2</v>
      </c>
      <c r="I441">
        <f t="shared" si="32"/>
        <v>23</v>
      </c>
      <c r="J441">
        <f t="shared" si="33"/>
        <v>6</v>
      </c>
      <c r="K441">
        <f t="shared" si="34"/>
        <v>2014</v>
      </c>
      <c r="M441">
        <v>2</v>
      </c>
      <c r="N441" t="str">
        <f>VLOOKUP(M441,'Cadastro Vendedores'!A:H,2,2)</f>
        <v>Luis</v>
      </c>
      <c r="O441" s="2"/>
      <c r="P441" s="16">
        <v>6700</v>
      </c>
      <c r="Q441" s="2">
        <f>VLOOKUP(B441,'Cadastro Produtos'!A:F,5,2)</f>
        <v>6.5</v>
      </c>
      <c r="R441" s="14">
        <f t="shared" si="30"/>
        <v>43550</v>
      </c>
    </row>
    <row r="442" spans="1:18" x14ac:dyDescent="0.25">
      <c r="A442">
        <v>441</v>
      </c>
      <c r="B442">
        <v>5</v>
      </c>
      <c r="C442" t="str">
        <f>VLOOKUP(B442,'Cadastro Produtos'!A:E,2,2)</f>
        <v>Limonada Alfa com Açúcar 1 L</v>
      </c>
      <c r="D442">
        <v>14</v>
      </c>
      <c r="E442" t="str">
        <f>VLOOKUP(D442,'Cadatro Clientes'!A:O,2,2)</f>
        <v>Sprite</v>
      </c>
      <c r="F442" t="str">
        <f>VLOOKUP(D442,'Cadatro Clientes'!A:O,9,2)</f>
        <v>Norte</v>
      </c>
      <c r="G442" s="15">
        <v>41814</v>
      </c>
      <c r="H442">
        <f t="shared" si="31"/>
        <v>3</v>
      </c>
      <c r="I442">
        <f t="shared" si="32"/>
        <v>24</v>
      </c>
      <c r="J442">
        <f t="shared" si="33"/>
        <v>6</v>
      </c>
      <c r="K442">
        <f t="shared" si="34"/>
        <v>2014</v>
      </c>
      <c r="M442">
        <v>3</v>
      </c>
      <c r="N442" t="str">
        <f>VLOOKUP(M442,'Cadastro Vendedores'!A:H,2,2)</f>
        <v>Antônia</v>
      </c>
      <c r="O442" s="2"/>
      <c r="P442" s="16">
        <v>700</v>
      </c>
      <c r="Q442" s="2">
        <f>VLOOKUP(B442,'Cadastro Produtos'!A:F,5,2)</f>
        <v>15</v>
      </c>
      <c r="R442" s="14">
        <f t="shared" si="30"/>
        <v>10500</v>
      </c>
    </row>
    <row r="443" spans="1:18" x14ac:dyDescent="0.25">
      <c r="A443">
        <v>442</v>
      </c>
      <c r="B443">
        <v>5</v>
      </c>
      <c r="C443" t="str">
        <f>VLOOKUP(B443,'Cadastro Produtos'!A:E,2,2)</f>
        <v>Limonada Alfa com Açúcar 1 L</v>
      </c>
      <c r="D443">
        <v>8</v>
      </c>
      <c r="E443" t="str">
        <f>VLOOKUP(D443,'Cadatro Clientes'!A:O,2,2)</f>
        <v>Refresko</v>
      </c>
      <c r="F443" t="str">
        <f>VLOOKUP(D443,'Cadatro Clientes'!A:O,9,2)</f>
        <v>Sul</v>
      </c>
      <c r="G443" s="15">
        <v>41815</v>
      </c>
      <c r="H443">
        <f t="shared" si="31"/>
        <v>4</v>
      </c>
      <c r="I443">
        <f t="shared" si="32"/>
        <v>25</v>
      </c>
      <c r="J443">
        <f t="shared" si="33"/>
        <v>6</v>
      </c>
      <c r="K443">
        <f t="shared" si="34"/>
        <v>2014</v>
      </c>
      <c r="M443">
        <v>3</v>
      </c>
      <c r="N443" t="str">
        <f>VLOOKUP(M443,'Cadastro Vendedores'!A:H,2,2)</f>
        <v>Antônia</v>
      </c>
      <c r="O443" s="2"/>
      <c r="P443" s="16">
        <v>2900</v>
      </c>
      <c r="Q443" s="2">
        <f>VLOOKUP(B443,'Cadastro Produtos'!A:F,5,2)</f>
        <v>15</v>
      </c>
      <c r="R443" s="14">
        <f t="shared" si="30"/>
        <v>43500</v>
      </c>
    </row>
    <row r="444" spans="1:18" x14ac:dyDescent="0.25">
      <c r="A444">
        <v>443</v>
      </c>
      <c r="B444">
        <v>5</v>
      </c>
      <c r="C444" t="str">
        <f>VLOOKUP(B444,'Cadastro Produtos'!A:E,2,2)</f>
        <v>Limonada Alfa com Açúcar 1 L</v>
      </c>
      <c r="D444">
        <v>13</v>
      </c>
      <c r="E444" t="str">
        <f>VLOOKUP(D444,'Cadatro Clientes'!A:O,2,2)</f>
        <v>Monster Lemon</v>
      </c>
      <c r="F444" t="str">
        <f>VLOOKUP(D444,'Cadatro Clientes'!A:O,9,2)</f>
        <v>Nordeste</v>
      </c>
      <c r="G444" s="15">
        <v>41815</v>
      </c>
      <c r="H444">
        <f t="shared" si="31"/>
        <v>4</v>
      </c>
      <c r="I444">
        <f t="shared" si="32"/>
        <v>25</v>
      </c>
      <c r="J444">
        <f t="shared" si="33"/>
        <v>6</v>
      </c>
      <c r="K444">
        <f t="shared" si="34"/>
        <v>2014</v>
      </c>
      <c r="M444">
        <v>7</v>
      </c>
      <c r="N444" t="str">
        <f>VLOOKUP(M444,'Cadastro Vendedores'!A:H,2,2)</f>
        <v>Benedito</v>
      </c>
      <c r="O444" s="2"/>
      <c r="P444" s="16">
        <v>3000</v>
      </c>
      <c r="Q444" s="2">
        <f>VLOOKUP(B444,'Cadastro Produtos'!A:F,5,2)</f>
        <v>15</v>
      </c>
      <c r="R444" s="14">
        <f t="shared" si="30"/>
        <v>45000</v>
      </c>
    </row>
    <row r="445" spans="1:18" x14ac:dyDescent="0.25">
      <c r="A445">
        <v>444</v>
      </c>
      <c r="B445">
        <v>1</v>
      </c>
      <c r="C445" t="str">
        <f>VLOOKUP(B445,'Cadastro Produtos'!A:E,2,2)</f>
        <v>Limonada Alfa com Açúcar 500 ml</v>
      </c>
      <c r="D445">
        <v>8</v>
      </c>
      <c r="E445" t="str">
        <f>VLOOKUP(D445,'Cadatro Clientes'!A:O,2,2)</f>
        <v>Refresko</v>
      </c>
      <c r="F445" t="str">
        <f>VLOOKUP(D445,'Cadatro Clientes'!A:O,9,2)</f>
        <v>Sul</v>
      </c>
      <c r="G445" s="15">
        <v>41816</v>
      </c>
      <c r="H445">
        <f t="shared" si="31"/>
        <v>5</v>
      </c>
      <c r="I445">
        <f t="shared" si="32"/>
        <v>26</v>
      </c>
      <c r="J445">
        <f t="shared" si="33"/>
        <v>6</v>
      </c>
      <c r="K445">
        <f t="shared" si="34"/>
        <v>2014</v>
      </c>
      <c r="M445">
        <v>6</v>
      </c>
      <c r="N445" t="str">
        <f>VLOOKUP(M445,'Cadastro Vendedores'!A:H,2,2)</f>
        <v>Antônia</v>
      </c>
      <c r="O445" s="2"/>
      <c r="P445" s="16">
        <v>2900</v>
      </c>
      <c r="Q445" s="2">
        <f>VLOOKUP(B445,'Cadastro Produtos'!A:F,5,2)</f>
        <v>8.5</v>
      </c>
      <c r="R445" s="14">
        <f t="shared" si="30"/>
        <v>24650</v>
      </c>
    </row>
    <row r="446" spans="1:18" x14ac:dyDescent="0.25">
      <c r="A446">
        <v>445</v>
      </c>
      <c r="B446">
        <v>9</v>
      </c>
      <c r="C446" t="str">
        <f>VLOOKUP(B446,'Cadastro Produtos'!A:E,2,2)</f>
        <v>Limonada Alfa com Hortelã e Açúcar 1 L</v>
      </c>
      <c r="D446">
        <v>4</v>
      </c>
      <c r="E446" t="str">
        <f>VLOOKUP(D446,'Cadatro Clientes'!A:O,2,2)</f>
        <v>Limão Carioca e Cia</v>
      </c>
      <c r="F446" t="str">
        <f>VLOOKUP(D446,'Cadatro Clientes'!A:O,9,2)</f>
        <v>Sudeste</v>
      </c>
      <c r="G446" s="15">
        <v>41816</v>
      </c>
      <c r="H446">
        <f t="shared" si="31"/>
        <v>5</v>
      </c>
      <c r="I446">
        <f t="shared" si="32"/>
        <v>26</v>
      </c>
      <c r="J446">
        <f t="shared" si="33"/>
        <v>6</v>
      </c>
      <c r="K446">
        <f t="shared" si="34"/>
        <v>2014</v>
      </c>
      <c r="M446">
        <v>6</v>
      </c>
      <c r="N446" t="str">
        <f>VLOOKUP(M446,'Cadastro Vendedores'!A:H,2,2)</f>
        <v>Antônia</v>
      </c>
      <c r="O446" s="2"/>
      <c r="P446" s="16">
        <v>2900</v>
      </c>
      <c r="Q446" s="2">
        <f>VLOOKUP(B446,'Cadastro Produtos'!A:F,5,2)</f>
        <v>17.5</v>
      </c>
      <c r="R446" s="14">
        <f t="shared" si="30"/>
        <v>50750</v>
      </c>
    </row>
    <row r="447" spans="1:18" x14ac:dyDescent="0.25">
      <c r="A447">
        <v>446</v>
      </c>
      <c r="B447">
        <v>10</v>
      </c>
      <c r="C447" t="str">
        <f>VLOOKUP(B447,'Cadastro Produtos'!A:E,2,2)</f>
        <v>Limonada Alfa com Hortelã Zero 1 L</v>
      </c>
      <c r="D447">
        <v>1</v>
      </c>
      <c r="E447" t="str">
        <f>VLOOKUP(D447,'Cadatro Clientes'!A:O,2,2)</f>
        <v>Meu Suco de Limão</v>
      </c>
      <c r="F447" t="str">
        <f>VLOOKUP(D447,'Cadatro Clientes'!A:O,9,2)</f>
        <v>Norte</v>
      </c>
      <c r="G447" s="15">
        <v>41816</v>
      </c>
      <c r="H447">
        <f t="shared" si="31"/>
        <v>5</v>
      </c>
      <c r="I447">
        <f t="shared" si="32"/>
        <v>26</v>
      </c>
      <c r="J447">
        <f t="shared" si="33"/>
        <v>6</v>
      </c>
      <c r="K447">
        <f t="shared" si="34"/>
        <v>2014</v>
      </c>
      <c r="M447">
        <v>3</v>
      </c>
      <c r="N447" t="str">
        <f>VLOOKUP(M447,'Cadastro Vendedores'!A:H,2,2)</f>
        <v>Antônia</v>
      </c>
      <c r="O447" s="2"/>
      <c r="P447" s="16">
        <v>700</v>
      </c>
      <c r="Q447" s="2">
        <f>VLOOKUP(B447,'Cadastro Produtos'!A:F,5,2)</f>
        <v>21</v>
      </c>
      <c r="R447" s="14">
        <f t="shared" si="30"/>
        <v>14700</v>
      </c>
    </row>
    <row r="448" spans="1:18" x14ac:dyDescent="0.25">
      <c r="A448">
        <v>447</v>
      </c>
      <c r="B448">
        <v>4</v>
      </c>
      <c r="C448" t="str">
        <f>VLOOKUP(B448,'Cadastro Produtos'!A:E,2,2)</f>
        <v>Limonada Beta Zero 500 ml</v>
      </c>
      <c r="D448">
        <v>11</v>
      </c>
      <c r="E448" t="str">
        <f>VLOOKUP(D448,'Cadatro Clientes'!A:O,2,2)</f>
        <v>Red Lemon</v>
      </c>
      <c r="F448" t="str">
        <f>VLOOKUP(D448,'Cadatro Clientes'!A:O,9,2)</f>
        <v>Sul</v>
      </c>
      <c r="G448" s="15">
        <v>41817</v>
      </c>
      <c r="H448">
        <f t="shared" si="31"/>
        <v>6</v>
      </c>
      <c r="I448">
        <f t="shared" si="32"/>
        <v>27</v>
      </c>
      <c r="J448">
        <f t="shared" si="33"/>
        <v>6</v>
      </c>
      <c r="K448">
        <f t="shared" si="34"/>
        <v>2014</v>
      </c>
      <c r="M448">
        <v>3</v>
      </c>
      <c r="N448" t="str">
        <f>VLOOKUP(M448,'Cadastro Vendedores'!A:H,2,2)</f>
        <v>Antônia</v>
      </c>
      <c r="O448" s="2"/>
      <c r="P448" s="16">
        <v>2700</v>
      </c>
      <c r="Q448" s="2">
        <f>VLOOKUP(B448,'Cadastro Produtos'!A:F,5,2)</f>
        <v>7</v>
      </c>
      <c r="R448" s="14">
        <f t="shared" si="30"/>
        <v>18900</v>
      </c>
    </row>
    <row r="449" spans="1:18" x14ac:dyDescent="0.25">
      <c r="A449">
        <v>448</v>
      </c>
      <c r="B449">
        <v>8</v>
      </c>
      <c r="C449" t="str">
        <f>VLOOKUP(B449,'Cadastro Produtos'!A:E,2,2)</f>
        <v>Limonada Beta Zero 1 L</v>
      </c>
      <c r="D449">
        <v>4</v>
      </c>
      <c r="E449" t="str">
        <f>VLOOKUP(D449,'Cadatro Clientes'!A:O,2,2)</f>
        <v>Limão Carioca e Cia</v>
      </c>
      <c r="F449" t="str">
        <f>VLOOKUP(D449,'Cadatro Clientes'!A:O,9,2)</f>
        <v>Sudeste</v>
      </c>
      <c r="G449" s="15">
        <v>41817</v>
      </c>
      <c r="H449">
        <f t="shared" si="31"/>
        <v>6</v>
      </c>
      <c r="I449">
        <f t="shared" si="32"/>
        <v>27</v>
      </c>
      <c r="J449">
        <f t="shared" si="33"/>
        <v>6</v>
      </c>
      <c r="K449">
        <f t="shared" si="34"/>
        <v>2014</v>
      </c>
      <c r="M449">
        <v>9</v>
      </c>
      <c r="N449" t="str">
        <f>VLOOKUP(M449,'Cadastro Vendedores'!A:H,2,2)</f>
        <v>Adriana</v>
      </c>
      <c r="O449" s="2"/>
      <c r="P449" s="16">
        <v>2100</v>
      </c>
      <c r="Q449" s="2">
        <f>VLOOKUP(B449,'Cadastro Produtos'!A:F,5,2)</f>
        <v>12</v>
      </c>
      <c r="R449" s="14">
        <f t="shared" si="30"/>
        <v>25200</v>
      </c>
    </row>
    <row r="450" spans="1:18" x14ac:dyDescent="0.25">
      <c r="A450">
        <v>449</v>
      </c>
      <c r="B450">
        <v>9</v>
      </c>
      <c r="C450" t="str">
        <f>VLOOKUP(B450,'Cadastro Produtos'!A:E,2,2)</f>
        <v>Limonada Alfa com Hortelã e Açúcar 1 L</v>
      </c>
      <c r="D450">
        <v>7</v>
      </c>
      <c r="E450" t="str">
        <f>VLOOKUP(D450,'Cadatro Clientes'!A:O,2,2)</f>
        <v>Limo</v>
      </c>
      <c r="F450" t="str">
        <f>VLOOKUP(D450,'Cadatro Clientes'!A:O,9,2)</f>
        <v>Centro-Oeste</v>
      </c>
      <c r="G450" s="15">
        <v>41817</v>
      </c>
      <c r="H450">
        <f t="shared" si="31"/>
        <v>6</v>
      </c>
      <c r="I450">
        <f t="shared" si="32"/>
        <v>27</v>
      </c>
      <c r="J450">
        <f t="shared" si="33"/>
        <v>6</v>
      </c>
      <c r="K450">
        <f t="shared" si="34"/>
        <v>2014</v>
      </c>
      <c r="M450">
        <v>4</v>
      </c>
      <c r="N450" t="str">
        <f>VLOOKUP(M450,'Cadastro Vendedores'!A:H,2,2)</f>
        <v>José</v>
      </c>
      <c r="O450" s="2"/>
      <c r="P450" s="16">
        <v>600</v>
      </c>
      <c r="Q450" s="2">
        <f>VLOOKUP(B450,'Cadastro Produtos'!A:F,5,2)</f>
        <v>17.5</v>
      </c>
      <c r="R450" s="14">
        <f t="shared" ref="R450:R513" si="35">Q450*P450</f>
        <v>10500</v>
      </c>
    </row>
    <row r="451" spans="1:18" x14ac:dyDescent="0.25">
      <c r="A451">
        <v>450</v>
      </c>
      <c r="B451">
        <v>6</v>
      </c>
      <c r="C451" t="str">
        <f>VLOOKUP(B451,'Cadastro Produtos'!A:E,2,2)</f>
        <v>Limonada Beta com Açúcar 1 L</v>
      </c>
      <c r="D451">
        <v>1</v>
      </c>
      <c r="E451" t="str">
        <f>VLOOKUP(D451,'Cadatro Clientes'!A:O,2,2)</f>
        <v>Meu Suco de Limão</v>
      </c>
      <c r="F451" t="str">
        <f>VLOOKUP(D451,'Cadatro Clientes'!A:O,9,2)</f>
        <v>Norte</v>
      </c>
      <c r="G451" s="15">
        <v>41817</v>
      </c>
      <c r="H451">
        <f t="shared" ref="H451:H514" si="36">WEEKDAY(G451)</f>
        <v>6</v>
      </c>
      <c r="I451">
        <f t="shared" ref="I451:I514" si="37">DAY(G451)</f>
        <v>27</v>
      </c>
      <c r="J451">
        <f t="shared" ref="J451:J514" si="38">MONTH(G451)</f>
        <v>6</v>
      </c>
      <c r="K451">
        <f t="shared" ref="K451:K514" si="39">YEAR(G451)</f>
        <v>2014</v>
      </c>
      <c r="M451">
        <v>2</v>
      </c>
      <c r="N451" t="str">
        <f>VLOOKUP(M451,'Cadastro Vendedores'!A:H,2,2)</f>
        <v>Luis</v>
      </c>
      <c r="O451" s="2"/>
      <c r="P451" s="16">
        <v>2600</v>
      </c>
      <c r="Q451" s="2">
        <f>VLOOKUP(B451,'Cadastro Produtos'!A:F,5,2)</f>
        <v>12</v>
      </c>
      <c r="R451" s="14">
        <f t="shared" si="35"/>
        <v>31200</v>
      </c>
    </row>
    <row r="452" spans="1:18" x14ac:dyDescent="0.25">
      <c r="A452">
        <v>451</v>
      </c>
      <c r="B452">
        <v>6</v>
      </c>
      <c r="C452" t="str">
        <f>VLOOKUP(B452,'Cadastro Produtos'!A:E,2,2)</f>
        <v>Limonada Beta com Açúcar 1 L</v>
      </c>
      <c r="D452">
        <v>8</v>
      </c>
      <c r="E452" t="str">
        <f>VLOOKUP(D452,'Cadatro Clientes'!A:O,2,2)</f>
        <v>Refresko</v>
      </c>
      <c r="F452" t="str">
        <f>VLOOKUP(D452,'Cadatro Clientes'!A:O,9,2)</f>
        <v>Sul</v>
      </c>
      <c r="G452" s="15">
        <v>41818</v>
      </c>
      <c r="H452">
        <f t="shared" si="36"/>
        <v>7</v>
      </c>
      <c r="I452">
        <f t="shared" si="37"/>
        <v>28</v>
      </c>
      <c r="J452">
        <f t="shared" si="38"/>
        <v>6</v>
      </c>
      <c r="K452">
        <f t="shared" si="39"/>
        <v>2014</v>
      </c>
      <c r="M452">
        <v>7</v>
      </c>
      <c r="N452" t="str">
        <f>VLOOKUP(M452,'Cadastro Vendedores'!A:H,2,2)</f>
        <v>Benedito</v>
      </c>
      <c r="O452" s="2"/>
      <c r="P452" s="16">
        <v>1300</v>
      </c>
      <c r="Q452" s="2">
        <f>VLOOKUP(B452,'Cadastro Produtos'!A:F,5,2)</f>
        <v>12</v>
      </c>
      <c r="R452" s="14">
        <f t="shared" si="35"/>
        <v>15600</v>
      </c>
    </row>
    <row r="453" spans="1:18" x14ac:dyDescent="0.25">
      <c r="A453">
        <v>452</v>
      </c>
      <c r="B453">
        <v>3</v>
      </c>
      <c r="C453" t="str">
        <f>VLOOKUP(B453,'Cadastro Produtos'!A:E,2,2)</f>
        <v>Limonada Alfa Zero 500 ml</v>
      </c>
      <c r="D453">
        <v>5</v>
      </c>
      <c r="E453" t="str">
        <f>VLOOKUP(D453,'Cadatro Clientes'!A:O,2,2)</f>
        <v>Axé com Limão</v>
      </c>
      <c r="F453" t="str">
        <f>VLOOKUP(D453,'Cadatro Clientes'!A:O,9,2)</f>
        <v>Nordeste</v>
      </c>
      <c r="G453" s="15">
        <v>41819</v>
      </c>
      <c r="H453">
        <f t="shared" si="36"/>
        <v>1</v>
      </c>
      <c r="I453">
        <f t="shared" si="37"/>
        <v>29</v>
      </c>
      <c r="J453">
        <f t="shared" si="38"/>
        <v>6</v>
      </c>
      <c r="K453">
        <f t="shared" si="39"/>
        <v>2014</v>
      </c>
      <c r="M453">
        <v>2</v>
      </c>
      <c r="N453" t="str">
        <f>VLOOKUP(M453,'Cadastro Vendedores'!A:H,2,2)</f>
        <v>Luis</v>
      </c>
      <c r="O453" s="2"/>
      <c r="P453" s="16">
        <v>3000</v>
      </c>
      <c r="Q453" s="2">
        <f>VLOOKUP(B453,'Cadastro Produtos'!A:F,5,2)</f>
        <v>9</v>
      </c>
      <c r="R453" s="14">
        <f t="shared" si="35"/>
        <v>27000</v>
      </c>
    </row>
    <row r="454" spans="1:18" x14ac:dyDescent="0.25">
      <c r="A454">
        <v>453</v>
      </c>
      <c r="B454">
        <v>3</v>
      </c>
      <c r="C454" t="str">
        <f>VLOOKUP(B454,'Cadastro Produtos'!A:E,2,2)</f>
        <v>Limonada Alfa Zero 500 ml</v>
      </c>
      <c r="D454">
        <v>13</v>
      </c>
      <c r="E454" t="str">
        <f>VLOOKUP(D454,'Cadatro Clientes'!A:O,2,2)</f>
        <v>Monster Lemon</v>
      </c>
      <c r="F454" t="str">
        <f>VLOOKUP(D454,'Cadatro Clientes'!A:O,9,2)</f>
        <v>Nordeste</v>
      </c>
      <c r="G454" s="15">
        <v>41819</v>
      </c>
      <c r="H454">
        <f t="shared" si="36"/>
        <v>1</v>
      </c>
      <c r="I454">
        <f t="shared" si="37"/>
        <v>29</v>
      </c>
      <c r="J454">
        <f t="shared" si="38"/>
        <v>6</v>
      </c>
      <c r="K454">
        <f t="shared" si="39"/>
        <v>2014</v>
      </c>
      <c r="M454">
        <v>9</v>
      </c>
      <c r="N454" t="str">
        <f>VLOOKUP(M454,'Cadastro Vendedores'!A:H,2,2)</f>
        <v>Adriana</v>
      </c>
      <c r="O454" s="2"/>
      <c r="P454" s="16">
        <v>4500</v>
      </c>
      <c r="Q454" s="2">
        <f>VLOOKUP(B454,'Cadastro Produtos'!A:F,5,2)</f>
        <v>9</v>
      </c>
      <c r="R454" s="14">
        <f t="shared" si="35"/>
        <v>40500</v>
      </c>
    </row>
    <row r="455" spans="1:18" x14ac:dyDescent="0.25">
      <c r="A455">
        <v>454</v>
      </c>
      <c r="B455">
        <v>7</v>
      </c>
      <c r="C455" t="str">
        <f>VLOOKUP(B455,'Cadastro Produtos'!A:E,2,2)</f>
        <v>Limonada Alfa Zero 1 L</v>
      </c>
      <c r="D455">
        <v>16</v>
      </c>
      <c r="E455" t="str">
        <f>VLOOKUP(D455,'Cadatro Clientes'!A:O,2,2)</f>
        <v>Norte Suco</v>
      </c>
      <c r="F455" t="str">
        <f>VLOOKUP(D455,'Cadatro Clientes'!A:O,9,2)</f>
        <v>Nordeste</v>
      </c>
      <c r="G455" s="15">
        <v>41819</v>
      </c>
      <c r="H455">
        <f t="shared" si="36"/>
        <v>1</v>
      </c>
      <c r="I455">
        <f t="shared" si="37"/>
        <v>29</v>
      </c>
      <c r="J455">
        <f t="shared" si="38"/>
        <v>6</v>
      </c>
      <c r="K455">
        <f t="shared" si="39"/>
        <v>2014</v>
      </c>
      <c r="M455">
        <v>3</v>
      </c>
      <c r="N455" t="str">
        <f>VLOOKUP(M455,'Cadastro Vendedores'!A:H,2,2)</f>
        <v>Antônia</v>
      </c>
      <c r="O455" s="2"/>
      <c r="P455" s="16">
        <v>900</v>
      </c>
      <c r="Q455" s="2">
        <f>VLOOKUP(B455,'Cadastro Produtos'!A:F,5,2)</f>
        <v>15</v>
      </c>
      <c r="R455" s="14">
        <f t="shared" si="35"/>
        <v>13500</v>
      </c>
    </row>
    <row r="456" spans="1:18" x14ac:dyDescent="0.25">
      <c r="A456">
        <v>455</v>
      </c>
      <c r="B456">
        <v>3</v>
      </c>
      <c r="C456" t="str">
        <f>VLOOKUP(B456,'Cadastro Produtos'!A:E,2,2)</f>
        <v>Limonada Alfa Zero 500 ml</v>
      </c>
      <c r="D456">
        <v>5</v>
      </c>
      <c r="E456" t="str">
        <f>VLOOKUP(D456,'Cadatro Clientes'!A:O,2,2)</f>
        <v>Axé com Limão</v>
      </c>
      <c r="F456" t="str">
        <f>VLOOKUP(D456,'Cadatro Clientes'!A:O,9,2)</f>
        <v>Nordeste</v>
      </c>
      <c r="G456" s="15">
        <v>41819</v>
      </c>
      <c r="H456">
        <f t="shared" si="36"/>
        <v>1</v>
      </c>
      <c r="I456">
        <f t="shared" si="37"/>
        <v>29</v>
      </c>
      <c r="J456">
        <f t="shared" si="38"/>
        <v>6</v>
      </c>
      <c r="K456">
        <f t="shared" si="39"/>
        <v>2014</v>
      </c>
      <c r="M456">
        <v>3</v>
      </c>
      <c r="N456" t="str">
        <f>VLOOKUP(M456,'Cadastro Vendedores'!A:H,2,2)</f>
        <v>Antônia</v>
      </c>
      <c r="O456" s="2"/>
      <c r="P456" s="16">
        <v>4300</v>
      </c>
      <c r="Q456" s="2">
        <f>VLOOKUP(B456,'Cadastro Produtos'!A:F,5,2)</f>
        <v>9</v>
      </c>
      <c r="R456" s="14">
        <f t="shared" si="35"/>
        <v>38700</v>
      </c>
    </row>
    <row r="457" spans="1:18" x14ac:dyDescent="0.25">
      <c r="A457">
        <v>456</v>
      </c>
      <c r="B457">
        <v>9</v>
      </c>
      <c r="C457" t="str">
        <f>VLOOKUP(B457,'Cadastro Produtos'!A:E,2,2)</f>
        <v>Limonada Alfa com Hortelã e Açúcar 1 L</v>
      </c>
      <c r="D457">
        <v>11</v>
      </c>
      <c r="E457" t="str">
        <f>VLOOKUP(D457,'Cadatro Clientes'!A:O,2,2)</f>
        <v>Red Lemon</v>
      </c>
      <c r="F457" t="str">
        <f>VLOOKUP(D457,'Cadatro Clientes'!A:O,9,2)</f>
        <v>Sul</v>
      </c>
      <c r="G457" s="15">
        <v>41820</v>
      </c>
      <c r="H457">
        <f t="shared" si="36"/>
        <v>2</v>
      </c>
      <c r="I457">
        <f t="shared" si="37"/>
        <v>30</v>
      </c>
      <c r="J457">
        <f t="shared" si="38"/>
        <v>6</v>
      </c>
      <c r="K457">
        <f t="shared" si="39"/>
        <v>2014</v>
      </c>
      <c r="M457">
        <v>4</v>
      </c>
      <c r="N457" t="str">
        <f>VLOOKUP(M457,'Cadastro Vendedores'!A:H,2,2)</f>
        <v>José</v>
      </c>
      <c r="O457" s="2"/>
      <c r="P457" s="16">
        <v>2100</v>
      </c>
      <c r="Q457" s="2">
        <f>VLOOKUP(B457,'Cadastro Produtos'!A:F,5,2)</f>
        <v>17.5</v>
      </c>
      <c r="R457" s="14">
        <f t="shared" si="35"/>
        <v>36750</v>
      </c>
    </row>
    <row r="458" spans="1:18" x14ac:dyDescent="0.25">
      <c r="A458">
        <v>457</v>
      </c>
      <c r="B458">
        <v>7</v>
      </c>
      <c r="C458" t="str">
        <f>VLOOKUP(B458,'Cadastro Produtos'!A:E,2,2)</f>
        <v>Limonada Alfa Zero 1 L</v>
      </c>
      <c r="D458">
        <v>18</v>
      </c>
      <c r="E458" t="str">
        <f>VLOOKUP(D458,'Cadatro Clientes'!A:O,2,2)</f>
        <v>Rio Branco Limonada Ltda</v>
      </c>
      <c r="F458" t="str">
        <f>VLOOKUP(D458,'Cadatro Clientes'!A:O,9,2)</f>
        <v>Norte</v>
      </c>
      <c r="G458" s="15">
        <v>41820</v>
      </c>
      <c r="H458">
        <f t="shared" si="36"/>
        <v>2</v>
      </c>
      <c r="I458">
        <f t="shared" si="37"/>
        <v>30</v>
      </c>
      <c r="J458">
        <f t="shared" si="38"/>
        <v>6</v>
      </c>
      <c r="K458">
        <f t="shared" si="39"/>
        <v>2014</v>
      </c>
      <c r="M458">
        <v>9</v>
      </c>
      <c r="N458" t="str">
        <f>VLOOKUP(M458,'Cadastro Vendedores'!A:H,2,2)</f>
        <v>Adriana</v>
      </c>
      <c r="O458" s="2"/>
      <c r="P458" s="16">
        <v>1600</v>
      </c>
      <c r="Q458" s="2">
        <f>VLOOKUP(B458,'Cadastro Produtos'!A:F,5,2)</f>
        <v>15</v>
      </c>
      <c r="R458" s="14">
        <f t="shared" si="35"/>
        <v>24000</v>
      </c>
    </row>
    <row r="459" spans="1:18" x14ac:dyDescent="0.25">
      <c r="A459">
        <v>458</v>
      </c>
      <c r="B459">
        <v>6</v>
      </c>
      <c r="C459" t="str">
        <f>VLOOKUP(B459,'Cadastro Produtos'!A:E,2,2)</f>
        <v>Limonada Beta com Açúcar 1 L</v>
      </c>
      <c r="D459">
        <v>6</v>
      </c>
      <c r="E459" t="str">
        <f>VLOOKUP(D459,'Cadatro Clientes'!A:O,2,2)</f>
        <v>Lemonade</v>
      </c>
      <c r="F459" t="str">
        <f>VLOOKUP(D459,'Cadatro Clientes'!A:O,9,2)</f>
        <v>Norte</v>
      </c>
      <c r="G459" s="15">
        <v>41820</v>
      </c>
      <c r="H459">
        <f t="shared" si="36"/>
        <v>2</v>
      </c>
      <c r="I459">
        <f t="shared" si="37"/>
        <v>30</v>
      </c>
      <c r="J459">
        <f t="shared" si="38"/>
        <v>6</v>
      </c>
      <c r="K459">
        <f t="shared" si="39"/>
        <v>2014</v>
      </c>
      <c r="M459">
        <v>3</v>
      </c>
      <c r="N459" t="str">
        <f>VLOOKUP(M459,'Cadastro Vendedores'!A:H,2,2)</f>
        <v>Antônia</v>
      </c>
      <c r="O459" s="2"/>
      <c r="P459" s="16">
        <v>2100</v>
      </c>
      <c r="Q459" s="2">
        <f>VLOOKUP(B459,'Cadastro Produtos'!A:F,5,2)</f>
        <v>12</v>
      </c>
      <c r="R459" s="14">
        <f t="shared" si="35"/>
        <v>25200</v>
      </c>
    </row>
    <row r="460" spans="1:18" x14ac:dyDescent="0.25">
      <c r="A460">
        <v>459</v>
      </c>
      <c r="B460">
        <v>1</v>
      </c>
      <c r="C460" t="str">
        <f>VLOOKUP(B460,'Cadastro Produtos'!A:E,2,2)</f>
        <v>Limonada Alfa com Açúcar 500 ml</v>
      </c>
      <c r="D460">
        <v>13</v>
      </c>
      <c r="E460" t="str">
        <f>VLOOKUP(D460,'Cadatro Clientes'!A:O,2,2)</f>
        <v>Monster Lemon</v>
      </c>
      <c r="F460" t="str">
        <f>VLOOKUP(D460,'Cadatro Clientes'!A:O,9,2)</f>
        <v>Nordeste</v>
      </c>
      <c r="G460" s="15">
        <v>41821</v>
      </c>
      <c r="H460">
        <f t="shared" si="36"/>
        <v>3</v>
      </c>
      <c r="I460">
        <f t="shared" si="37"/>
        <v>1</v>
      </c>
      <c r="J460">
        <f t="shared" si="38"/>
        <v>7</v>
      </c>
      <c r="K460">
        <f t="shared" si="39"/>
        <v>2014</v>
      </c>
      <c r="M460">
        <v>2</v>
      </c>
      <c r="N460" t="str">
        <f>VLOOKUP(M460,'Cadastro Vendedores'!A:H,2,2)</f>
        <v>Luis</v>
      </c>
      <c r="O460" s="2"/>
      <c r="P460" s="16">
        <v>2100</v>
      </c>
      <c r="Q460" s="2">
        <f>VLOOKUP(B460,'Cadastro Produtos'!A:F,5,2)</f>
        <v>8.5</v>
      </c>
      <c r="R460" s="14">
        <f t="shared" si="35"/>
        <v>17850</v>
      </c>
    </row>
    <row r="461" spans="1:18" x14ac:dyDescent="0.25">
      <c r="A461">
        <v>460</v>
      </c>
      <c r="B461">
        <v>7</v>
      </c>
      <c r="C461" t="str">
        <f>VLOOKUP(B461,'Cadastro Produtos'!A:E,2,2)</f>
        <v>Limonada Alfa Zero 1 L</v>
      </c>
      <c r="D461">
        <v>2</v>
      </c>
      <c r="E461" t="str">
        <f>VLOOKUP(D461,'Cadatro Clientes'!A:O,2,2)</f>
        <v>Limão S/A</v>
      </c>
      <c r="F461" t="str">
        <f>VLOOKUP(D461,'Cadatro Clientes'!A:O,9,2)</f>
        <v>Centro-Oeste</v>
      </c>
      <c r="G461" s="15">
        <v>41821</v>
      </c>
      <c r="H461">
        <f t="shared" si="36"/>
        <v>3</v>
      </c>
      <c r="I461">
        <f t="shared" si="37"/>
        <v>1</v>
      </c>
      <c r="J461">
        <f t="shared" si="38"/>
        <v>7</v>
      </c>
      <c r="K461">
        <f t="shared" si="39"/>
        <v>2014</v>
      </c>
      <c r="M461">
        <v>7</v>
      </c>
      <c r="N461" t="str">
        <f>VLOOKUP(M461,'Cadastro Vendedores'!A:H,2,2)</f>
        <v>Benedito</v>
      </c>
      <c r="O461" s="2"/>
      <c r="P461" s="16">
        <v>1100</v>
      </c>
      <c r="Q461" s="2">
        <f>VLOOKUP(B461,'Cadastro Produtos'!A:F,5,2)</f>
        <v>15</v>
      </c>
      <c r="R461" s="14">
        <f t="shared" si="35"/>
        <v>16500</v>
      </c>
    </row>
    <row r="462" spans="1:18" x14ac:dyDescent="0.25">
      <c r="A462">
        <v>461</v>
      </c>
      <c r="B462">
        <v>7</v>
      </c>
      <c r="C462" t="str">
        <f>VLOOKUP(B462,'Cadastro Produtos'!A:E,2,2)</f>
        <v>Limonada Alfa Zero 1 L</v>
      </c>
      <c r="D462">
        <v>11</v>
      </c>
      <c r="E462" t="str">
        <f>VLOOKUP(D462,'Cadatro Clientes'!A:O,2,2)</f>
        <v>Red Lemon</v>
      </c>
      <c r="F462" t="str">
        <f>VLOOKUP(D462,'Cadatro Clientes'!A:O,9,2)</f>
        <v>Sul</v>
      </c>
      <c r="G462" s="15">
        <v>41822</v>
      </c>
      <c r="H462">
        <f t="shared" si="36"/>
        <v>4</v>
      </c>
      <c r="I462">
        <f t="shared" si="37"/>
        <v>2</v>
      </c>
      <c r="J462">
        <f t="shared" si="38"/>
        <v>7</v>
      </c>
      <c r="K462">
        <f t="shared" si="39"/>
        <v>2014</v>
      </c>
      <c r="M462">
        <v>2</v>
      </c>
      <c r="N462" t="str">
        <f>VLOOKUP(M462,'Cadastro Vendedores'!A:H,2,2)</f>
        <v>Luis</v>
      </c>
      <c r="O462" s="2"/>
      <c r="P462" s="16">
        <v>600</v>
      </c>
      <c r="Q462" s="2">
        <f>VLOOKUP(B462,'Cadastro Produtos'!A:F,5,2)</f>
        <v>15</v>
      </c>
      <c r="R462" s="14">
        <f t="shared" si="35"/>
        <v>9000</v>
      </c>
    </row>
    <row r="463" spans="1:18" x14ac:dyDescent="0.25">
      <c r="A463">
        <v>462</v>
      </c>
      <c r="B463">
        <v>1</v>
      </c>
      <c r="C463" t="str">
        <f>VLOOKUP(B463,'Cadastro Produtos'!A:E,2,2)</f>
        <v>Limonada Alfa com Açúcar 500 ml</v>
      </c>
      <c r="D463">
        <v>7</v>
      </c>
      <c r="E463" t="str">
        <f>VLOOKUP(D463,'Cadatro Clientes'!A:O,2,2)</f>
        <v>Limo</v>
      </c>
      <c r="F463" t="str">
        <f>VLOOKUP(D463,'Cadatro Clientes'!A:O,9,2)</f>
        <v>Centro-Oeste</v>
      </c>
      <c r="G463" s="15">
        <v>41822</v>
      </c>
      <c r="H463">
        <f t="shared" si="36"/>
        <v>4</v>
      </c>
      <c r="I463">
        <f t="shared" si="37"/>
        <v>2</v>
      </c>
      <c r="J463">
        <f t="shared" si="38"/>
        <v>7</v>
      </c>
      <c r="K463">
        <f t="shared" si="39"/>
        <v>2014</v>
      </c>
      <c r="M463">
        <v>3</v>
      </c>
      <c r="N463" t="str">
        <f>VLOOKUP(M463,'Cadastro Vendedores'!A:H,2,2)</f>
        <v>Antônia</v>
      </c>
      <c r="O463" s="2"/>
      <c r="P463" s="16">
        <v>4500</v>
      </c>
      <c r="Q463" s="2">
        <f>VLOOKUP(B463,'Cadastro Produtos'!A:F,5,2)</f>
        <v>8.5</v>
      </c>
      <c r="R463" s="14">
        <f t="shared" si="35"/>
        <v>38250</v>
      </c>
    </row>
    <row r="464" spans="1:18" x14ac:dyDescent="0.25">
      <c r="A464">
        <v>463</v>
      </c>
      <c r="B464">
        <v>8</v>
      </c>
      <c r="C464" t="str">
        <f>VLOOKUP(B464,'Cadastro Produtos'!A:E,2,2)</f>
        <v>Limonada Beta Zero 1 L</v>
      </c>
      <c r="D464">
        <v>19</v>
      </c>
      <c r="E464" t="str">
        <f>VLOOKUP(D464,'Cadatro Clientes'!A:O,2,2)</f>
        <v>Lima Limão</v>
      </c>
      <c r="F464" t="str">
        <f>VLOOKUP(D464,'Cadatro Clientes'!A:O,9,2)</f>
        <v>Sudeste</v>
      </c>
      <c r="G464" s="15">
        <v>41822</v>
      </c>
      <c r="H464">
        <f t="shared" si="36"/>
        <v>4</v>
      </c>
      <c r="I464">
        <f t="shared" si="37"/>
        <v>2</v>
      </c>
      <c r="J464">
        <f t="shared" si="38"/>
        <v>7</v>
      </c>
      <c r="K464">
        <f t="shared" si="39"/>
        <v>2014</v>
      </c>
      <c r="M464">
        <v>9</v>
      </c>
      <c r="N464" t="str">
        <f>VLOOKUP(M464,'Cadastro Vendedores'!A:H,2,2)</f>
        <v>Adriana</v>
      </c>
      <c r="O464" s="2"/>
      <c r="P464" s="16">
        <v>1400</v>
      </c>
      <c r="Q464" s="2">
        <f>VLOOKUP(B464,'Cadastro Produtos'!A:F,5,2)</f>
        <v>12</v>
      </c>
      <c r="R464" s="14">
        <f t="shared" si="35"/>
        <v>16800</v>
      </c>
    </row>
    <row r="465" spans="1:18" x14ac:dyDescent="0.25">
      <c r="A465">
        <v>464</v>
      </c>
      <c r="B465">
        <v>7</v>
      </c>
      <c r="C465" t="str">
        <f>VLOOKUP(B465,'Cadastro Produtos'!A:E,2,2)</f>
        <v>Limonada Alfa Zero 1 L</v>
      </c>
      <c r="D465">
        <v>11</v>
      </c>
      <c r="E465" t="str">
        <f>VLOOKUP(D465,'Cadatro Clientes'!A:O,2,2)</f>
        <v>Red Lemon</v>
      </c>
      <c r="F465" t="str">
        <f>VLOOKUP(D465,'Cadatro Clientes'!A:O,9,2)</f>
        <v>Sul</v>
      </c>
      <c r="G465" s="15">
        <v>41822</v>
      </c>
      <c r="H465">
        <f t="shared" si="36"/>
        <v>4</v>
      </c>
      <c r="I465">
        <f t="shared" si="37"/>
        <v>2</v>
      </c>
      <c r="J465">
        <f t="shared" si="38"/>
        <v>7</v>
      </c>
      <c r="K465">
        <f t="shared" si="39"/>
        <v>2014</v>
      </c>
      <c r="M465">
        <v>3</v>
      </c>
      <c r="N465" t="str">
        <f>VLOOKUP(M465,'Cadastro Vendedores'!A:H,2,2)</f>
        <v>Antônia</v>
      </c>
      <c r="O465" s="2"/>
      <c r="P465" s="16">
        <v>1800</v>
      </c>
      <c r="Q465" s="2">
        <f>VLOOKUP(B465,'Cadastro Produtos'!A:F,5,2)</f>
        <v>15</v>
      </c>
      <c r="R465" s="14">
        <f t="shared" si="35"/>
        <v>27000</v>
      </c>
    </row>
    <row r="466" spans="1:18" x14ac:dyDescent="0.25">
      <c r="A466">
        <v>465</v>
      </c>
      <c r="B466">
        <v>2</v>
      </c>
      <c r="C466" t="str">
        <f>VLOOKUP(B466,'Cadastro Produtos'!A:E,2,2)</f>
        <v>Limonada Beta com Açúcar 500 ml</v>
      </c>
      <c r="D466">
        <v>8</v>
      </c>
      <c r="E466" t="str">
        <f>VLOOKUP(D466,'Cadatro Clientes'!A:O,2,2)</f>
        <v>Refresko</v>
      </c>
      <c r="F466" t="str">
        <f>VLOOKUP(D466,'Cadatro Clientes'!A:O,9,2)</f>
        <v>Sul</v>
      </c>
      <c r="G466" s="15">
        <v>41822</v>
      </c>
      <c r="H466">
        <f t="shared" si="36"/>
        <v>4</v>
      </c>
      <c r="I466">
        <f t="shared" si="37"/>
        <v>2</v>
      </c>
      <c r="J466">
        <f t="shared" si="38"/>
        <v>7</v>
      </c>
      <c r="K466">
        <f t="shared" si="39"/>
        <v>2014</v>
      </c>
      <c r="M466">
        <v>7</v>
      </c>
      <c r="N466" t="str">
        <f>VLOOKUP(M466,'Cadastro Vendedores'!A:H,2,2)</f>
        <v>Benedito</v>
      </c>
      <c r="O466" s="2"/>
      <c r="P466" s="16">
        <v>6700</v>
      </c>
      <c r="Q466" s="2">
        <f>VLOOKUP(B466,'Cadastro Produtos'!A:F,5,2)</f>
        <v>6.5</v>
      </c>
      <c r="R466" s="14">
        <f t="shared" si="35"/>
        <v>43550</v>
      </c>
    </row>
    <row r="467" spans="1:18" x14ac:dyDescent="0.25">
      <c r="A467">
        <v>466</v>
      </c>
      <c r="B467">
        <v>8</v>
      </c>
      <c r="C467" t="str">
        <f>VLOOKUP(B467,'Cadastro Produtos'!A:E,2,2)</f>
        <v>Limonada Beta Zero 1 L</v>
      </c>
      <c r="D467">
        <v>2</v>
      </c>
      <c r="E467" t="str">
        <f>VLOOKUP(D467,'Cadatro Clientes'!A:O,2,2)</f>
        <v>Limão S/A</v>
      </c>
      <c r="F467" t="str">
        <f>VLOOKUP(D467,'Cadatro Clientes'!A:O,9,2)</f>
        <v>Centro-Oeste</v>
      </c>
      <c r="G467" s="15">
        <v>41823</v>
      </c>
      <c r="H467">
        <f t="shared" si="36"/>
        <v>5</v>
      </c>
      <c r="I467">
        <f t="shared" si="37"/>
        <v>3</v>
      </c>
      <c r="J467">
        <f t="shared" si="38"/>
        <v>7</v>
      </c>
      <c r="K467">
        <f t="shared" si="39"/>
        <v>2014</v>
      </c>
      <c r="M467">
        <v>3</v>
      </c>
      <c r="N467" t="str">
        <f>VLOOKUP(M467,'Cadastro Vendedores'!A:H,2,2)</f>
        <v>Antônia</v>
      </c>
      <c r="O467" s="2"/>
      <c r="P467" s="16">
        <v>1700</v>
      </c>
      <c r="Q467" s="2">
        <f>VLOOKUP(B467,'Cadastro Produtos'!A:F,5,2)</f>
        <v>12</v>
      </c>
      <c r="R467" s="14">
        <f t="shared" si="35"/>
        <v>20400</v>
      </c>
    </row>
    <row r="468" spans="1:18" x14ac:dyDescent="0.25">
      <c r="A468">
        <v>467</v>
      </c>
      <c r="B468">
        <v>7</v>
      </c>
      <c r="C468" t="str">
        <f>VLOOKUP(B468,'Cadastro Produtos'!A:E,2,2)</f>
        <v>Limonada Alfa Zero 1 L</v>
      </c>
      <c r="D468">
        <v>16</v>
      </c>
      <c r="E468" t="str">
        <f>VLOOKUP(D468,'Cadatro Clientes'!A:O,2,2)</f>
        <v>Norte Suco</v>
      </c>
      <c r="F468" t="str">
        <f>VLOOKUP(D468,'Cadatro Clientes'!A:O,9,2)</f>
        <v>Nordeste</v>
      </c>
      <c r="G468" s="15">
        <v>41823</v>
      </c>
      <c r="H468">
        <f t="shared" si="36"/>
        <v>5</v>
      </c>
      <c r="I468">
        <f t="shared" si="37"/>
        <v>3</v>
      </c>
      <c r="J468">
        <f t="shared" si="38"/>
        <v>7</v>
      </c>
      <c r="K468">
        <f t="shared" si="39"/>
        <v>2014</v>
      </c>
      <c r="M468">
        <v>7</v>
      </c>
      <c r="N468" t="str">
        <f>VLOOKUP(M468,'Cadastro Vendedores'!A:H,2,2)</f>
        <v>Benedito</v>
      </c>
      <c r="O468" s="2"/>
      <c r="P468" s="16">
        <v>700</v>
      </c>
      <c r="Q468" s="2">
        <f>VLOOKUP(B468,'Cadastro Produtos'!A:F,5,2)</f>
        <v>15</v>
      </c>
      <c r="R468" s="14">
        <f t="shared" si="35"/>
        <v>10500</v>
      </c>
    </row>
    <row r="469" spans="1:18" x14ac:dyDescent="0.25">
      <c r="A469">
        <v>468</v>
      </c>
      <c r="B469">
        <v>9</v>
      </c>
      <c r="C469" t="str">
        <f>VLOOKUP(B469,'Cadastro Produtos'!A:E,2,2)</f>
        <v>Limonada Alfa com Hortelã e Açúcar 1 L</v>
      </c>
      <c r="D469">
        <v>16</v>
      </c>
      <c r="E469" t="str">
        <f>VLOOKUP(D469,'Cadatro Clientes'!A:O,2,2)</f>
        <v>Norte Suco</v>
      </c>
      <c r="F469" t="str">
        <f>VLOOKUP(D469,'Cadatro Clientes'!A:O,9,2)</f>
        <v>Nordeste</v>
      </c>
      <c r="G469" s="15">
        <v>41823</v>
      </c>
      <c r="H469">
        <f t="shared" si="36"/>
        <v>5</v>
      </c>
      <c r="I469">
        <f t="shared" si="37"/>
        <v>3</v>
      </c>
      <c r="J469">
        <f t="shared" si="38"/>
        <v>7</v>
      </c>
      <c r="K469">
        <f t="shared" si="39"/>
        <v>2014</v>
      </c>
      <c r="M469">
        <v>2</v>
      </c>
      <c r="N469" t="str">
        <f>VLOOKUP(M469,'Cadastro Vendedores'!A:H,2,2)</f>
        <v>Luis</v>
      </c>
      <c r="O469" s="2"/>
      <c r="P469" s="16">
        <v>2100</v>
      </c>
      <c r="Q469" s="2">
        <f>VLOOKUP(B469,'Cadastro Produtos'!A:F,5,2)</f>
        <v>17.5</v>
      </c>
      <c r="R469" s="14">
        <f t="shared" si="35"/>
        <v>36750</v>
      </c>
    </row>
    <row r="470" spans="1:18" x14ac:dyDescent="0.25">
      <c r="A470">
        <v>469</v>
      </c>
      <c r="B470">
        <v>5</v>
      </c>
      <c r="C470" t="str">
        <f>VLOOKUP(B470,'Cadastro Produtos'!A:E,2,2)</f>
        <v>Limonada Alfa com Açúcar 1 L</v>
      </c>
      <c r="D470">
        <v>2</v>
      </c>
      <c r="E470" t="str">
        <f>VLOOKUP(D470,'Cadatro Clientes'!A:O,2,2)</f>
        <v>Limão S/A</v>
      </c>
      <c r="F470" t="str">
        <f>VLOOKUP(D470,'Cadatro Clientes'!A:O,9,2)</f>
        <v>Centro-Oeste</v>
      </c>
      <c r="G470" s="15">
        <v>41823</v>
      </c>
      <c r="H470">
        <f t="shared" si="36"/>
        <v>5</v>
      </c>
      <c r="I470">
        <f t="shared" si="37"/>
        <v>3</v>
      </c>
      <c r="J470">
        <f t="shared" si="38"/>
        <v>7</v>
      </c>
      <c r="K470">
        <f t="shared" si="39"/>
        <v>2014</v>
      </c>
      <c r="M470">
        <v>7</v>
      </c>
      <c r="N470" t="str">
        <f>VLOOKUP(M470,'Cadastro Vendedores'!A:H,2,2)</f>
        <v>Benedito</v>
      </c>
      <c r="O470" s="2"/>
      <c r="P470" s="16">
        <v>1900</v>
      </c>
      <c r="Q470" s="2">
        <f>VLOOKUP(B470,'Cadastro Produtos'!A:F,5,2)</f>
        <v>15</v>
      </c>
      <c r="R470" s="14">
        <f t="shared" si="35"/>
        <v>28500</v>
      </c>
    </row>
    <row r="471" spans="1:18" x14ac:dyDescent="0.25">
      <c r="A471">
        <v>470</v>
      </c>
      <c r="B471">
        <v>4</v>
      </c>
      <c r="C471" t="str">
        <f>VLOOKUP(B471,'Cadastro Produtos'!A:E,2,2)</f>
        <v>Limonada Beta Zero 500 ml</v>
      </c>
      <c r="D471">
        <v>16</v>
      </c>
      <c r="E471" t="str">
        <f>VLOOKUP(D471,'Cadatro Clientes'!A:O,2,2)</f>
        <v>Norte Suco</v>
      </c>
      <c r="F471" t="str">
        <f>VLOOKUP(D471,'Cadatro Clientes'!A:O,9,2)</f>
        <v>Nordeste</v>
      </c>
      <c r="G471" s="15">
        <v>41824</v>
      </c>
      <c r="H471">
        <f t="shared" si="36"/>
        <v>6</v>
      </c>
      <c r="I471">
        <f t="shared" si="37"/>
        <v>4</v>
      </c>
      <c r="J471">
        <f t="shared" si="38"/>
        <v>7</v>
      </c>
      <c r="K471">
        <f t="shared" si="39"/>
        <v>2014</v>
      </c>
      <c r="M471">
        <v>2</v>
      </c>
      <c r="N471" t="str">
        <f>VLOOKUP(M471,'Cadastro Vendedores'!A:H,2,2)</f>
        <v>Luis</v>
      </c>
      <c r="O471" s="2"/>
      <c r="P471" s="16">
        <v>5000</v>
      </c>
      <c r="Q471" s="2">
        <f>VLOOKUP(B471,'Cadastro Produtos'!A:F,5,2)</f>
        <v>7</v>
      </c>
      <c r="R471" s="14">
        <f t="shared" si="35"/>
        <v>35000</v>
      </c>
    </row>
    <row r="472" spans="1:18" x14ac:dyDescent="0.25">
      <c r="A472">
        <v>471</v>
      </c>
      <c r="B472">
        <v>3</v>
      </c>
      <c r="C472" t="str">
        <f>VLOOKUP(B472,'Cadastro Produtos'!A:E,2,2)</f>
        <v>Limonada Alfa Zero 500 ml</v>
      </c>
      <c r="D472">
        <v>8</v>
      </c>
      <c r="E472" t="str">
        <f>VLOOKUP(D472,'Cadatro Clientes'!A:O,2,2)</f>
        <v>Refresko</v>
      </c>
      <c r="F472" t="str">
        <f>VLOOKUP(D472,'Cadatro Clientes'!A:O,9,2)</f>
        <v>Sul</v>
      </c>
      <c r="G472" s="15">
        <v>41825</v>
      </c>
      <c r="H472">
        <f t="shared" si="36"/>
        <v>7</v>
      </c>
      <c r="I472">
        <f t="shared" si="37"/>
        <v>5</v>
      </c>
      <c r="J472">
        <f t="shared" si="38"/>
        <v>7</v>
      </c>
      <c r="K472">
        <f t="shared" si="39"/>
        <v>2014</v>
      </c>
      <c r="M472">
        <v>3</v>
      </c>
      <c r="N472" t="str">
        <f>VLOOKUP(M472,'Cadastro Vendedores'!A:H,2,2)</f>
        <v>Antônia</v>
      </c>
      <c r="O472" s="2"/>
      <c r="P472" s="16">
        <v>2600</v>
      </c>
      <c r="Q472" s="2">
        <f>VLOOKUP(B472,'Cadastro Produtos'!A:F,5,2)</f>
        <v>9</v>
      </c>
      <c r="R472" s="14">
        <f t="shared" si="35"/>
        <v>23400</v>
      </c>
    </row>
    <row r="473" spans="1:18" x14ac:dyDescent="0.25">
      <c r="A473">
        <v>472</v>
      </c>
      <c r="B473">
        <v>8</v>
      </c>
      <c r="C473" t="str">
        <f>VLOOKUP(B473,'Cadastro Produtos'!A:E,2,2)</f>
        <v>Limonada Beta Zero 1 L</v>
      </c>
      <c r="D473">
        <v>5</v>
      </c>
      <c r="E473" t="str">
        <f>VLOOKUP(D473,'Cadatro Clientes'!A:O,2,2)</f>
        <v>Axé com Limão</v>
      </c>
      <c r="F473" t="str">
        <f>VLOOKUP(D473,'Cadatro Clientes'!A:O,9,2)</f>
        <v>Nordeste</v>
      </c>
      <c r="G473" s="15">
        <v>41825</v>
      </c>
      <c r="H473">
        <f t="shared" si="36"/>
        <v>7</v>
      </c>
      <c r="I473">
        <f t="shared" si="37"/>
        <v>5</v>
      </c>
      <c r="J473">
        <f t="shared" si="38"/>
        <v>7</v>
      </c>
      <c r="K473">
        <f t="shared" si="39"/>
        <v>2014</v>
      </c>
      <c r="M473">
        <v>3</v>
      </c>
      <c r="N473" t="str">
        <f>VLOOKUP(M473,'Cadastro Vendedores'!A:H,2,2)</f>
        <v>Antônia</v>
      </c>
      <c r="O473" s="2"/>
      <c r="P473" s="16">
        <v>2800</v>
      </c>
      <c r="Q473" s="2">
        <f>VLOOKUP(B473,'Cadastro Produtos'!A:F,5,2)</f>
        <v>12</v>
      </c>
      <c r="R473" s="14">
        <f t="shared" si="35"/>
        <v>33600</v>
      </c>
    </row>
    <row r="474" spans="1:18" x14ac:dyDescent="0.25">
      <c r="A474">
        <v>473</v>
      </c>
      <c r="B474">
        <v>6</v>
      </c>
      <c r="C474" t="str">
        <f>VLOOKUP(B474,'Cadastro Produtos'!A:E,2,2)</f>
        <v>Limonada Beta com Açúcar 1 L</v>
      </c>
      <c r="D474">
        <v>6</v>
      </c>
      <c r="E474" t="str">
        <f>VLOOKUP(D474,'Cadatro Clientes'!A:O,2,2)</f>
        <v>Lemonade</v>
      </c>
      <c r="F474" t="str">
        <f>VLOOKUP(D474,'Cadatro Clientes'!A:O,9,2)</f>
        <v>Norte</v>
      </c>
      <c r="G474" s="15">
        <v>41825</v>
      </c>
      <c r="H474">
        <f t="shared" si="36"/>
        <v>7</v>
      </c>
      <c r="I474">
        <f t="shared" si="37"/>
        <v>5</v>
      </c>
      <c r="J474">
        <f t="shared" si="38"/>
        <v>7</v>
      </c>
      <c r="K474">
        <f t="shared" si="39"/>
        <v>2014</v>
      </c>
      <c r="M474">
        <v>8</v>
      </c>
      <c r="N474" t="str">
        <f>VLOOKUP(M474,'Cadastro Vendedores'!A:H,2,2)</f>
        <v>Sérgio</v>
      </c>
      <c r="O474" s="2"/>
      <c r="P474" s="16">
        <v>2900</v>
      </c>
      <c r="Q474" s="2">
        <f>VLOOKUP(B474,'Cadastro Produtos'!A:F,5,2)</f>
        <v>12</v>
      </c>
      <c r="R474" s="14">
        <f t="shared" si="35"/>
        <v>34800</v>
      </c>
    </row>
    <row r="475" spans="1:18" x14ac:dyDescent="0.25">
      <c r="A475">
        <v>474</v>
      </c>
      <c r="B475">
        <v>1</v>
      </c>
      <c r="C475" t="str">
        <f>VLOOKUP(B475,'Cadastro Produtos'!A:E,2,2)</f>
        <v>Limonada Alfa com Açúcar 500 ml</v>
      </c>
      <c r="D475">
        <v>11</v>
      </c>
      <c r="E475" t="str">
        <f>VLOOKUP(D475,'Cadatro Clientes'!A:O,2,2)</f>
        <v>Red Lemon</v>
      </c>
      <c r="F475" t="str">
        <f>VLOOKUP(D475,'Cadatro Clientes'!A:O,9,2)</f>
        <v>Sul</v>
      </c>
      <c r="G475" s="15">
        <v>41825</v>
      </c>
      <c r="H475">
        <f t="shared" si="36"/>
        <v>7</v>
      </c>
      <c r="I475">
        <f t="shared" si="37"/>
        <v>5</v>
      </c>
      <c r="J475">
        <f t="shared" si="38"/>
        <v>7</v>
      </c>
      <c r="K475">
        <f t="shared" si="39"/>
        <v>2014</v>
      </c>
      <c r="M475">
        <v>7</v>
      </c>
      <c r="N475" t="str">
        <f>VLOOKUP(M475,'Cadastro Vendedores'!A:H,2,2)</f>
        <v>Benedito</v>
      </c>
      <c r="O475" s="2"/>
      <c r="P475" s="16">
        <v>2600</v>
      </c>
      <c r="Q475" s="2">
        <f>VLOOKUP(B475,'Cadastro Produtos'!A:F,5,2)</f>
        <v>8.5</v>
      </c>
      <c r="R475" s="14">
        <f t="shared" si="35"/>
        <v>22100</v>
      </c>
    </row>
    <row r="476" spans="1:18" x14ac:dyDescent="0.25">
      <c r="A476">
        <v>475</v>
      </c>
      <c r="B476">
        <v>9</v>
      </c>
      <c r="C476" t="str">
        <f>VLOOKUP(B476,'Cadastro Produtos'!A:E,2,2)</f>
        <v>Limonada Alfa com Hortelã e Açúcar 1 L</v>
      </c>
      <c r="D476">
        <v>18</v>
      </c>
      <c r="E476" t="str">
        <f>VLOOKUP(D476,'Cadatro Clientes'!A:O,2,2)</f>
        <v>Rio Branco Limonada Ltda</v>
      </c>
      <c r="F476" t="str">
        <f>VLOOKUP(D476,'Cadatro Clientes'!A:O,9,2)</f>
        <v>Norte</v>
      </c>
      <c r="G476" s="15">
        <v>41826</v>
      </c>
      <c r="H476">
        <f t="shared" si="36"/>
        <v>1</v>
      </c>
      <c r="I476">
        <f t="shared" si="37"/>
        <v>6</v>
      </c>
      <c r="J476">
        <f t="shared" si="38"/>
        <v>7</v>
      </c>
      <c r="K476">
        <f t="shared" si="39"/>
        <v>2014</v>
      </c>
      <c r="M476">
        <v>3</v>
      </c>
      <c r="N476" t="str">
        <f>VLOOKUP(M476,'Cadastro Vendedores'!A:H,2,2)</f>
        <v>Antônia</v>
      </c>
      <c r="O476" s="2"/>
      <c r="P476" s="16">
        <v>1800</v>
      </c>
      <c r="Q476" s="2">
        <f>VLOOKUP(B476,'Cadastro Produtos'!A:F,5,2)</f>
        <v>17.5</v>
      </c>
      <c r="R476" s="14">
        <f t="shared" si="35"/>
        <v>31500</v>
      </c>
    </row>
    <row r="477" spans="1:18" x14ac:dyDescent="0.25">
      <c r="A477">
        <v>476</v>
      </c>
      <c r="B477">
        <v>8</v>
      </c>
      <c r="C477" t="str">
        <f>VLOOKUP(B477,'Cadastro Produtos'!A:E,2,2)</f>
        <v>Limonada Beta Zero 1 L</v>
      </c>
      <c r="D477">
        <v>6</v>
      </c>
      <c r="E477" t="str">
        <f>VLOOKUP(D477,'Cadatro Clientes'!A:O,2,2)</f>
        <v>Lemonade</v>
      </c>
      <c r="F477" t="str">
        <f>VLOOKUP(D477,'Cadatro Clientes'!A:O,9,2)</f>
        <v>Norte</v>
      </c>
      <c r="G477" s="15">
        <v>41826</v>
      </c>
      <c r="H477">
        <f t="shared" si="36"/>
        <v>1</v>
      </c>
      <c r="I477">
        <f t="shared" si="37"/>
        <v>6</v>
      </c>
      <c r="J477">
        <f t="shared" si="38"/>
        <v>7</v>
      </c>
      <c r="K477">
        <f t="shared" si="39"/>
        <v>2014</v>
      </c>
      <c r="M477">
        <v>6</v>
      </c>
      <c r="N477" t="str">
        <f>VLOOKUP(M477,'Cadastro Vendedores'!A:H,2,2)</f>
        <v>Antônia</v>
      </c>
      <c r="O477" s="2"/>
      <c r="P477" s="16">
        <v>2200</v>
      </c>
      <c r="Q477" s="2">
        <f>VLOOKUP(B477,'Cadastro Produtos'!A:F,5,2)</f>
        <v>12</v>
      </c>
      <c r="R477" s="14">
        <f t="shared" si="35"/>
        <v>26400</v>
      </c>
    </row>
    <row r="478" spans="1:18" x14ac:dyDescent="0.25">
      <c r="A478">
        <v>477</v>
      </c>
      <c r="B478">
        <v>6</v>
      </c>
      <c r="C478" t="str">
        <f>VLOOKUP(B478,'Cadastro Produtos'!A:E,2,2)</f>
        <v>Limonada Beta com Açúcar 1 L</v>
      </c>
      <c r="D478">
        <v>11</v>
      </c>
      <c r="E478" t="str">
        <f>VLOOKUP(D478,'Cadatro Clientes'!A:O,2,2)</f>
        <v>Red Lemon</v>
      </c>
      <c r="F478" t="str">
        <f>VLOOKUP(D478,'Cadatro Clientes'!A:O,9,2)</f>
        <v>Sul</v>
      </c>
      <c r="G478" s="15">
        <v>41827</v>
      </c>
      <c r="H478">
        <f t="shared" si="36"/>
        <v>2</v>
      </c>
      <c r="I478">
        <f t="shared" si="37"/>
        <v>7</v>
      </c>
      <c r="J478">
        <f t="shared" si="38"/>
        <v>7</v>
      </c>
      <c r="K478">
        <f t="shared" si="39"/>
        <v>2014</v>
      </c>
      <c r="M478">
        <v>8</v>
      </c>
      <c r="N478" t="str">
        <f>VLOOKUP(M478,'Cadastro Vendedores'!A:H,2,2)</f>
        <v>Sérgio</v>
      </c>
      <c r="O478" s="2"/>
      <c r="P478" s="16">
        <v>1400</v>
      </c>
      <c r="Q478" s="2">
        <f>VLOOKUP(B478,'Cadastro Produtos'!A:F,5,2)</f>
        <v>12</v>
      </c>
      <c r="R478" s="14">
        <f t="shared" si="35"/>
        <v>16800</v>
      </c>
    </row>
    <row r="479" spans="1:18" x14ac:dyDescent="0.25">
      <c r="A479">
        <v>478</v>
      </c>
      <c r="B479">
        <v>4</v>
      </c>
      <c r="C479" t="str">
        <f>VLOOKUP(B479,'Cadastro Produtos'!A:E,2,2)</f>
        <v>Limonada Beta Zero 500 ml</v>
      </c>
      <c r="D479">
        <v>14</v>
      </c>
      <c r="E479" t="str">
        <f>VLOOKUP(D479,'Cadatro Clientes'!A:O,2,2)</f>
        <v>Sprite</v>
      </c>
      <c r="F479" t="str">
        <f>VLOOKUP(D479,'Cadatro Clientes'!A:O,9,2)</f>
        <v>Norte</v>
      </c>
      <c r="G479" s="15">
        <v>41827</v>
      </c>
      <c r="H479">
        <f t="shared" si="36"/>
        <v>2</v>
      </c>
      <c r="I479">
        <f t="shared" si="37"/>
        <v>7</v>
      </c>
      <c r="J479">
        <f t="shared" si="38"/>
        <v>7</v>
      </c>
      <c r="K479">
        <f t="shared" si="39"/>
        <v>2014</v>
      </c>
      <c r="M479">
        <v>3</v>
      </c>
      <c r="N479" t="str">
        <f>VLOOKUP(M479,'Cadastro Vendedores'!A:H,2,2)</f>
        <v>Antônia</v>
      </c>
      <c r="O479" s="2"/>
      <c r="P479" s="16">
        <v>2000</v>
      </c>
      <c r="Q479" s="2">
        <f>VLOOKUP(B479,'Cadastro Produtos'!A:F,5,2)</f>
        <v>7</v>
      </c>
      <c r="R479" s="14">
        <f t="shared" si="35"/>
        <v>14000</v>
      </c>
    </row>
    <row r="480" spans="1:18" x14ac:dyDescent="0.25">
      <c r="A480">
        <v>479</v>
      </c>
      <c r="B480">
        <v>9</v>
      </c>
      <c r="C480" t="str">
        <f>VLOOKUP(B480,'Cadastro Produtos'!A:E,2,2)</f>
        <v>Limonada Alfa com Hortelã e Açúcar 1 L</v>
      </c>
      <c r="D480">
        <v>19</v>
      </c>
      <c r="E480" t="str">
        <f>VLOOKUP(D480,'Cadatro Clientes'!A:O,2,2)</f>
        <v>Lima Limão</v>
      </c>
      <c r="F480" t="str">
        <f>VLOOKUP(D480,'Cadatro Clientes'!A:O,9,2)</f>
        <v>Sudeste</v>
      </c>
      <c r="G480" s="15">
        <v>41828</v>
      </c>
      <c r="H480">
        <f t="shared" si="36"/>
        <v>3</v>
      </c>
      <c r="I480">
        <f t="shared" si="37"/>
        <v>8</v>
      </c>
      <c r="J480">
        <f t="shared" si="38"/>
        <v>7</v>
      </c>
      <c r="K480">
        <f t="shared" si="39"/>
        <v>2014</v>
      </c>
      <c r="M480">
        <v>9</v>
      </c>
      <c r="N480" t="str">
        <f>VLOOKUP(M480,'Cadastro Vendedores'!A:H,2,2)</f>
        <v>Adriana</v>
      </c>
      <c r="O480" s="2"/>
      <c r="P480" s="16">
        <v>2200</v>
      </c>
      <c r="Q480" s="2">
        <f>VLOOKUP(B480,'Cadastro Produtos'!A:F,5,2)</f>
        <v>17.5</v>
      </c>
      <c r="R480" s="14">
        <f t="shared" si="35"/>
        <v>38500</v>
      </c>
    </row>
    <row r="481" spans="1:18" x14ac:dyDescent="0.25">
      <c r="A481">
        <v>480</v>
      </c>
      <c r="B481">
        <v>3</v>
      </c>
      <c r="C481" t="str">
        <f>VLOOKUP(B481,'Cadastro Produtos'!A:E,2,2)</f>
        <v>Limonada Alfa Zero 500 ml</v>
      </c>
      <c r="D481">
        <v>8</v>
      </c>
      <c r="E481" t="str">
        <f>VLOOKUP(D481,'Cadatro Clientes'!A:O,2,2)</f>
        <v>Refresko</v>
      </c>
      <c r="F481" t="str">
        <f>VLOOKUP(D481,'Cadatro Clientes'!A:O,9,2)</f>
        <v>Sul</v>
      </c>
      <c r="G481" s="15">
        <v>41830</v>
      </c>
      <c r="H481">
        <f t="shared" si="36"/>
        <v>5</v>
      </c>
      <c r="I481">
        <f t="shared" si="37"/>
        <v>10</v>
      </c>
      <c r="J481">
        <f t="shared" si="38"/>
        <v>7</v>
      </c>
      <c r="K481">
        <f t="shared" si="39"/>
        <v>2014</v>
      </c>
      <c r="M481">
        <v>2</v>
      </c>
      <c r="N481" t="str">
        <f>VLOOKUP(M481,'Cadastro Vendedores'!A:H,2,2)</f>
        <v>Luis</v>
      </c>
      <c r="O481" s="2"/>
      <c r="P481" s="16">
        <v>2200</v>
      </c>
      <c r="Q481" s="2">
        <f>VLOOKUP(B481,'Cadastro Produtos'!A:F,5,2)</f>
        <v>9</v>
      </c>
      <c r="R481" s="14">
        <f t="shared" si="35"/>
        <v>19800</v>
      </c>
    </row>
    <row r="482" spans="1:18" x14ac:dyDescent="0.25">
      <c r="A482">
        <v>481</v>
      </c>
      <c r="B482">
        <v>4</v>
      </c>
      <c r="C482" t="str">
        <f>VLOOKUP(B482,'Cadastro Produtos'!A:E,2,2)</f>
        <v>Limonada Beta Zero 500 ml</v>
      </c>
      <c r="D482">
        <v>1</v>
      </c>
      <c r="E482" t="str">
        <f>VLOOKUP(D482,'Cadatro Clientes'!A:O,2,2)</f>
        <v>Meu Suco de Limão</v>
      </c>
      <c r="F482" t="str">
        <f>VLOOKUP(D482,'Cadatro Clientes'!A:O,9,2)</f>
        <v>Norte</v>
      </c>
      <c r="G482" s="15">
        <v>41831</v>
      </c>
      <c r="H482">
        <f t="shared" si="36"/>
        <v>6</v>
      </c>
      <c r="I482">
        <f t="shared" si="37"/>
        <v>11</v>
      </c>
      <c r="J482">
        <f t="shared" si="38"/>
        <v>7</v>
      </c>
      <c r="K482">
        <f t="shared" si="39"/>
        <v>2014</v>
      </c>
      <c r="M482">
        <v>3</v>
      </c>
      <c r="N482" t="str">
        <f>VLOOKUP(M482,'Cadastro Vendedores'!A:H,2,2)</f>
        <v>Antônia</v>
      </c>
      <c r="O482" s="2"/>
      <c r="P482" s="16">
        <v>4300</v>
      </c>
      <c r="Q482" s="2">
        <f>VLOOKUP(B482,'Cadastro Produtos'!A:F,5,2)</f>
        <v>7</v>
      </c>
      <c r="R482" s="14">
        <f t="shared" si="35"/>
        <v>30100</v>
      </c>
    </row>
    <row r="483" spans="1:18" x14ac:dyDescent="0.25">
      <c r="A483">
        <v>482</v>
      </c>
      <c r="B483">
        <v>2</v>
      </c>
      <c r="C483" t="str">
        <f>VLOOKUP(B483,'Cadastro Produtos'!A:E,2,2)</f>
        <v>Limonada Beta com Açúcar 500 ml</v>
      </c>
      <c r="D483">
        <v>14</v>
      </c>
      <c r="E483" t="str">
        <f>VLOOKUP(D483,'Cadatro Clientes'!A:O,2,2)</f>
        <v>Sprite</v>
      </c>
      <c r="F483" t="str">
        <f>VLOOKUP(D483,'Cadatro Clientes'!A:O,9,2)</f>
        <v>Norte</v>
      </c>
      <c r="G483" s="15">
        <v>41831</v>
      </c>
      <c r="H483">
        <f t="shared" si="36"/>
        <v>6</v>
      </c>
      <c r="I483">
        <f t="shared" si="37"/>
        <v>11</v>
      </c>
      <c r="J483">
        <f t="shared" si="38"/>
        <v>7</v>
      </c>
      <c r="K483">
        <f t="shared" si="39"/>
        <v>2014</v>
      </c>
      <c r="M483">
        <v>2</v>
      </c>
      <c r="N483" t="str">
        <f>VLOOKUP(M483,'Cadastro Vendedores'!A:H,2,2)</f>
        <v>Luis</v>
      </c>
      <c r="O483" s="2"/>
      <c r="P483" s="16">
        <v>5500</v>
      </c>
      <c r="Q483" s="2">
        <f>VLOOKUP(B483,'Cadastro Produtos'!A:F,5,2)</f>
        <v>6.5</v>
      </c>
      <c r="R483" s="14">
        <f t="shared" si="35"/>
        <v>35750</v>
      </c>
    </row>
    <row r="484" spans="1:18" x14ac:dyDescent="0.25">
      <c r="A484">
        <v>483</v>
      </c>
      <c r="B484">
        <v>1</v>
      </c>
      <c r="C484" t="str">
        <f>VLOOKUP(B484,'Cadastro Produtos'!A:E,2,2)</f>
        <v>Limonada Alfa com Açúcar 500 ml</v>
      </c>
      <c r="D484">
        <v>8</v>
      </c>
      <c r="E484" t="str">
        <f>VLOOKUP(D484,'Cadatro Clientes'!A:O,2,2)</f>
        <v>Refresko</v>
      </c>
      <c r="F484" t="str">
        <f>VLOOKUP(D484,'Cadatro Clientes'!A:O,9,2)</f>
        <v>Sul</v>
      </c>
      <c r="G484" s="15">
        <v>41832</v>
      </c>
      <c r="H484">
        <f t="shared" si="36"/>
        <v>7</v>
      </c>
      <c r="I484">
        <f t="shared" si="37"/>
        <v>12</v>
      </c>
      <c r="J484">
        <f t="shared" si="38"/>
        <v>7</v>
      </c>
      <c r="K484">
        <f t="shared" si="39"/>
        <v>2014</v>
      </c>
      <c r="M484">
        <v>2</v>
      </c>
      <c r="N484" t="str">
        <f>VLOOKUP(M484,'Cadastro Vendedores'!A:H,2,2)</f>
        <v>Luis</v>
      </c>
      <c r="O484" s="2"/>
      <c r="P484" s="16">
        <v>2900</v>
      </c>
      <c r="Q484" s="2">
        <f>VLOOKUP(B484,'Cadastro Produtos'!A:F,5,2)</f>
        <v>8.5</v>
      </c>
      <c r="R484" s="14">
        <f t="shared" si="35"/>
        <v>24650</v>
      </c>
    </row>
    <row r="485" spans="1:18" x14ac:dyDescent="0.25">
      <c r="A485">
        <v>484</v>
      </c>
      <c r="B485">
        <v>5</v>
      </c>
      <c r="C485" t="str">
        <f>VLOOKUP(B485,'Cadastro Produtos'!A:E,2,2)</f>
        <v>Limonada Alfa com Açúcar 1 L</v>
      </c>
      <c r="D485">
        <v>4</v>
      </c>
      <c r="E485" t="str">
        <f>VLOOKUP(D485,'Cadatro Clientes'!A:O,2,2)</f>
        <v>Limão Carioca e Cia</v>
      </c>
      <c r="F485" t="str">
        <f>VLOOKUP(D485,'Cadatro Clientes'!A:O,9,2)</f>
        <v>Sudeste</v>
      </c>
      <c r="G485" s="15">
        <v>41832</v>
      </c>
      <c r="H485">
        <f t="shared" si="36"/>
        <v>7</v>
      </c>
      <c r="I485">
        <f t="shared" si="37"/>
        <v>12</v>
      </c>
      <c r="J485">
        <f t="shared" si="38"/>
        <v>7</v>
      </c>
      <c r="K485">
        <f t="shared" si="39"/>
        <v>2014</v>
      </c>
      <c r="M485">
        <v>8</v>
      </c>
      <c r="N485" t="str">
        <f>VLOOKUP(M485,'Cadastro Vendedores'!A:H,2,2)</f>
        <v>Sérgio</v>
      </c>
      <c r="O485" s="2"/>
      <c r="P485" s="16">
        <v>1600</v>
      </c>
      <c r="Q485" s="2">
        <f>VLOOKUP(B485,'Cadastro Produtos'!A:F,5,2)</f>
        <v>15</v>
      </c>
      <c r="R485" s="14">
        <f t="shared" si="35"/>
        <v>24000</v>
      </c>
    </row>
    <row r="486" spans="1:18" x14ac:dyDescent="0.25">
      <c r="A486">
        <v>485</v>
      </c>
      <c r="B486">
        <v>7</v>
      </c>
      <c r="C486" t="str">
        <f>VLOOKUP(B486,'Cadastro Produtos'!A:E,2,2)</f>
        <v>Limonada Alfa Zero 1 L</v>
      </c>
      <c r="D486">
        <v>13</v>
      </c>
      <c r="E486" t="str">
        <f>VLOOKUP(D486,'Cadatro Clientes'!A:O,2,2)</f>
        <v>Monster Lemon</v>
      </c>
      <c r="F486" t="str">
        <f>VLOOKUP(D486,'Cadatro Clientes'!A:O,9,2)</f>
        <v>Nordeste</v>
      </c>
      <c r="G486" s="15">
        <v>41832</v>
      </c>
      <c r="H486">
        <f t="shared" si="36"/>
        <v>7</v>
      </c>
      <c r="I486">
        <f t="shared" si="37"/>
        <v>12</v>
      </c>
      <c r="J486">
        <f t="shared" si="38"/>
        <v>7</v>
      </c>
      <c r="K486">
        <f t="shared" si="39"/>
        <v>2014</v>
      </c>
      <c r="M486">
        <v>8</v>
      </c>
      <c r="N486" t="str">
        <f>VLOOKUP(M486,'Cadastro Vendedores'!A:H,2,2)</f>
        <v>Sérgio</v>
      </c>
      <c r="O486" s="2"/>
      <c r="P486" s="16">
        <v>800</v>
      </c>
      <c r="Q486" s="2">
        <f>VLOOKUP(B486,'Cadastro Produtos'!A:F,5,2)</f>
        <v>15</v>
      </c>
      <c r="R486" s="14">
        <f t="shared" si="35"/>
        <v>12000</v>
      </c>
    </row>
    <row r="487" spans="1:18" x14ac:dyDescent="0.25">
      <c r="A487">
        <v>486</v>
      </c>
      <c r="B487">
        <v>6</v>
      </c>
      <c r="C487" t="str">
        <f>VLOOKUP(B487,'Cadastro Produtos'!A:E,2,2)</f>
        <v>Limonada Beta com Açúcar 1 L</v>
      </c>
      <c r="D487">
        <v>1</v>
      </c>
      <c r="E487" t="str">
        <f>VLOOKUP(D487,'Cadatro Clientes'!A:O,2,2)</f>
        <v>Meu Suco de Limão</v>
      </c>
      <c r="F487" t="str">
        <f>VLOOKUP(D487,'Cadatro Clientes'!A:O,9,2)</f>
        <v>Norte</v>
      </c>
      <c r="G487" s="15">
        <v>41832</v>
      </c>
      <c r="H487">
        <f t="shared" si="36"/>
        <v>7</v>
      </c>
      <c r="I487">
        <f t="shared" si="37"/>
        <v>12</v>
      </c>
      <c r="J487">
        <f t="shared" si="38"/>
        <v>7</v>
      </c>
      <c r="K487">
        <f t="shared" si="39"/>
        <v>2014</v>
      </c>
      <c r="M487">
        <v>4</v>
      </c>
      <c r="N487" t="str">
        <f>VLOOKUP(M487,'Cadastro Vendedores'!A:H,2,2)</f>
        <v>José</v>
      </c>
      <c r="O487" s="2"/>
      <c r="P487" s="16">
        <v>1100</v>
      </c>
      <c r="Q487" s="2">
        <f>VLOOKUP(B487,'Cadastro Produtos'!A:F,5,2)</f>
        <v>12</v>
      </c>
      <c r="R487" s="14">
        <f t="shared" si="35"/>
        <v>13200</v>
      </c>
    </row>
    <row r="488" spans="1:18" x14ac:dyDescent="0.25">
      <c r="A488">
        <v>487</v>
      </c>
      <c r="B488">
        <v>8</v>
      </c>
      <c r="C488" t="str">
        <f>VLOOKUP(B488,'Cadastro Produtos'!A:E,2,2)</f>
        <v>Limonada Beta Zero 1 L</v>
      </c>
      <c r="D488">
        <v>1</v>
      </c>
      <c r="E488" t="str">
        <f>VLOOKUP(D488,'Cadatro Clientes'!A:O,2,2)</f>
        <v>Meu Suco de Limão</v>
      </c>
      <c r="F488" t="str">
        <f>VLOOKUP(D488,'Cadatro Clientes'!A:O,9,2)</f>
        <v>Norte</v>
      </c>
      <c r="G488" s="15">
        <v>41833</v>
      </c>
      <c r="H488">
        <f t="shared" si="36"/>
        <v>1</v>
      </c>
      <c r="I488">
        <f t="shared" si="37"/>
        <v>13</v>
      </c>
      <c r="J488">
        <f t="shared" si="38"/>
        <v>7</v>
      </c>
      <c r="K488">
        <f t="shared" si="39"/>
        <v>2014</v>
      </c>
      <c r="M488">
        <v>2</v>
      </c>
      <c r="N488" t="str">
        <f>VLOOKUP(M488,'Cadastro Vendedores'!A:H,2,2)</f>
        <v>Luis</v>
      </c>
      <c r="O488" s="2"/>
      <c r="P488" s="16">
        <v>2700</v>
      </c>
      <c r="Q488" s="2">
        <f>VLOOKUP(B488,'Cadastro Produtos'!A:F,5,2)</f>
        <v>12</v>
      </c>
      <c r="R488" s="14">
        <f t="shared" si="35"/>
        <v>32400</v>
      </c>
    </row>
    <row r="489" spans="1:18" x14ac:dyDescent="0.25">
      <c r="A489">
        <v>488</v>
      </c>
      <c r="B489">
        <v>6</v>
      </c>
      <c r="C489" t="str">
        <f>VLOOKUP(B489,'Cadastro Produtos'!A:E,2,2)</f>
        <v>Limonada Beta com Açúcar 1 L</v>
      </c>
      <c r="D489">
        <v>6</v>
      </c>
      <c r="E489" t="str">
        <f>VLOOKUP(D489,'Cadatro Clientes'!A:O,2,2)</f>
        <v>Lemonade</v>
      </c>
      <c r="F489" t="str">
        <f>VLOOKUP(D489,'Cadatro Clientes'!A:O,9,2)</f>
        <v>Norte</v>
      </c>
      <c r="G489" s="15">
        <v>41833</v>
      </c>
      <c r="H489">
        <f t="shared" si="36"/>
        <v>1</v>
      </c>
      <c r="I489">
        <f t="shared" si="37"/>
        <v>13</v>
      </c>
      <c r="J489">
        <f t="shared" si="38"/>
        <v>7</v>
      </c>
      <c r="K489">
        <f t="shared" si="39"/>
        <v>2014</v>
      </c>
      <c r="M489">
        <v>7</v>
      </c>
      <c r="N489" t="str">
        <f>VLOOKUP(M489,'Cadastro Vendedores'!A:H,2,2)</f>
        <v>Benedito</v>
      </c>
      <c r="O489" s="2"/>
      <c r="P489" s="16">
        <v>1100</v>
      </c>
      <c r="Q489" s="2">
        <f>VLOOKUP(B489,'Cadastro Produtos'!A:F,5,2)</f>
        <v>12</v>
      </c>
      <c r="R489" s="14">
        <f t="shared" si="35"/>
        <v>13200</v>
      </c>
    </row>
    <row r="490" spans="1:18" x14ac:dyDescent="0.25">
      <c r="A490">
        <v>489</v>
      </c>
      <c r="B490">
        <v>7</v>
      </c>
      <c r="C490" t="str">
        <f>VLOOKUP(B490,'Cadastro Produtos'!A:E,2,2)</f>
        <v>Limonada Alfa Zero 1 L</v>
      </c>
      <c r="D490">
        <v>5</v>
      </c>
      <c r="E490" t="str">
        <f>VLOOKUP(D490,'Cadatro Clientes'!A:O,2,2)</f>
        <v>Axé com Limão</v>
      </c>
      <c r="F490" t="str">
        <f>VLOOKUP(D490,'Cadatro Clientes'!A:O,9,2)</f>
        <v>Nordeste</v>
      </c>
      <c r="G490" s="15">
        <v>41833</v>
      </c>
      <c r="H490">
        <f t="shared" si="36"/>
        <v>1</v>
      </c>
      <c r="I490">
        <f t="shared" si="37"/>
        <v>13</v>
      </c>
      <c r="J490">
        <f t="shared" si="38"/>
        <v>7</v>
      </c>
      <c r="K490">
        <f t="shared" si="39"/>
        <v>2014</v>
      </c>
      <c r="M490">
        <v>4</v>
      </c>
      <c r="N490" t="str">
        <f>VLOOKUP(M490,'Cadastro Vendedores'!A:H,2,2)</f>
        <v>José</v>
      </c>
      <c r="O490" s="2"/>
      <c r="P490" s="16">
        <v>1800</v>
      </c>
      <c r="Q490" s="2">
        <f>VLOOKUP(B490,'Cadastro Produtos'!A:F,5,2)</f>
        <v>15</v>
      </c>
      <c r="R490" s="14">
        <f t="shared" si="35"/>
        <v>27000</v>
      </c>
    </row>
    <row r="491" spans="1:18" x14ac:dyDescent="0.25">
      <c r="A491">
        <v>490</v>
      </c>
      <c r="B491">
        <v>4</v>
      </c>
      <c r="C491" t="str">
        <f>VLOOKUP(B491,'Cadastro Produtos'!A:E,2,2)</f>
        <v>Limonada Beta Zero 500 ml</v>
      </c>
      <c r="D491">
        <v>1</v>
      </c>
      <c r="E491" t="str">
        <f>VLOOKUP(D491,'Cadatro Clientes'!A:O,2,2)</f>
        <v>Meu Suco de Limão</v>
      </c>
      <c r="F491" t="str">
        <f>VLOOKUP(D491,'Cadatro Clientes'!A:O,9,2)</f>
        <v>Norte</v>
      </c>
      <c r="G491" s="15">
        <v>41833</v>
      </c>
      <c r="H491">
        <f t="shared" si="36"/>
        <v>1</v>
      </c>
      <c r="I491">
        <f t="shared" si="37"/>
        <v>13</v>
      </c>
      <c r="J491">
        <f t="shared" si="38"/>
        <v>7</v>
      </c>
      <c r="K491">
        <f t="shared" si="39"/>
        <v>2014</v>
      </c>
      <c r="M491">
        <v>8</v>
      </c>
      <c r="N491" t="str">
        <f>VLOOKUP(M491,'Cadastro Vendedores'!A:H,2,2)</f>
        <v>Sérgio</v>
      </c>
      <c r="O491" s="2"/>
      <c r="P491" s="16">
        <v>4800</v>
      </c>
      <c r="Q491" s="2">
        <f>VLOOKUP(B491,'Cadastro Produtos'!A:F,5,2)</f>
        <v>7</v>
      </c>
      <c r="R491" s="14">
        <f t="shared" si="35"/>
        <v>33600</v>
      </c>
    </row>
    <row r="492" spans="1:18" x14ac:dyDescent="0.25">
      <c r="A492">
        <v>491</v>
      </c>
      <c r="B492">
        <v>9</v>
      </c>
      <c r="C492" t="str">
        <f>VLOOKUP(B492,'Cadastro Produtos'!A:E,2,2)</f>
        <v>Limonada Alfa com Hortelã e Açúcar 1 L</v>
      </c>
      <c r="D492">
        <v>1</v>
      </c>
      <c r="E492" t="str">
        <f>VLOOKUP(D492,'Cadatro Clientes'!A:O,2,2)</f>
        <v>Meu Suco de Limão</v>
      </c>
      <c r="F492" t="str">
        <f>VLOOKUP(D492,'Cadatro Clientes'!A:O,9,2)</f>
        <v>Norte</v>
      </c>
      <c r="G492" s="15">
        <v>41834</v>
      </c>
      <c r="H492">
        <f t="shared" si="36"/>
        <v>2</v>
      </c>
      <c r="I492">
        <f t="shared" si="37"/>
        <v>14</v>
      </c>
      <c r="J492">
        <f t="shared" si="38"/>
        <v>7</v>
      </c>
      <c r="K492">
        <f t="shared" si="39"/>
        <v>2014</v>
      </c>
      <c r="M492">
        <v>4</v>
      </c>
      <c r="N492" t="str">
        <f>VLOOKUP(M492,'Cadastro Vendedores'!A:H,2,2)</f>
        <v>José</v>
      </c>
      <c r="O492" s="2"/>
      <c r="P492" s="16">
        <v>2600</v>
      </c>
      <c r="Q492" s="2">
        <f>VLOOKUP(B492,'Cadastro Produtos'!A:F,5,2)</f>
        <v>17.5</v>
      </c>
      <c r="R492" s="14">
        <f t="shared" si="35"/>
        <v>45500</v>
      </c>
    </row>
    <row r="493" spans="1:18" x14ac:dyDescent="0.25">
      <c r="A493">
        <v>492</v>
      </c>
      <c r="B493">
        <v>1</v>
      </c>
      <c r="C493" t="str">
        <f>VLOOKUP(B493,'Cadastro Produtos'!A:E,2,2)</f>
        <v>Limonada Alfa com Açúcar 500 ml</v>
      </c>
      <c r="D493">
        <v>6</v>
      </c>
      <c r="E493" t="str">
        <f>VLOOKUP(D493,'Cadatro Clientes'!A:O,2,2)</f>
        <v>Lemonade</v>
      </c>
      <c r="F493" t="str">
        <f>VLOOKUP(D493,'Cadatro Clientes'!A:O,9,2)</f>
        <v>Norte</v>
      </c>
      <c r="G493" s="15">
        <v>41834</v>
      </c>
      <c r="H493">
        <f t="shared" si="36"/>
        <v>2</v>
      </c>
      <c r="I493">
        <f t="shared" si="37"/>
        <v>14</v>
      </c>
      <c r="J493">
        <f t="shared" si="38"/>
        <v>7</v>
      </c>
      <c r="K493">
        <f t="shared" si="39"/>
        <v>2014</v>
      </c>
      <c r="M493">
        <v>9</v>
      </c>
      <c r="N493" t="str">
        <f>VLOOKUP(M493,'Cadastro Vendedores'!A:H,2,2)</f>
        <v>Adriana</v>
      </c>
      <c r="O493" s="2"/>
      <c r="P493" s="16">
        <v>4300</v>
      </c>
      <c r="Q493" s="2">
        <f>VLOOKUP(B493,'Cadastro Produtos'!A:F,5,2)</f>
        <v>8.5</v>
      </c>
      <c r="R493" s="14">
        <f t="shared" si="35"/>
        <v>36550</v>
      </c>
    </row>
    <row r="494" spans="1:18" x14ac:dyDescent="0.25">
      <c r="A494">
        <v>493</v>
      </c>
      <c r="B494">
        <v>10</v>
      </c>
      <c r="C494" t="str">
        <f>VLOOKUP(B494,'Cadastro Produtos'!A:E,2,2)</f>
        <v>Limonada Alfa com Hortelã Zero 1 L</v>
      </c>
      <c r="D494">
        <v>11</v>
      </c>
      <c r="E494" t="str">
        <f>VLOOKUP(D494,'Cadatro Clientes'!A:O,2,2)</f>
        <v>Red Lemon</v>
      </c>
      <c r="F494" t="str">
        <f>VLOOKUP(D494,'Cadatro Clientes'!A:O,9,2)</f>
        <v>Sul</v>
      </c>
      <c r="G494" s="15">
        <v>41834</v>
      </c>
      <c r="H494">
        <f t="shared" si="36"/>
        <v>2</v>
      </c>
      <c r="I494">
        <f t="shared" si="37"/>
        <v>14</v>
      </c>
      <c r="J494">
        <f t="shared" si="38"/>
        <v>7</v>
      </c>
      <c r="K494">
        <f t="shared" si="39"/>
        <v>2014</v>
      </c>
      <c r="M494">
        <v>9</v>
      </c>
      <c r="N494" t="str">
        <f>VLOOKUP(M494,'Cadastro Vendedores'!A:H,2,2)</f>
        <v>Adriana</v>
      </c>
      <c r="O494" s="2"/>
      <c r="P494" s="16">
        <v>1800</v>
      </c>
      <c r="Q494" s="2">
        <f>VLOOKUP(B494,'Cadastro Produtos'!A:F,5,2)</f>
        <v>21</v>
      </c>
      <c r="R494" s="14">
        <f t="shared" si="35"/>
        <v>37800</v>
      </c>
    </row>
    <row r="495" spans="1:18" x14ac:dyDescent="0.25">
      <c r="A495">
        <v>494</v>
      </c>
      <c r="B495">
        <v>8</v>
      </c>
      <c r="C495" t="str">
        <f>VLOOKUP(B495,'Cadastro Produtos'!A:E,2,2)</f>
        <v>Limonada Beta Zero 1 L</v>
      </c>
      <c r="D495">
        <v>1</v>
      </c>
      <c r="E495" t="str">
        <f>VLOOKUP(D495,'Cadatro Clientes'!A:O,2,2)</f>
        <v>Meu Suco de Limão</v>
      </c>
      <c r="F495" t="str">
        <f>VLOOKUP(D495,'Cadatro Clientes'!A:O,9,2)</f>
        <v>Norte</v>
      </c>
      <c r="G495" s="15">
        <v>41835</v>
      </c>
      <c r="H495">
        <f t="shared" si="36"/>
        <v>3</v>
      </c>
      <c r="I495">
        <f t="shared" si="37"/>
        <v>15</v>
      </c>
      <c r="J495">
        <f t="shared" si="38"/>
        <v>7</v>
      </c>
      <c r="K495">
        <f t="shared" si="39"/>
        <v>2014</v>
      </c>
      <c r="M495">
        <v>3</v>
      </c>
      <c r="N495" t="str">
        <f>VLOOKUP(M495,'Cadastro Vendedores'!A:H,2,2)</f>
        <v>Antônia</v>
      </c>
      <c r="O495" s="2"/>
      <c r="P495" s="16">
        <v>3400</v>
      </c>
      <c r="Q495" s="2">
        <f>VLOOKUP(B495,'Cadastro Produtos'!A:F,5,2)</f>
        <v>12</v>
      </c>
      <c r="R495" s="14">
        <f t="shared" si="35"/>
        <v>40800</v>
      </c>
    </row>
    <row r="496" spans="1:18" x14ac:dyDescent="0.25">
      <c r="A496">
        <v>495</v>
      </c>
      <c r="B496">
        <v>9</v>
      </c>
      <c r="C496" t="str">
        <f>VLOOKUP(B496,'Cadastro Produtos'!A:E,2,2)</f>
        <v>Limonada Alfa com Hortelã e Açúcar 1 L</v>
      </c>
      <c r="D496">
        <v>8</v>
      </c>
      <c r="E496" t="str">
        <f>VLOOKUP(D496,'Cadatro Clientes'!A:O,2,2)</f>
        <v>Refresko</v>
      </c>
      <c r="F496" t="str">
        <f>VLOOKUP(D496,'Cadatro Clientes'!A:O,9,2)</f>
        <v>Sul</v>
      </c>
      <c r="G496" s="15">
        <v>41835</v>
      </c>
      <c r="H496">
        <f t="shared" si="36"/>
        <v>3</v>
      </c>
      <c r="I496">
        <f t="shared" si="37"/>
        <v>15</v>
      </c>
      <c r="J496">
        <f t="shared" si="38"/>
        <v>7</v>
      </c>
      <c r="K496">
        <f t="shared" si="39"/>
        <v>2014</v>
      </c>
      <c r="M496">
        <v>3</v>
      </c>
      <c r="N496" t="str">
        <f>VLOOKUP(M496,'Cadastro Vendedores'!A:H,2,2)</f>
        <v>Antônia</v>
      </c>
      <c r="O496" s="2"/>
      <c r="P496" s="16">
        <v>1100</v>
      </c>
      <c r="Q496" s="2">
        <f>VLOOKUP(B496,'Cadastro Produtos'!A:F,5,2)</f>
        <v>17.5</v>
      </c>
      <c r="R496" s="14">
        <f t="shared" si="35"/>
        <v>19250</v>
      </c>
    </row>
    <row r="497" spans="1:18" x14ac:dyDescent="0.25">
      <c r="A497">
        <v>496</v>
      </c>
      <c r="B497">
        <v>7</v>
      </c>
      <c r="C497" t="str">
        <f>VLOOKUP(B497,'Cadastro Produtos'!A:E,2,2)</f>
        <v>Limonada Alfa Zero 1 L</v>
      </c>
      <c r="D497">
        <v>7</v>
      </c>
      <c r="E497" t="str">
        <f>VLOOKUP(D497,'Cadatro Clientes'!A:O,2,2)</f>
        <v>Limo</v>
      </c>
      <c r="F497" t="str">
        <f>VLOOKUP(D497,'Cadatro Clientes'!A:O,9,2)</f>
        <v>Centro-Oeste</v>
      </c>
      <c r="G497" s="15">
        <v>41835</v>
      </c>
      <c r="H497">
        <f t="shared" si="36"/>
        <v>3</v>
      </c>
      <c r="I497">
        <f t="shared" si="37"/>
        <v>15</v>
      </c>
      <c r="J497">
        <f t="shared" si="38"/>
        <v>7</v>
      </c>
      <c r="K497">
        <f t="shared" si="39"/>
        <v>2014</v>
      </c>
      <c r="M497">
        <v>2</v>
      </c>
      <c r="N497" t="str">
        <f>VLOOKUP(M497,'Cadastro Vendedores'!A:H,2,2)</f>
        <v>Luis</v>
      </c>
      <c r="O497" s="2"/>
      <c r="P497" s="16">
        <v>2600</v>
      </c>
      <c r="Q497" s="2">
        <f>VLOOKUP(B497,'Cadastro Produtos'!A:F,5,2)</f>
        <v>15</v>
      </c>
      <c r="R497" s="14">
        <f t="shared" si="35"/>
        <v>39000</v>
      </c>
    </row>
    <row r="498" spans="1:18" x14ac:dyDescent="0.25">
      <c r="A498">
        <v>497</v>
      </c>
      <c r="B498">
        <v>9</v>
      </c>
      <c r="C498" t="str">
        <f>VLOOKUP(B498,'Cadastro Produtos'!A:E,2,2)</f>
        <v>Limonada Alfa com Hortelã e Açúcar 1 L</v>
      </c>
      <c r="D498">
        <v>8</v>
      </c>
      <c r="E498" t="str">
        <f>VLOOKUP(D498,'Cadatro Clientes'!A:O,2,2)</f>
        <v>Refresko</v>
      </c>
      <c r="F498" t="str">
        <f>VLOOKUP(D498,'Cadatro Clientes'!A:O,9,2)</f>
        <v>Sul</v>
      </c>
      <c r="G498" s="15">
        <v>41836</v>
      </c>
      <c r="H498">
        <f t="shared" si="36"/>
        <v>4</v>
      </c>
      <c r="I498">
        <f t="shared" si="37"/>
        <v>16</v>
      </c>
      <c r="J498">
        <f t="shared" si="38"/>
        <v>7</v>
      </c>
      <c r="K498">
        <f t="shared" si="39"/>
        <v>2014</v>
      </c>
      <c r="M498">
        <v>6</v>
      </c>
      <c r="N498" t="str">
        <f>VLOOKUP(M498,'Cadastro Vendedores'!A:H,2,2)</f>
        <v>Antônia</v>
      </c>
      <c r="O498" s="2"/>
      <c r="P498" s="16">
        <v>2300</v>
      </c>
      <c r="Q498" s="2">
        <f>VLOOKUP(B498,'Cadastro Produtos'!A:F,5,2)</f>
        <v>17.5</v>
      </c>
      <c r="R498" s="14">
        <f t="shared" si="35"/>
        <v>40250</v>
      </c>
    </row>
    <row r="499" spans="1:18" x14ac:dyDescent="0.25">
      <c r="A499">
        <v>498</v>
      </c>
      <c r="B499">
        <v>9</v>
      </c>
      <c r="C499" t="str">
        <f>VLOOKUP(B499,'Cadastro Produtos'!A:E,2,2)</f>
        <v>Limonada Alfa com Hortelã e Açúcar 1 L</v>
      </c>
      <c r="D499">
        <v>19</v>
      </c>
      <c r="E499" t="str">
        <f>VLOOKUP(D499,'Cadatro Clientes'!A:O,2,2)</f>
        <v>Lima Limão</v>
      </c>
      <c r="F499" t="str">
        <f>VLOOKUP(D499,'Cadatro Clientes'!A:O,9,2)</f>
        <v>Sudeste</v>
      </c>
      <c r="G499" s="15">
        <v>41836</v>
      </c>
      <c r="H499">
        <f t="shared" si="36"/>
        <v>4</v>
      </c>
      <c r="I499">
        <f t="shared" si="37"/>
        <v>16</v>
      </c>
      <c r="J499">
        <f t="shared" si="38"/>
        <v>7</v>
      </c>
      <c r="K499">
        <f t="shared" si="39"/>
        <v>2014</v>
      </c>
      <c r="M499">
        <v>3</v>
      </c>
      <c r="N499" t="str">
        <f>VLOOKUP(M499,'Cadastro Vendedores'!A:H,2,2)</f>
        <v>Antônia</v>
      </c>
      <c r="O499" s="2"/>
      <c r="P499" s="16">
        <v>1400</v>
      </c>
      <c r="Q499" s="2">
        <f>VLOOKUP(B499,'Cadastro Produtos'!A:F,5,2)</f>
        <v>17.5</v>
      </c>
      <c r="R499" s="14">
        <f t="shared" si="35"/>
        <v>24500</v>
      </c>
    </row>
    <row r="500" spans="1:18" x14ac:dyDescent="0.25">
      <c r="A500">
        <v>499</v>
      </c>
      <c r="B500">
        <v>8</v>
      </c>
      <c r="C500" t="str">
        <f>VLOOKUP(B500,'Cadastro Produtos'!A:E,2,2)</f>
        <v>Limonada Beta Zero 1 L</v>
      </c>
      <c r="D500">
        <v>8</v>
      </c>
      <c r="E500" t="str">
        <f>VLOOKUP(D500,'Cadatro Clientes'!A:O,2,2)</f>
        <v>Refresko</v>
      </c>
      <c r="F500" t="str">
        <f>VLOOKUP(D500,'Cadatro Clientes'!A:O,9,2)</f>
        <v>Sul</v>
      </c>
      <c r="G500" s="15">
        <v>41838</v>
      </c>
      <c r="H500">
        <f t="shared" si="36"/>
        <v>6</v>
      </c>
      <c r="I500">
        <f t="shared" si="37"/>
        <v>18</v>
      </c>
      <c r="J500">
        <f t="shared" si="38"/>
        <v>7</v>
      </c>
      <c r="K500">
        <f t="shared" si="39"/>
        <v>2014</v>
      </c>
      <c r="M500">
        <v>3</v>
      </c>
      <c r="N500" t="str">
        <f>VLOOKUP(M500,'Cadastro Vendedores'!A:H,2,2)</f>
        <v>Antônia</v>
      </c>
      <c r="O500" s="2"/>
      <c r="P500" s="16">
        <v>2900</v>
      </c>
      <c r="Q500" s="2">
        <f>VLOOKUP(B500,'Cadastro Produtos'!A:F,5,2)</f>
        <v>12</v>
      </c>
      <c r="R500" s="14">
        <f t="shared" si="35"/>
        <v>34800</v>
      </c>
    </row>
    <row r="501" spans="1:18" x14ac:dyDescent="0.25">
      <c r="A501">
        <v>500</v>
      </c>
      <c r="B501">
        <v>2</v>
      </c>
      <c r="C501" t="str">
        <f>VLOOKUP(B501,'Cadastro Produtos'!A:E,2,2)</f>
        <v>Limonada Beta com Açúcar 500 ml</v>
      </c>
      <c r="D501">
        <v>17</v>
      </c>
      <c r="E501" t="str">
        <f>VLOOKUP(D501,'Cadatro Clientes'!A:O,2,2)</f>
        <v>Aracasuco</v>
      </c>
      <c r="F501" t="str">
        <f>VLOOKUP(D501,'Cadatro Clientes'!A:O,9,2)</f>
        <v>Nordeste</v>
      </c>
      <c r="G501" s="15">
        <v>41838</v>
      </c>
      <c r="H501">
        <f t="shared" si="36"/>
        <v>6</v>
      </c>
      <c r="I501">
        <f t="shared" si="37"/>
        <v>18</v>
      </c>
      <c r="J501">
        <f t="shared" si="38"/>
        <v>7</v>
      </c>
      <c r="K501">
        <f t="shared" si="39"/>
        <v>2014</v>
      </c>
      <c r="M501">
        <v>7</v>
      </c>
      <c r="N501" t="str">
        <f>VLOOKUP(M501,'Cadastro Vendedores'!A:H,2,2)</f>
        <v>Benedito</v>
      </c>
      <c r="O501" s="2"/>
      <c r="P501" s="16">
        <v>5200</v>
      </c>
      <c r="Q501" s="2">
        <f>VLOOKUP(B501,'Cadastro Produtos'!A:F,5,2)</f>
        <v>6.5</v>
      </c>
      <c r="R501" s="14">
        <f t="shared" si="35"/>
        <v>33800</v>
      </c>
    </row>
    <row r="502" spans="1:18" x14ac:dyDescent="0.25">
      <c r="A502">
        <v>501</v>
      </c>
      <c r="B502">
        <v>3</v>
      </c>
      <c r="C502" t="str">
        <f>VLOOKUP(B502,'Cadastro Produtos'!A:E,2,2)</f>
        <v>Limonada Alfa Zero 500 ml</v>
      </c>
      <c r="D502">
        <v>13</v>
      </c>
      <c r="E502" t="str">
        <f>VLOOKUP(D502,'Cadatro Clientes'!A:O,2,2)</f>
        <v>Monster Lemon</v>
      </c>
      <c r="F502" t="str">
        <f>VLOOKUP(D502,'Cadatro Clientes'!A:O,9,2)</f>
        <v>Nordeste</v>
      </c>
      <c r="G502" s="15">
        <v>41838</v>
      </c>
      <c r="H502">
        <f t="shared" si="36"/>
        <v>6</v>
      </c>
      <c r="I502">
        <f t="shared" si="37"/>
        <v>18</v>
      </c>
      <c r="J502">
        <f t="shared" si="38"/>
        <v>7</v>
      </c>
      <c r="K502">
        <f t="shared" si="39"/>
        <v>2014</v>
      </c>
      <c r="M502">
        <v>9</v>
      </c>
      <c r="N502" t="str">
        <f>VLOOKUP(M502,'Cadastro Vendedores'!A:H,2,2)</f>
        <v>Adriana</v>
      </c>
      <c r="O502" s="2"/>
      <c r="P502" s="16">
        <v>3000</v>
      </c>
      <c r="Q502" s="2">
        <f>VLOOKUP(B502,'Cadastro Produtos'!A:F,5,2)</f>
        <v>9</v>
      </c>
      <c r="R502" s="14">
        <f t="shared" si="35"/>
        <v>27000</v>
      </c>
    </row>
    <row r="503" spans="1:18" x14ac:dyDescent="0.25">
      <c r="A503">
        <v>502</v>
      </c>
      <c r="B503">
        <v>4</v>
      </c>
      <c r="C503" t="str">
        <f>VLOOKUP(B503,'Cadastro Produtos'!A:E,2,2)</f>
        <v>Limonada Beta Zero 500 ml</v>
      </c>
      <c r="D503">
        <v>6</v>
      </c>
      <c r="E503" t="str">
        <f>VLOOKUP(D503,'Cadatro Clientes'!A:O,2,2)</f>
        <v>Lemonade</v>
      </c>
      <c r="F503" t="str">
        <f>VLOOKUP(D503,'Cadatro Clientes'!A:O,9,2)</f>
        <v>Norte</v>
      </c>
      <c r="G503" s="15">
        <v>41838</v>
      </c>
      <c r="H503">
        <f t="shared" si="36"/>
        <v>6</v>
      </c>
      <c r="I503">
        <f t="shared" si="37"/>
        <v>18</v>
      </c>
      <c r="J503">
        <f t="shared" si="38"/>
        <v>7</v>
      </c>
      <c r="K503">
        <f t="shared" si="39"/>
        <v>2014</v>
      </c>
      <c r="M503">
        <v>2</v>
      </c>
      <c r="N503" t="str">
        <f>VLOOKUP(M503,'Cadastro Vendedores'!A:H,2,2)</f>
        <v>Luis</v>
      </c>
      <c r="O503" s="2"/>
      <c r="P503" s="16">
        <v>4300</v>
      </c>
      <c r="Q503" s="2">
        <f>VLOOKUP(B503,'Cadastro Produtos'!A:F,5,2)</f>
        <v>7</v>
      </c>
      <c r="R503" s="14">
        <f t="shared" si="35"/>
        <v>30100</v>
      </c>
    </row>
    <row r="504" spans="1:18" x14ac:dyDescent="0.25">
      <c r="A504">
        <v>503</v>
      </c>
      <c r="B504">
        <v>6</v>
      </c>
      <c r="C504" t="str">
        <f>VLOOKUP(B504,'Cadastro Produtos'!A:E,2,2)</f>
        <v>Limonada Beta com Açúcar 1 L</v>
      </c>
      <c r="D504">
        <v>4</v>
      </c>
      <c r="E504" t="str">
        <f>VLOOKUP(D504,'Cadatro Clientes'!A:O,2,2)</f>
        <v>Limão Carioca e Cia</v>
      </c>
      <c r="F504" t="str">
        <f>VLOOKUP(D504,'Cadatro Clientes'!A:O,9,2)</f>
        <v>Sudeste</v>
      </c>
      <c r="G504" s="15">
        <v>41839</v>
      </c>
      <c r="H504">
        <f t="shared" si="36"/>
        <v>7</v>
      </c>
      <c r="I504">
        <f t="shared" si="37"/>
        <v>19</v>
      </c>
      <c r="J504">
        <f t="shared" si="38"/>
        <v>7</v>
      </c>
      <c r="K504">
        <f t="shared" si="39"/>
        <v>2014</v>
      </c>
      <c r="M504">
        <v>9</v>
      </c>
      <c r="N504" t="str">
        <f>VLOOKUP(M504,'Cadastro Vendedores'!A:H,2,2)</f>
        <v>Adriana</v>
      </c>
      <c r="O504" s="2"/>
      <c r="P504" s="16">
        <v>2600</v>
      </c>
      <c r="Q504" s="2">
        <f>VLOOKUP(B504,'Cadastro Produtos'!A:F,5,2)</f>
        <v>12</v>
      </c>
      <c r="R504" s="14">
        <f t="shared" si="35"/>
        <v>31200</v>
      </c>
    </row>
    <row r="505" spans="1:18" x14ac:dyDescent="0.25">
      <c r="A505">
        <v>504</v>
      </c>
      <c r="B505">
        <v>3</v>
      </c>
      <c r="C505" t="str">
        <f>VLOOKUP(B505,'Cadastro Produtos'!A:E,2,2)</f>
        <v>Limonada Alfa Zero 500 ml</v>
      </c>
      <c r="D505">
        <v>20</v>
      </c>
      <c r="E505" t="str">
        <f>VLOOKUP(D505,'Cadatro Clientes'!A:O,2,2)</f>
        <v>Brasil Saúde</v>
      </c>
      <c r="F505" t="str">
        <f>VLOOKUP(D505,'Cadatro Clientes'!A:O,9,2)</f>
        <v>Nordeste</v>
      </c>
      <c r="G505" s="15">
        <v>41840</v>
      </c>
      <c r="H505">
        <f t="shared" si="36"/>
        <v>1</v>
      </c>
      <c r="I505">
        <f t="shared" si="37"/>
        <v>20</v>
      </c>
      <c r="J505">
        <f t="shared" si="38"/>
        <v>7</v>
      </c>
      <c r="K505">
        <f t="shared" si="39"/>
        <v>2014</v>
      </c>
      <c r="M505">
        <v>2</v>
      </c>
      <c r="N505" t="str">
        <f>VLOOKUP(M505,'Cadastro Vendedores'!A:H,2,2)</f>
        <v>Luis</v>
      </c>
      <c r="O505" s="2"/>
      <c r="P505" s="16">
        <v>1700</v>
      </c>
      <c r="Q505" s="2">
        <f>VLOOKUP(B505,'Cadastro Produtos'!A:F,5,2)</f>
        <v>9</v>
      </c>
      <c r="R505" s="14">
        <f t="shared" si="35"/>
        <v>15300</v>
      </c>
    </row>
    <row r="506" spans="1:18" x14ac:dyDescent="0.25">
      <c r="A506">
        <v>505</v>
      </c>
      <c r="B506">
        <v>4</v>
      </c>
      <c r="C506" t="str">
        <f>VLOOKUP(B506,'Cadastro Produtos'!A:E,2,2)</f>
        <v>Limonada Beta Zero 500 ml</v>
      </c>
      <c r="D506">
        <v>5</v>
      </c>
      <c r="E506" t="str">
        <f>VLOOKUP(D506,'Cadatro Clientes'!A:O,2,2)</f>
        <v>Axé com Limão</v>
      </c>
      <c r="F506" t="str">
        <f>VLOOKUP(D506,'Cadatro Clientes'!A:O,9,2)</f>
        <v>Nordeste</v>
      </c>
      <c r="G506" s="15">
        <v>41840</v>
      </c>
      <c r="H506">
        <f t="shared" si="36"/>
        <v>1</v>
      </c>
      <c r="I506">
        <f t="shared" si="37"/>
        <v>20</v>
      </c>
      <c r="J506">
        <f t="shared" si="38"/>
        <v>7</v>
      </c>
      <c r="K506">
        <f t="shared" si="39"/>
        <v>2014</v>
      </c>
      <c r="M506">
        <v>4</v>
      </c>
      <c r="N506" t="str">
        <f>VLOOKUP(M506,'Cadastro Vendedores'!A:H,2,2)</f>
        <v>José</v>
      </c>
      <c r="O506" s="2"/>
      <c r="P506" s="16">
        <v>3200</v>
      </c>
      <c r="Q506" s="2">
        <f>VLOOKUP(B506,'Cadastro Produtos'!A:F,5,2)</f>
        <v>7</v>
      </c>
      <c r="R506" s="14">
        <f t="shared" si="35"/>
        <v>22400</v>
      </c>
    </row>
    <row r="507" spans="1:18" x14ac:dyDescent="0.25">
      <c r="A507">
        <v>506</v>
      </c>
      <c r="B507">
        <v>1</v>
      </c>
      <c r="C507" t="str">
        <f>VLOOKUP(B507,'Cadastro Produtos'!A:E,2,2)</f>
        <v>Limonada Alfa com Açúcar 500 ml</v>
      </c>
      <c r="D507">
        <v>8</v>
      </c>
      <c r="E507" t="str">
        <f>VLOOKUP(D507,'Cadatro Clientes'!A:O,2,2)</f>
        <v>Refresko</v>
      </c>
      <c r="F507" t="str">
        <f>VLOOKUP(D507,'Cadatro Clientes'!A:O,9,2)</f>
        <v>Sul</v>
      </c>
      <c r="G507" s="15">
        <v>41840</v>
      </c>
      <c r="H507">
        <f t="shared" si="36"/>
        <v>1</v>
      </c>
      <c r="I507">
        <f t="shared" si="37"/>
        <v>20</v>
      </c>
      <c r="J507">
        <f t="shared" si="38"/>
        <v>7</v>
      </c>
      <c r="K507">
        <f t="shared" si="39"/>
        <v>2014</v>
      </c>
      <c r="M507">
        <v>7</v>
      </c>
      <c r="N507" t="str">
        <f>VLOOKUP(M507,'Cadastro Vendedores'!A:H,2,2)</f>
        <v>Benedito</v>
      </c>
      <c r="O507" s="2"/>
      <c r="P507" s="16">
        <v>4200</v>
      </c>
      <c r="Q507" s="2">
        <f>VLOOKUP(B507,'Cadastro Produtos'!A:F,5,2)</f>
        <v>8.5</v>
      </c>
      <c r="R507" s="14">
        <f t="shared" si="35"/>
        <v>35700</v>
      </c>
    </row>
    <row r="508" spans="1:18" x14ac:dyDescent="0.25">
      <c r="A508">
        <v>507</v>
      </c>
      <c r="B508">
        <v>8</v>
      </c>
      <c r="C508" t="str">
        <f>VLOOKUP(B508,'Cadastro Produtos'!A:E,2,2)</f>
        <v>Limonada Beta Zero 1 L</v>
      </c>
      <c r="D508">
        <v>5</v>
      </c>
      <c r="E508" t="str">
        <f>VLOOKUP(D508,'Cadatro Clientes'!A:O,2,2)</f>
        <v>Axé com Limão</v>
      </c>
      <c r="F508" t="str">
        <f>VLOOKUP(D508,'Cadatro Clientes'!A:O,9,2)</f>
        <v>Nordeste</v>
      </c>
      <c r="G508" s="15">
        <v>41841</v>
      </c>
      <c r="H508">
        <f t="shared" si="36"/>
        <v>2</v>
      </c>
      <c r="I508">
        <f t="shared" si="37"/>
        <v>21</v>
      </c>
      <c r="J508">
        <f t="shared" si="38"/>
        <v>7</v>
      </c>
      <c r="K508">
        <f t="shared" si="39"/>
        <v>2014</v>
      </c>
      <c r="M508">
        <v>6</v>
      </c>
      <c r="N508" t="str">
        <f>VLOOKUP(M508,'Cadastro Vendedores'!A:H,2,2)</f>
        <v>Antônia</v>
      </c>
      <c r="O508" s="2"/>
      <c r="P508" s="16">
        <v>2800</v>
      </c>
      <c r="Q508" s="2">
        <f>VLOOKUP(B508,'Cadastro Produtos'!A:F,5,2)</f>
        <v>12</v>
      </c>
      <c r="R508" s="14">
        <f t="shared" si="35"/>
        <v>33600</v>
      </c>
    </row>
    <row r="509" spans="1:18" x14ac:dyDescent="0.25">
      <c r="A509">
        <v>508</v>
      </c>
      <c r="B509">
        <v>8</v>
      </c>
      <c r="C509" t="str">
        <f>VLOOKUP(B509,'Cadastro Produtos'!A:E,2,2)</f>
        <v>Limonada Beta Zero 1 L</v>
      </c>
      <c r="D509">
        <v>13</v>
      </c>
      <c r="E509" t="str">
        <f>VLOOKUP(D509,'Cadatro Clientes'!A:O,2,2)</f>
        <v>Monster Lemon</v>
      </c>
      <c r="F509" t="str">
        <f>VLOOKUP(D509,'Cadatro Clientes'!A:O,9,2)</f>
        <v>Nordeste</v>
      </c>
      <c r="G509" s="15">
        <v>41841</v>
      </c>
      <c r="H509">
        <f t="shared" si="36"/>
        <v>2</v>
      </c>
      <c r="I509">
        <f t="shared" si="37"/>
        <v>21</v>
      </c>
      <c r="J509">
        <f t="shared" si="38"/>
        <v>7</v>
      </c>
      <c r="K509">
        <f t="shared" si="39"/>
        <v>2014</v>
      </c>
      <c r="M509">
        <v>4</v>
      </c>
      <c r="N509" t="str">
        <f>VLOOKUP(M509,'Cadastro Vendedores'!A:H,2,2)</f>
        <v>José</v>
      </c>
      <c r="O509" s="2"/>
      <c r="P509" s="16">
        <v>2900</v>
      </c>
      <c r="Q509" s="2">
        <f>VLOOKUP(B509,'Cadastro Produtos'!A:F,5,2)</f>
        <v>12</v>
      </c>
      <c r="R509" s="14">
        <f t="shared" si="35"/>
        <v>34800</v>
      </c>
    </row>
    <row r="510" spans="1:18" x14ac:dyDescent="0.25">
      <c r="A510">
        <v>509</v>
      </c>
      <c r="B510">
        <v>10</v>
      </c>
      <c r="C510" t="str">
        <f>VLOOKUP(B510,'Cadastro Produtos'!A:E,2,2)</f>
        <v>Limonada Alfa com Hortelã Zero 1 L</v>
      </c>
      <c r="D510">
        <v>5</v>
      </c>
      <c r="E510" t="str">
        <f>VLOOKUP(D510,'Cadatro Clientes'!A:O,2,2)</f>
        <v>Axé com Limão</v>
      </c>
      <c r="F510" t="str">
        <f>VLOOKUP(D510,'Cadatro Clientes'!A:O,9,2)</f>
        <v>Nordeste</v>
      </c>
      <c r="G510" s="15">
        <v>41842</v>
      </c>
      <c r="H510">
        <f t="shared" si="36"/>
        <v>3</v>
      </c>
      <c r="I510">
        <f t="shared" si="37"/>
        <v>22</v>
      </c>
      <c r="J510">
        <f t="shared" si="38"/>
        <v>7</v>
      </c>
      <c r="K510">
        <f t="shared" si="39"/>
        <v>2014</v>
      </c>
      <c r="M510">
        <v>7</v>
      </c>
      <c r="N510" t="str">
        <f>VLOOKUP(M510,'Cadastro Vendedores'!A:H,2,2)</f>
        <v>Benedito</v>
      </c>
      <c r="O510" s="2"/>
      <c r="P510" s="16">
        <v>2200</v>
      </c>
      <c r="Q510" s="2">
        <f>VLOOKUP(B510,'Cadastro Produtos'!A:F,5,2)</f>
        <v>21</v>
      </c>
      <c r="R510" s="14">
        <f t="shared" si="35"/>
        <v>46200</v>
      </c>
    </row>
    <row r="511" spans="1:18" x14ac:dyDescent="0.25">
      <c r="A511">
        <v>510</v>
      </c>
      <c r="B511">
        <v>1</v>
      </c>
      <c r="C511" t="str">
        <f>VLOOKUP(B511,'Cadastro Produtos'!A:E,2,2)</f>
        <v>Limonada Alfa com Açúcar 500 ml</v>
      </c>
      <c r="D511">
        <v>5</v>
      </c>
      <c r="E511" t="str">
        <f>VLOOKUP(D511,'Cadatro Clientes'!A:O,2,2)</f>
        <v>Axé com Limão</v>
      </c>
      <c r="F511" t="str">
        <f>VLOOKUP(D511,'Cadatro Clientes'!A:O,9,2)</f>
        <v>Nordeste</v>
      </c>
      <c r="G511" s="15">
        <v>41842</v>
      </c>
      <c r="H511">
        <f t="shared" si="36"/>
        <v>3</v>
      </c>
      <c r="I511">
        <f t="shared" si="37"/>
        <v>22</v>
      </c>
      <c r="J511">
        <f t="shared" si="38"/>
        <v>7</v>
      </c>
      <c r="K511">
        <f t="shared" si="39"/>
        <v>2014</v>
      </c>
      <c r="M511">
        <v>7</v>
      </c>
      <c r="N511" t="str">
        <f>VLOOKUP(M511,'Cadastro Vendedores'!A:H,2,2)</f>
        <v>Benedito</v>
      </c>
      <c r="O511" s="2"/>
      <c r="P511" s="16">
        <v>5400</v>
      </c>
      <c r="Q511" s="2">
        <f>VLOOKUP(B511,'Cadastro Produtos'!A:F,5,2)</f>
        <v>8.5</v>
      </c>
      <c r="R511" s="14">
        <f t="shared" si="35"/>
        <v>45900</v>
      </c>
    </row>
    <row r="512" spans="1:18" x14ac:dyDescent="0.25">
      <c r="A512">
        <v>511</v>
      </c>
      <c r="B512">
        <v>8</v>
      </c>
      <c r="C512" t="str">
        <f>VLOOKUP(B512,'Cadastro Produtos'!A:E,2,2)</f>
        <v>Limonada Beta Zero 1 L</v>
      </c>
      <c r="D512">
        <v>19</v>
      </c>
      <c r="E512" t="str">
        <f>VLOOKUP(D512,'Cadatro Clientes'!A:O,2,2)</f>
        <v>Lima Limão</v>
      </c>
      <c r="F512" t="str">
        <f>VLOOKUP(D512,'Cadatro Clientes'!A:O,9,2)</f>
        <v>Sudeste</v>
      </c>
      <c r="G512" s="15">
        <v>41842</v>
      </c>
      <c r="H512">
        <f t="shared" si="36"/>
        <v>3</v>
      </c>
      <c r="I512">
        <f t="shared" si="37"/>
        <v>22</v>
      </c>
      <c r="J512">
        <f t="shared" si="38"/>
        <v>7</v>
      </c>
      <c r="K512">
        <f t="shared" si="39"/>
        <v>2014</v>
      </c>
      <c r="M512">
        <v>3</v>
      </c>
      <c r="N512" t="str">
        <f>VLOOKUP(M512,'Cadastro Vendedores'!A:H,2,2)</f>
        <v>Antônia</v>
      </c>
      <c r="O512" s="2"/>
      <c r="P512" s="16">
        <v>2700</v>
      </c>
      <c r="Q512" s="2">
        <f>VLOOKUP(B512,'Cadastro Produtos'!A:F,5,2)</f>
        <v>12</v>
      </c>
      <c r="R512" s="14">
        <f t="shared" si="35"/>
        <v>32400</v>
      </c>
    </row>
    <row r="513" spans="1:18" x14ac:dyDescent="0.25">
      <c r="A513">
        <v>512</v>
      </c>
      <c r="B513">
        <v>1</v>
      </c>
      <c r="C513" t="str">
        <f>VLOOKUP(B513,'Cadastro Produtos'!A:E,2,2)</f>
        <v>Limonada Alfa com Açúcar 500 ml</v>
      </c>
      <c r="D513">
        <v>5</v>
      </c>
      <c r="E513" t="str">
        <f>VLOOKUP(D513,'Cadatro Clientes'!A:O,2,2)</f>
        <v>Axé com Limão</v>
      </c>
      <c r="F513" t="str">
        <f>VLOOKUP(D513,'Cadatro Clientes'!A:O,9,2)</f>
        <v>Nordeste</v>
      </c>
      <c r="G513" s="15">
        <v>41843</v>
      </c>
      <c r="H513">
        <f t="shared" si="36"/>
        <v>4</v>
      </c>
      <c r="I513">
        <f t="shared" si="37"/>
        <v>23</v>
      </c>
      <c r="J513">
        <f t="shared" si="38"/>
        <v>7</v>
      </c>
      <c r="K513">
        <f t="shared" si="39"/>
        <v>2014</v>
      </c>
      <c r="M513">
        <v>7</v>
      </c>
      <c r="N513" t="str">
        <f>VLOOKUP(M513,'Cadastro Vendedores'!A:H,2,2)</f>
        <v>Benedito</v>
      </c>
      <c r="O513" s="2"/>
      <c r="P513" s="16">
        <v>4600</v>
      </c>
      <c r="Q513" s="2">
        <f>VLOOKUP(B513,'Cadastro Produtos'!A:F,5,2)</f>
        <v>8.5</v>
      </c>
      <c r="R513" s="14">
        <f t="shared" si="35"/>
        <v>39100</v>
      </c>
    </row>
    <row r="514" spans="1:18" x14ac:dyDescent="0.25">
      <c r="A514">
        <v>513</v>
      </c>
      <c r="B514">
        <v>4</v>
      </c>
      <c r="C514" t="str">
        <f>VLOOKUP(B514,'Cadastro Produtos'!A:E,2,2)</f>
        <v>Limonada Beta Zero 500 ml</v>
      </c>
      <c r="D514">
        <v>19</v>
      </c>
      <c r="E514" t="str">
        <f>VLOOKUP(D514,'Cadatro Clientes'!A:O,2,2)</f>
        <v>Lima Limão</v>
      </c>
      <c r="F514" t="str">
        <f>VLOOKUP(D514,'Cadatro Clientes'!A:O,9,2)</f>
        <v>Sudeste</v>
      </c>
      <c r="G514" s="15">
        <v>41843</v>
      </c>
      <c r="H514">
        <f t="shared" si="36"/>
        <v>4</v>
      </c>
      <c r="I514">
        <f t="shared" si="37"/>
        <v>23</v>
      </c>
      <c r="J514">
        <f t="shared" si="38"/>
        <v>7</v>
      </c>
      <c r="K514">
        <f t="shared" si="39"/>
        <v>2014</v>
      </c>
      <c r="M514">
        <v>9</v>
      </c>
      <c r="N514" t="str">
        <f>VLOOKUP(M514,'Cadastro Vendedores'!A:H,2,2)</f>
        <v>Adriana</v>
      </c>
      <c r="O514" s="2"/>
      <c r="P514" s="16">
        <v>3300</v>
      </c>
      <c r="Q514" s="2">
        <f>VLOOKUP(B514,'Cadastro Produtos'!A:F,5,2)</f>
        <v>7</v>
      </c>
      <c r="R514" s="14">
        <f t="shared" ref="R514:R577" si="40">Q514*P514</f>
        <v>23100</v>
      </c>
    </row>
    <row r="515" spans="1:18" x14ac:dyDescent="0.25">
      <c r="A515">
        <v>514</v>
      </c>
      <c r="B515">
        <v>6</v>
      </c>
      <c r="C515" t="str">
        <f>VLOOKUP(B515,'Cadastro Produtos'!A:E,2,2)</f>
        <v>Limonada Beta com Açúcar 1 L</v>
      </c>
      <c r="D515">
        <v>4</v>
      </c>
      <c r="E515" t="str">
        <f>VLOOKUP(D515,'Cadatro Clientes'!A:O,2,2)</f>
        <v>Limão Carioca e Cia</v>
      </c>
      <c r="F515" t="str">
        <f>VLOOKUP(D515,'Cadatro Clientes'!A:O,9,2)</f>
        <v>Sudeste</v>
      </c>
      <c r="G515" s="15">
        <v>41844</v>
      </c>
      <c r="H515">
        <f t="shared" ref="H515:H578" si="41">WEEKDAY(G515)</f>
        <v>5</v>
      </c>
      <c r="I515">
        <f t="shared" ref="I515:I578" si="42">DAY(G515)</f>
        <v>24</v>
      </c>
      <c r="J515">
        <f t="shared" ref="J515:J578" si="43">MONTH(G515)</f>
        <v>7</v>
      </c>
      <c r="K515">
        <f t="shared" ref="K515:K578" si="44">YEAR(G515)</f>
        <v>2014</v>
      </c>
      <c r="M515">
        <v>8</v>
      </c>
      <c r="N515" t="str">
        <f>VLOOKUP(M515,'Cadastro Vendedores'!A:H,2,2)</f>
        <v>Sérgio</v>
      </c>
      <c r="O515" s="2"/>
      <c r="P515" s="16">
        <v>1800</v>
      </c>
      <c r="Q515" s="2">
        <f>VLOOKUP(B515,'Cadastro Produtos'!A:F,5,2)</f>
        <v>12</v>
      </c>
      <c r="R515" s="14">
        <f t="shared" si="40"/>
        <v>21600</v>
      </c>
    </row>
    <row r="516" spans="1:18" x14ac:dyDescent="0.25">
      <c r="A516">
        <v>515</v>
      </c>
      <c r="B516">
        <v>3</v>
      </c>
      <c r="C516" t="str">
        <f>VLOOKUP(B516,'Cadastro Produtos'!A:E,2,2)</f>
        <v>Limonada Alfa Zero 500 ml</v>
      </c>
      <c r="D516">
        <v>2</v>
      </c>
      <c r="E516" t="str">
        <f>VLOOKUP(D516,'Cadatro Clientes'!A:O,2,2)</f>
        <v>Limão S/A</v>
      </c>
      <c r="F516" t="str">
        <f>VLOOKUP(D516,'Cadatro Clientes'!A:O,9,2)</f>
        <v>Centro-Oeste</v>
      </c>
      <c r="G516" s="15">
        <v>41844</v>
      </c>
      <c r="H516">
        <f t="shared" si="41"/>
        <v>5</v>
      </c>
      <c r="I516">
        <f t="shared" si="42"/>
        <v>24</v>
      </c>
      <c r="J516">
        <f t="shared" si="43"/>
        <v>7</v>
      </c>
      <c r="K516">
        <f t="shared" si="44"/>
        <v>2014</v>
      </c>
      <c r="M516">
        <v>2</v>
      </c>
      <c r="N516" t="str">
        <f>VLOOKUP(M516,'Cadastro Vendedores'!A:H,2,2)</f>
        <v>Luis</v>
      </c>
      <c r="O516" s="2"/>
      <c r="P516" s="16">
        <v>1500</v>
      </c>
      <c r="Q516" s="2">
        <f>VLOOKUP(B516,'Cadastro Produtos'!A:F,5,2)</f>
        <v>9</v>
      </c>
      <c r="R516" s="14">
        <f t="shared" si="40"/>
        <v>13500</v>
      </c>
    </row>
    <row r="517" spans="1:18" x14ac:dyDescent="0.25">
      <c r="A517">
        <v>516</v>
      </c>
      <c r="B517">
        <v>9</v>
      </c>
      <c r="C517" t="str">
        <f>VLOOKUP(B517,'Cadastro Produtos'!A:E,2,2)</f>
        <v>Limonada Alfa com Hortelã e Açúcar 1 L</v>
      </c>
      <c r="D517">
        <v>9</v>
      </c>
      <c r="E517" t="str">
        <f>VLOOKUP(D517,'Cadatro Clientes'!A:O,2,2)</f>
        <v>Fresh Lemon</v>
      </c>
      <c r="F517" t="str">
        <f>VLOOKUP(D517,'Cadatro Clientes'!A:O,9,2)</f>
        <v>Sudeste</v>
      </c>
      <c r="G517" s="15">
        <v>41845</v>
      </c>
      <c r="H517">
        <f t="shared" si="41"/>
        <v>6</v>
      </c>
      <c r="I517">
        <f t="shared" si="42"/>
        <v>25</v>
      </c>
      <c r="J517">
        <f t="shared" si="43"/>
        <v>7</v>
      </c>
      <c r="K517">
        <f t="shared" si="44"/>
        <v>2014</v>
      </c>
      <c r="M517">
        <v>7</v>
      </c>
      <c r="N517" t="str">
        <f>VLOOKUP(M517,'Cadastro Vendedores'!A:H,2,2)</f>
        <v>Benedito</v>
      </c>
      <c r="O517" s="2"/>
      <c r="P517" s="16">
        <v>1000</v>
      </c>
      <c r="Q517" s="2">
        <f>VLOOKUP(B517,'Cadastro Produtos'!A:F,5,2)</f>
        <v>17.5</v>
      </c>
      <c r="R517" s="14">
        <f t="shared" si="40"/>
        <v>17500</v>
      </c>
    </row>
    <row r="518" spans="1:18" x14ac:dyDescent="0.25">
      <c r="A518">
        <v>517</v>
      </c>
      <c r="B518">
        <v>9</v>
      </c>
      <c r="C518" t="str">
        <f>VLOOKUP(B518,'Cadastro Produtos'!A:E,2,2)</f>
        <v>Limonada Alfa com Hortelã e Açúcar 1 L</v>
      </c>
      <c r="D518">
        <v>5</v>
      </c>
      <c r="E518" t="str">
        <f>VLOOKUP(D518,'Cadatro Clientes'!A:O,2,2)</f>
        <v>Axé com Limão</v>
      </c>
      <c r="F518" t="str">
        <f>VLOOKUP(D518,'Cadatro Clientes'!A:O,9,2)</f>
        <v>Nordeste</v>
      </c>
      <c r="G518" s="15">
        <v>41845</v>
      </c>
      <c r="H518">
        <f t="shared" si="41"/>
        <v>6</v>
      </c>
      <c r="I518">
        <f t="shared" si="42"/>
        <v>25</v>
      </c>
      <c r="J518">
        <f t="shared" si="43"/>
        <v>7</v>
      </c>
      <c r="K518">
        <f t="shared" si="44"/>
        <v>2014</v>
      </c>
      <c r="M518">
        <v>8</v>
      </c>
      <c r="N518" t="str">
        <f>VLOOKUP(M518,'Cadastro Vendedores'!A:H,2,2)</f>
        <v>Sérgio</v>
      </c>
      <c r="O518" s="2"/>
      <c r="P518" s="16">
        <v>1100</v>
      </c>
      <c r="Q518" s="2">
        <f>VLOOKUP(B518,'Cadastro Produtos'!A:F,5,2)</f>
        <v>17.5</v>
      </c>
      <c r="R518" s="14">
        <f t="shared" si="40"/>
        <v>19250</v>
      </c>
    </row>
    <row r="519" spans="1:18" x14ac:dyDescent="0.25">
      <c r="A519">
        <v>518</v>
      </c>
      <c r="B519">
        <v>4</v>
      </c>
      <c r="C519" t="str">
        <f>VLOOKUP(B519,'Cadastro Produtos'!A:E,2,2)</f>
        <v>Limonada Beta Zero 500 ml</v>
      </c>
      <c r="D519">
        <v>1</v>
      </c>
      <c r="E519" t="str">
        <f>VLOOKUP(D519,'Cadatro Clientes'!A:O,2,2)</f>
        <v>Meu Suco de Limão</v>
      </c>
      <c r="F519" t="str">
        <f>VLOOKUP(D519,'Cadatro Clientes'!A:O,9,2)</f>
        <v>Norte</v>
      </c>
      <c r="G519" s="15">
        <v>41845</v>
      </c>
      <c r="H519">
        <f t="shared" si="41"/>
        <v>6</v>
      </c>
      <c r="I519">
        <f t="shared" si="42"/>
        <v>25</v>
      </c>
      <c r="J519">
        <f t="shared" si="43"/>
        <v>7</v>
      </c>
      <c r="K519">
        <f t="shared" si="44"/>
        <v>2014</v>
      </c>
      <c r="M519">
        <v>9</v>
      </c>
      <c r="N519" t="str">
        <f>VLOOKUP(M519,'Cadastro Vendedores'!A:H,2,2)</f>
        <v>Adriana</v>
      </c>
      <c r="O519" s="2"/>
      <c r="P519" s="16">
        <v>2100</v>
      </c>
      <c r="Q519" s="2">
        <f>VLOOKUP(B519,'Cadastro Produtos'!A:F,5,2)</f>
        <v>7</v>
      </c>
      <c r="R519" s="14">
        <f t="shared" si="40"/>
        <v>14700</v>
      </c>
    </row>
    <row r="520" spans="1:18" x14ac:dyDescent="0.25">
      <c r="A520">
        <v>519</v>
      </c>
      <c r="B520">
        <v>1</v>
      </c>
      <c r="C520" t="str">
        <f>VLOOKUP(B520,'Cadastro Produtos'!A:E,2,2)</f>
        <v>Limonada Alfa com Açúcar 500 ml</v>
      </c>
      <c r="D520">
        <v>16</v>
      </c>
      <c r="E520" t="str">
        <f>VLOOKUP(D520,'Cadatro Clientes'!A:O,2,2)</f>
        <v>Norte Suco</v>
      </c>
      <c r="F520" t="str">
        <f>VLOOKUP(D520,'Cadatro Clientes'!A:O,9,2)</f>
        <v>Nordeste</v>
      </c>
      <c r="G520" s="15">
        <v>41846</v>
      </c>
      <c r="H520">
        <f t="shared" si="41"/>
        <v>7</v>
      </c>
      <c r="I520">
        <f t="shared" si="42"/>
        <v>26</v>
      </c>
      <c r="J520">
        <f t="shared" si="43"/>
        <v>7</v>
      </c>
      <c r="K520">
        <f t="shared" si="44"/>
        <v>2014</v>
      </c>
      <c r="M520">
        <v>2</v>
      </c>
      <c r="N520" t="str">
        <f>VLOOKUP(M520,'Cadastro Vendedores'!A:H,2,2)</f>
        <v>Luis</v>
      </c>
      <c r="O520" s="2"/>
      <c r="P520" s="16">
        <v>2900</v>
      </c>
      <c r="Q520" s="2">
        <f>VLOOKUP(B520,'Cadastro Produtos'!A:F,5,2)</f>
        <v>8.5</v>
      </c>
      <c r="R520" s="14">
        <f t="shared" si="40"/>
        <v>24650</v>
      </c>
    </row>
    <row r="521" spans="1:18" x14ac:dyDescent="0.25">
      <c r="A521">
        <v>520</v>
      </c>
      <c r="B521">
        <v>2</v>
      </c>
      <c r="C521" t="str">
        <f>VLOOKUP(B521,'Cadastro Produtos'!A:E,2,2)</f>
        <v>Limonada Beta com Açúcar 500 ml</v>
      </c>
      <c r="D521">
        <v>2</v>
      </c>
      <c r="E521" t="str">
        <f>VLOOKUP(D521,'Cadatro Clientes'!A:O,2,2)</f>
        <v>Limão S/A</v>
      </c>
      <c r="F521" t="str">
        <f>VLOOKUP(D521,'Cadatro Clientes'!A:O,9,2)</f>
        <v>Centro-Oeste</v>
      </c>
      <c r="G521" s="15">
        <v>41846</v>
      </c>
      <c r="H521">
        <f t="shared" si="41"/>
        <v>7</v>
      </c>
      <c r="I521">
        <f t="shared" si="42"/>
        <v>26</v>
      </c>
      <c r="J521">
        <f t="shared" si="43"/>
        <v>7</v>
      </c>
      <c r="K521">
        <f t="shared" si="44"/>
        <v>2014</v>
      </c>
      <c r="M521">
        <v>2</v>
      </c>
      <c r="N521" t="str">
        <f>VLOOKUP(M521,'Cadastro Vendedores'!A:H,2,2)</f>
        <v>Luis</v>
      </c>
      <c r="O521" s="2"/>
      <c r="P521" s="16">
        <v>5100</v>
      </c>
      <c r="Q521" s="2">
        <f>VLOOKUP(B521,'Cadastro Produtos'!A:F,5,2)</f>
        <v>6.5</v>
      </c>
      <c r="R521" s="14">
        <f t="shared" si="40"/>
        <v>33150</v>
      </c>
    </row>
    <row r="522" spans="1:18" x14ac:dyDescent="0.25">
      <c r="A522">
        <v>521</v>
      </c>
      <c r="B522">
        <v>7</v>
      </c>
      <c r="C522" t="str">
        <f>VLOOKUP(B522,'Cadastro Produtos'!A:E,2,2)</f>
        <v>Limonada Alfa Zero 1 L</v>
      </c>
      <c r="D522">
        <v>13</v>
      </c>
      <c r="E522" t="str">
        <f>VLOOKUP(D522,'Cadatro Clientes'!A:O,2,2)</f>
        <v>Monster Lemon</v>
      </c>
      <c r="F522" t="str">
        <f>VLOOKUP(D522,'Cadatro Clientes'!A:O,9,2)</f>
        <v>Nordeste</v>
      </c>
      <c r="G522" s="15">
        <v>41846</v>
      </c>
      <c r="H522">
        <f t="shared" si="41"/>
        <v>7</v>
      </c>
      <c r="I522">
        <f t="shared" si="42"/>
        <v>26</v>
      </c>
      <c r="J522">
        <f t="shared" si="43"/>
        <v>7</v>
      </c>
      <c r="K522">
        <f t="shared" si="44"/>
        <v>2014</v>
      </c>
      <c r="M522">
        <v>7</v>
      </c>
      <c r="N522" t="str">
        <f>VLOOKUP(M522,'Cadastro Vendedores'!A:H,2,2)</f>
        <v>Benedito</v>
      </c>
      <c r="O522" s="2"/>
      <c r="P522" s="16">
        <v>1600</v>
      </c>
      <c r="Q522" s="2">
        <f>VLOOKUP(B522,'Cadastro Produtos'!A:F,5,2)</f>
        <v>15</v>
      </c>
      <c r="R522" s="14">
        <f t="shared" si="40"/>
        <v>24000</v>
      </c>
    </row>
    <row r="523" spans="1:18" x14ac:dyDescent="0.25">
      <c r="A523">
        <v>522</v>
      </c>
      <c r="B523">
        <v>2</v>
      </c>
      <c r="C523" t="str">
        <f>VLOOKUP(B523,'Cadastro Produtos'!A:E,2,2)</f>
        <v>Limonada Beta com Açúcar 500 ml</v>
      </c>
      <c r="D523">
        <v>1</v>
      </c>
      <c r="E523" t="str">
        <f>VLOOKUP(D523,'Cadatro Clientes'!A:O,2,2)</f>
        <v>Meu Suco de Limão</v>
      </c>
      <c r="F523" t="str">
        <f>VLOOKUP(D523,'Cadatro Clientes'!A:O,9,2)</f>
        <v>Norte</v>
      </c>
      <c r="G523" s="15">
        <v>41846</v>
      </c>
      <c r="H523">
        <f t="shared" si="41"/>
        <v>7</v>
      </c>
      <c r="I523">
        <f t="shared" si="42"/>
        <v>26</v>
      </c>
      <c r="J523">
        <f t="shared" si="43"/>
        <v>7</v>
      </c>
      <c r="K523">
        <f t="shared" si="44"/>
        <v>2014</v>
      </c>
      <c r="M523">
        <v>7</v>
      </c>
      <c r="N523" t="str">
        <f>VLOOKUP(M523,'Cadastro Vendedores'!A:H,2,2)</f>
        <v>Benedito</v>
      </c>
      <c r="O523" s="2"/>
      <c r="P523" s="16">
        <v>4400</v>
      </c>
      <c r="Q523" s="2">
        <f>VLOOKUP(B523,'Cadastro Produtos'!A:F,5,2)</f>
        <v>6.5</v>
      </c>
      <c r="R523" s="14">
        <f t="shared" si="40"/>
        <v>28600</v>
      </c>
    </row>
    <row r="524" spans="1:18" x14ac:dyDescent="0.25">
      <c r="A524">
        <v>523</v>
      </c>
      <c r="B524">
        <v>6</v>
      </c>
      <c r="C524" t="str">
        <f>VLOOKUP(B524,'Cadastro Produtos'!A:E,2,2)</f>
        <v>Limonada Beta com Açúcar 1 L</v>
      </c>
      <c r="D524">
        <v>11</v>
      </c>
      <c r="E524" t="str">
        <f>VLOOKUP(D524,'Cadatro Clientes'!A:O,2,2)</f>
        <v>Red Lemon</v>
      </c>
      <c r="F524" t="str">
        <f>VLOOKUP(D524,'Cadatro Clientes'!A:O,9,2)</f>
        <v>Sul</v>
      </c>
      <c r="G524" s="15">
        <v>41847</v>
      </c>
      <c r="H524">
        <f t="shared" si="41"/>
        <v>1</v>
      </c>
      <c r="I524">
        <f t="shared" si="42"/>
        <v>27</v>
      </c>
      <c r="J524">
        <f t="shared" si="43"/>
        <v>7</v>
      </c>
      <c r="K524">
        <f t="shared" si="44"/>
        <v>2014</v>
      </c>
      <c r="M524">
        <v>4</v>
      </c>
      <c r="N524" t="str">
        <f>VLOOKUP(M524,'Cadastro Vendedores'!A:H,2,2)</f>
        <v>José</v>
      </c>
      <c r="O524" s="2"/>
      <c r="P524" s="16">
        <v>1100</v>
      </c>
      <c r="Q524" s="2">
        <f>VLOOKUP(B524,'Cadastro Produtos'!A:F,5,2)</f>
        <v>12</v>
      </c>
      <c r="R524" s="14">
        <f t="shared" si="40"/>
        <v>13200</v>
      </c>
    </row>
    <row r="525" spans="1:18" x14ac:dyDescent="0.25">
      <c r="A525">
        <v>524</v>
      </c>
      <c r="B525">
        <v>1</v>
      </c>
      <c r="C525" t="str">
        <f>VLOOKUP(B525,'Cadastro Produtos'!A:E,2,2)</f>
        <v>Limonada Alfa com Açúcar 500 ml</v>
      </c>
      <c r="D525">
        <v>17</v>
      </c>
      <c r="E525" t="str">
        <f>VLOOKUP(D525,'Cadatro Clientes'!A:O,2,2)</f>
        <v>Aracasuco</v>
      </c>
      <c r="F525" t="str">
        <f>VLOOKUP(D525,'Cadatro Clientes'!A:O,9,2)</f>
        <v>Nordeste</v>
      </c>
      <c r="G525" s="15">
        <v>41848</v>
      </c>
      <c r="H525">
        <f t="shared" si="41"/>
        <v>2</v>
      </c>
      <c r="I525">
        <f t="shared" si="42"/>
        <v>28</v>
      </c>
      <c r="J525">
        <f t="shared" si="43"/>
        <v>7</v>
      </c>
      <c r="K525">
        <f t="shared" si="44"/>
        <v>2014</v>
      </c>
      <c r="M525">
        <v>3</v>
      </c>
      <c r="N525" t="str">
        <f>VLOOKUP(M525,'Cadastro Vendedores'!A:H,2,2)</f>
        <v>Antônia</v>
      </c>
      <c r="O525" s="2"/>
      <c r="P525" s="16">
        <v>4300</v>
      </c>
      <c r="Q525" s="2">
        <f>VLOOKUP(B525,'Cadastro Produtos'!A:F,5,2)</f>
        <v>8.5</v>
      </c>
      <c r="R525" s="14">
        <f t="shared" si="40"/>
        <v>36550</v>
      </c>
    </row>
    <row r="526" spans="1:18" x14ac:dyDescent="0.25">
      <c r="A526">
        <v>525</v>
      </c>
      <c r="B526">
        <v>10</v>
      </c>
      <c r="C526" t="str">
        <f>VLOOKUP(B526,'Cadastro Produtos'!A:E,2,2)</f>
        <v>Limonada Alfa com Hortelã Zero 1 L</v>
      </c>
      <c r="D526">
        <v>19</v>
      </c>
      <c r="E526" t="str">
        <f>VLOOKUP(D526,'Cadatro Clientes'!A:O,2,2)</f>
        <v>Lima Limão</v>
      </c>
      <c r="F526" t="str">
        <f>VLOOKUP(D526,'Cadatro Clientes'!A:O,9,2)</f>
        <v>Sudeste</v>
      </c>
      <c r="G526" s="15">
        <v>41848</v>
      </c>
      <c r="H526">
        <f t="shared" si="41"/>
        <v>2</v>
      </c>
      <c r="I526">
        <f t="shared" si="42"/>
        <v>28</v>
      </c>
      <c r="J526">
        <f t="shared" si="43"/>
        <v>7</v>
      </c>
      <c r="K526">
        <f t="shared" si="44"/>
        <v>2014</v>
      </c>
      <c r="M526">
        <v>3</v>
      </c>
      <c r="N526" t="str">
        <f>VLOOKUP(M526,'Cadastro Vendedores'!A:H,2,2)</f>
        <v>Antônia</v>
      </c>
      <c r="O526" s="2"/>
      <c r="P526" s="16">
        <v>700</v>
      </c>
      <c r="Q526" s="2">
        <f>VLOOKUP(B526,'Cadastro Produtos'!A:F,5,2)</f>
        <v>21</v>
      </c>
      <c r="R526" s="14">
        <f t="shared" si="40"/>
        <v>14700</v>
      </c>
    </row>
    <row r="527" spans="1:18" x14ac:dyDescent="0.25">
      <c r="A527">
        <v>526</v>
      </c>
      <c r="B527">
        <v>3</v>
      </c>
      <c r="C527" t="str">
        <f>VLOOKUP(B527,'Cadastro Produtos'!A:E,2,2)</f>
        <v>Limonada Alfa Zero 500 ml</v>
      </c>
      <c r="D527">
        <v>11</v>
      </c>
      <c r="E527" t="str">
        <f>VLOOKUP(D527,'Cadatro Clientes'!A:O,2,2)</f>
        <v>Red Lemon</v>
      </c>
      <c r="F527" t="str">
        <f>VLOOKUP(D527,'Cadatro Clientes'!A:O,9,2)</f>
        <v>Sul</v>
      </c>
      <c r="G527" s="15">
        <v>41849</v>
      </c>
      <c r="H527">
        <f t="shared" si="41"/>
        <v>3</v>
      </c>
      <c r="I527">
        <f t="shared" si="42"/>
        <v>29</v>
      </c>
      <c r="J527">
        <f t="shared" si="43"/>
        <v>7</v>
      </c>
      <c r="K527">
        <f t="shared" si="44"/>
        <v>2014</v>
      </c>
      <c r="M527">
        <v>9</v>
      </c>
      <c r="N527" t="str">
        <f>VLOOKUP(M527,'Cadastro Vendedores'!A:H,2,2)</f>
        <v>Adriana</v>
      </c>
      <c r="O527" s="2"/>
      <c r="P527" s="16">
        <v>2300</v>
      </c>
      <c r="Q527" s="2">
        <f>VLOOKUP(B527,'Cadastro Produtos'!A:F,5,2)</f>
        <v>9</v>
      </c>
      <c r="R527" s="14">
        <f t="shared" si="40"/>
        <v>20700</v>
      </c>
    </row>
    <row r="528" spans="1:18" x14ac:dyDescent="0.25">
      <c r="A528">
        <v>527</v>
      </c>
      <c r="B528">
        <v>2</v>
      </c>
      <c r="C528" t="str">
        <f>VLOOKUP(B528,'Cadastro Produtos'!A:E,2,2)</f>
        <v>Limonada Beta com Açúcar 500 ml</v>
      </c>
      <c r="D528">
        <v>6</v>
      </c>
      <c r="E528" t="str">
        <f>VLOOKUP(D528,'Cadatro Clientes'!A:O,2,2)</f>
        <v>Lemonade</v>
      </c>
      <c r="F528" t="str">
        <f>VLOOKUP(D528,'Cadatro Clientes'!A:O,9,2)</f>
        <v>Norte</v>
      </c>
      <c r="G528" s="15">
        <v>41850</v>
      </c>
      <c r="H528">
        <f t="shared" si="41"/>
        <v>4</v>
      </c>
      <c r="I528">
        <f t="shared" si="42"/>
        <v>30</v>
      </c>
      <c r="J528">
        <f t="shared" si="43"/>
        <v>7</v>
      </c>
      <c r="K528">
        <f t="shared" si="44"/>
        <v>2014</v>
      </c>
      <c r="M528">
        <v>3</v>
      </c>
      <c r="N528" t="str">
        <f>VLOOKUP(M528,'Cadastro Vendedores'!A:H,2,2)</f>
        <v>Antônia</v>
      </c>
      <c r="O528" s="2"/>
      <c r="P528" s="16">
        <v>2400</v>
      </c>
      <c r="Q528" s="2">
        <f>VLOOKUP(B528,'Cadastro Produtos'!A:F,5,2)</f>
        <v>6.5</v>
      </c>
      <c r="R528" s="14">
        <f t="shared" si="40"/>
        <v>15600</v>
      </c>
    </row>
    <row r="529" spans="1:18" x14ac:dyDescent="0.25">
      <c r="A529">
        <v>528</v>
      </c>
      <c r="B529">
        <v>9</v>
      </c>
      <c r="C529" t="str">
        <f>VLOOKUP(B529,'Cadastro Produtos'!A:E,2,2)</f>
        <v>Limonada Alfa com Hortelã e Açúcar 1 L</v>
      </c>
      <c r="D529">
        <v>4</v>
      </c>
      <c r="E529" t="str">
        <f>VLOOKUP(D529,'Cadatro Clientes'!A:O,2,2)</f>
        <v>Limão Carioca e Cia</v>
      </c>
      <c r="F529" t="str">
        <f>VLOOKUP(D529,'Cadatro Clientes'!A:O,9,2)</f>
        <v>Sudeste</v>
      </c>
      <c r="G529" s="15">
        <v>41851</v>
      </c>
      <c r="H529">
        <f t="shared" si="41"/>
        <v>5</v>
      </c>
      <c r="I529">
        <f t="shared" si="42"/>
        <v>31</v>
      </c>
      <c r="J529">
        <f t="shared" si="43"/>
        <v>7</v>
      </c>
      <c r="K529">
        <f t="shared" si="44"/>
        <v>2014</v>
      </c>
      <c r="M529">
        <v>8</v>
      </c>
      <c r="N529" t="str">
        <f>VLOOKUP(M529,'Cadastro Vendedores'!A:H,2,2)</f>
        <v>Sérgio</v>
      </c>
      <c r="O529" s="2"/>
      <c r="P529" s="16">
        <v>1900</v>
      </c>
      <c r="Q529" s="2">
        <f>VLOOKUP(B529,'Cadastro Produtos'!A:F,5,2)</f>
        <v>17.5</v>
      </c>
      <c r="R529" s="14">
        <f t="shared" si="40"/>
        <v>33250</v>
      </c>
    </row>
    <row r="530" spans="1:18" x14ac:dyDescent="0.25">
      <c r="A530">
        <v>529</v>
      </c>
      <c r="B530">
        <v>4</v>
      </c>
      <c r="C530" t="str">
        <f>VLOOKUP(B530,'Cadastro Produtos'!A:E,2,2)</f>
        <v>Limonada Beta Zero 500 ml</v>
      </c>
      <c r="D530">
        <v>2</v>
      </c>
      <c r="E530" t="str">
        <f>VLOOKUP(D530,'Cadatro Clientes'!A:O,2,2)</f>
        <v>Limão S/A</v>
      </c>
      <c r="F530" t="str">
        <f>VLOOKUP(D530,'Cadatro Clientes'!A:O,9,2)</f>
        <v>Centro-Oeste</v>
      </c>
      <c r="G530" s="15">
        <v>41851</v>
      </c>
      <c r="H530">
        <f t="shared" si="41"/>
        <v>5</v>
      </c>
      <c r="I530">
        <f t="shared" si="42"/>
        <v>31</v>
      </c>
      <c r="J530">
        <f t="shared" si="43"/>
        <v>7</v>
      </c>
      <c r="K530">
        <f t="shared" si="44"/>
        <v>2014</v>
      </c>
      <c r="M530">
        <v>8</v>
      </c>
      <c r="N530" t="str">
        <f>VLOOKUP(M530,'Cadastro Vendedores'!A:H,2,2)</f>
        <v>Sérgio</v>
      </c>
      <c r="O530" s="2"/>
      <c r="P530" s="16">
        <v>6400</v>
      </c>
      <c r="Q530" s="2">
        <f>VLOOKUP(B530,'Cadastro Produtos'!A:F,5,2)</f>
        <v>7</v>
      </c>
      <c r="R530" s="14">
        <f t="shared" si="40"/>
        <v>44800</v>
      </c>
    </row>
    <row r="531" spans="1:18" x14ac:dyDescent="0.25">
      <c r="A531">
        <v>530</v>
      </c>
      <c r="B531">
        <v>6</v>
      </c>
      <c r="C531" t="str">
        <f>VLOOKUP(B531,'Cadastro Produtos'!A:E,2,2)</f>
        <v>Limonada Beta com Açúcar 1 L</v>
      </c>
      <c r="D531">
        <v>5</v>
      </c>
      <c r="E531" t="str">
        <f>VLOOKUP(D531,'Cadatro Clientes'!A:O,2,2)</f>
        <v>Axé com Limão</v>
      </c>
      <c r="F531" t="str">
        <f>VLOOKUP(D531,'Cadatro Clientes'!A:O,9,2)</f>
        <v>Nordeste</v>
      </c>
      <c r="G531" s="15">
        <v>41851</v>
      </c>
      <c r="H531">
        <f t="shared" si="41"/>
        <v>5</v>
      </c>
      <c r="I531">
        <f t="shared" si="42"/>
        <v>31</v>
      </c>
      <c r="J531">
        <f t="shared" si="43"/>
        <v>7</v>
      </c>
      <c r="K531">
        <f t="shared" si="44"/>
        <v>2014</v>
      </c>
      <c r="M531">
        <v>3</v>
      </c>
      <c r="N531" t="str">
        <f>VLOOKUP(M531,'Cadastro Vendedores'!A:H,2,2)</f>
        <v>Antônia</v>
      </c>
      <c r="O531" s="2"/>
      <c r="P531" s="16">
        <v>1500</v>
      </c>
      <c r="Q531" s="2">
        <f>VLOOKUP(B531,'Cadastro Produtos'!A:F,5,2)</f>
        <v>12</v>
      </c>
      <c r="R531" s="14">
        <f t="shared" si="40"/>
        <v>18000</v>
      </c>
    </row>
    <row r="532" spans="1:18" x14ac:dyDescent="0.25">
      <c r="A532">
        <v>531</v>
      </c>
      <c r="B532">
        <v>8</v>
      </c>
      <c r="C532" t="str">
        <f>VLOOKUP(B532,'Cadastro Produtos'!A:E,2,2)</f>
        <v>Limonada Beta Zero 1 L</v>
      </c>
      <c r="D532">
        <v>9</v>
      </c>
      <c r="E532" t="str">
        <f>VLOOKUP(D532,'Cadatro Clientes'!A:O,2,2)</f>
        <v>Fresh Lemon</v>
      </c>
      <c r="F532" t="str">
        <f>VLOOKUP(D532,'Cadatro Clientes'!A:O,9,2)</f>
        <v>Sudeste</v>
      </c>
      <c r="G532" s="15">
        <v>41852</v>
      </c>
      <c r="H532">
        <f t="shared" si="41"/>
        <v>6</v>
      </c>
      <c r="I532">
        <f t="shared" si="42"/>
        <v>1</v>
      </c>
      <c r="J532">
        <f t="shared" si="43"/>
        <v>8</v>
      </c>
      <c r="K532">
        <f t="shared" si="44"/>
        <v>2014</v>
      </c>
      <c r="M532">
        <v>12</v>
      </c>
      <c r="N532" t="str">
        <f>VLOOKUP(M532,'Cadastro Vendedores'!A:H,2,2)</f>
        <v>Paulo</v>
      </c>
      <c r="O532" s="2"/>
      <c r="P532" s="16">
        <v>3200</v>
      </c>
      <c r="Q532" s="2">
        <f>VLOOKUP(B532,'Cadastro Produtos'!A:F,5,2)</f>
        <v>12</v>
      </c>
      <c r="R532" s="14">
        <f t="shared" si="40"/>
        <v>38400</v>
      </c>
    </row>
    <row r="533" spans="1:18" x14ac:dyDescent="0.25">
      <c r="A533">
        <v>532</v>
      </c>
      <c r="B533">
        <v>6</v>
      </c>
      <c r="C533" t="str">
        <f>VLOOKUP(B533,'Cadastro Produtos'!A:E,2,2)</f>
        <v>Limonada Beta com Açúcar 1 L</v>
      </c>
      <c r="D533">
        <v>2</v>
      </c>
      <c r="E533" t="str">
        <f>VLOOKUP(D533,'Cadatro Clientes'!A:O,2,2)</f>
        <v>Limão S/A</v>
      </c>
      <c r="F533" t="str">
        <f>VLOOKUP(D533,'Cadatro Clientes'!A:O,9,2)</f>
        <v>Centro-Oeste</v>
      </c>
      <c r="G533" s="15">
        <v>41852</v>
      </c>
      <c r="H533">
        <f t="shared" si="41"/>
        <v>6</v>
      </c>
      <c r="I533">
        <f t="shared" si="42"/>
        <v>1</v>
      </c>
      <c r="J533">
        <f t="shared" si="43"/>
        <v>8</v>
      </c>
      <c r="K533">
        <f t="shared" si="44"/>
        <v>2014</v>
      </c>
      <c r="M533">
        <v>6</v>
      </c>
      <c r="N533" t="str">
        <f>VLOOKUP(M533,'Cadastro Vendedores'!A:H,2,2)</f>
        <v>Antônia</v>
      </c>
      <c r="O533" s="2"/>
      <c r="P533" s="16">
        <v>900</v>
      </c>
      <c r="Q533" s="2">
        <f>VLOOKUP(B533,'Cadastro Produtos'!A:F,5,2)</f>
        <v>12</v>
      </c>
      <c r="R533" s="14">
        <f t="shared" si="40"/>
        <v>10800</v>
      </c>
    </row>
    <row r="534" spans="1:18" x14ac:dyDescent="0.25">
      <c r="A534">
        <v>533</v>
      </c>
      <c r="B534">
        <v>9</v>
      </c>
      <c r="C534" t="str">
        <f>VLOOKUP(B534,'Cadastro Produtos'!A:E,2,2)</f>
        <v>Limonada Alfa com Hortelã e Açúcar 1 L</v>
      </c>
      <c r="D534">
        <v>5</v>
      </c>
      <c r="E534" t="str">
        <f>VLOOKUP(D534,'Cadatro Clientes'!A:O,2,2)</f>
        <v>Axé com Limão</v>
      </c>
      <c r="F534" t="str">
        <f>VLOOKUP(D534,'Cadatro Clientes'!A:O,9,2)</f>
        <v>Nordeste</v>
      </c>
      <c r="G534" s="15">
        <v>41853</v>
      </c>
      <c r="H534">
        <f t="shared" si="41"/>
        <v>7</v>
      </c>
      <c r="I534">
        <f t="shared" si="42"/>
        <v>2</v>
      </c>
      <c r="J534">
        <f t="shared" si="43"/>
        <v>8</v>
      </c>
      <c r="K534">
        <f t="shared" si="44"/>
        <v>2014</v>
      </c>
      <c r="M534">
        <v>4</v>
      </c>
      <c r="N534" t="str">
        <f>VLOOKUP(M534,'Cadastro Vendedores'!A:H,2,2)</f>
        <v>José</v>
      </c>
      <c r="O534" s="2"/>
      <c r="P534" s="16">
        <v>2600</v>
      </c>
      <c r="Q534" s="2">
        <f>VLOOKUP(B534,'Cadastro Produtos'!A:F,5,2)</f>
        <v>17.5</v>
      </c>
      <c r="R534" s="14">
        <f t="shared" si="40"/>
        <v>45500</v>
      </c>
    </row>
    <row r="535" spans="1:18" x14ac:dyDescent="0.25">
      <c r="A535">
        <v>534</v>
      </c>
      <c r="B535">
        <v>4</v>
      </c>
      <c r="C535" t="str">
        <f>VLOOKUP(B535,'Cadastro Produtos'!A:E,2,2)</f>
        <v>Limonada Beta Zero 500 ml</v>
      </c>
      <c r="D535">
        <v>17</v>
      </c>
      <c r="E535" t="str">
        <f>VLOOKUP(D535,'Cadatro Clientes'!A:O,2,2)</f>
        <v>Aracasuco</v>
      </c>
      <c r="F535" t="str">
        <f>VLOOKUP(D535,'Cadatro Clientes'!A:O,9,2)</f>
        <v>Nordeste</v>
      </c>
      <c r="G535" s="15">
        <v>41853</v>
      </c>
      <c r="H535">
        <f t="shared" si="41"/>
        <v>7</v>
      </c>
      <c r="I535">
        <f t="shared" si="42"/>
        <v>2</v>
      </c>
      <c r="J535">
        <f t="shared" si="43"/>
        <v>8</v>
      </c>
      <c r="K535">
        <f t="shared" si="44"/>
        <v>2014</v>
      </c>
      <c r="M535">
        <v>4</v>
      </c>
      <c r="N535" t="str">
        <f>VLOOKUP(M535,'Cadastro Vendedores'!A:H,2,2)</f>
        <v>José</v>
      </c>
      <c r="O535" s="2"/>
      <c r="P535" s="16">
        <v>3900</v>
      </c>
      <c r="Q535" s="2">
        <f>VLOOKUP(B535,'Cadastro Produtos'!A:F,5,2)</f>
        <v>7</v>
      </c>
      <c r="R535" s="14">
        <f t="shared" si="40"/>
        <v>27300</v>
      </c>
    </row>
    <row r="536" spans="1:18" x14ac:dyDescent="0.25">
      <c r="A536">
        <v>535</v>
      </c>
      <c r="B536">
        <v>3</v>
      </c>
      <c r="C536" t="str">
        <f>VLOOKUP(B536,'Cadastro Produtos'!A:E,2,2)</f>
        <v>Limonada Alfa Zero 500 ml</v>
      </c>
      <c r="D536">
        <v>16</v>
      </c>
      <c r="E536" t="str">
        <f>VLOOKUP(D536,'Cadatro Clientes'!A:O,2,2)</f>
        <v>Norte Suco</v>
      </c>
      <c r="F536" t="str">
        <f>VLOOKUP(D536,'Cadatro Clientes'!A:O,9,2)</f>
        <v>Nordeste</v>
      </c>
      <c r="G536" s="15">
        <v>41853</v>
      </c>
      <c r="H536">
        <f t="shared" si="41"/>
        <v>7</v>
      </c>
      <c r="I536">
        <f t="shared" si="42"/>
        <v>2</v>
      </c>
      <c r="J536">
        <f t="shared" si="43"/>
        <v>8</v>
      </c>
      <c r="K536">
        <f t="shared" si="44"/>
        <v>2014</v>
      </c>
      <c r="M536">
        <v>2</v>
      </c>
      <c r="N536" t="str">
        <f>VLOOKUP(M536,'Cadastro Vendedores'!A:H,2,2)</f>
        <v>Luis</v>
      </c>
      <c r="O536" s="2"/>
      <c r="P536" s="16">
        <v>3600</v>
      </c>
      <c r="Q536" s="2">
        <f>VLOOKUP(B536,'Cadastro Produtos'!A:F,5,2)</f>
        <v>9</v>
      </c>
      <c r="R536" s="14">
        <f t="shared" si="40"/>
        <v>32400</v>
      </c>
    </row>
    <row r="537" spans="1:18" x14ac:dyDescent="0.25">
      <c r="A537">
        <v>536</v>
      </c>
      <c r="B537">
        <v>10</v>
      </c>
      <c r="C537" t="str">
        <f>VLOOKUP(B537,'Cadastro Produtos'!A:E,2,2)</f>
        <v>Limonada Alfa com Hortelã Zero 1 L</v>
      </c>
      <c r="D537">
        <v>9</v>
      </c>
      <c r="E537" t="str">
        <f>VLOOKUP(D537,'Cadatro Clientes'!A:O,2,2)</f>
        <v>Fresh Lemon</v>
      </c>
      <c r="F537" t="str">
        <f>VLOOKUP(D537,'Cadatro Clientes'!A:O,9,2)</f>
        <v>Sudeste</v>
      </c>
      <c r="G537" s="15">
        <v>41853</v>
      </c>
      <c r="H537">
        <f t="shared" si="41"/>
        <v>7</v>
      </c>
      <c r="I537">
        <f t="shared" si="42"/>
        <v>2</v>
      </c>
      <c r="J537">
        <f t="shared" si="43"/>
        <v>8</v>
      </c>
      <c r="K537">
        <f t="shared" si="44"/>
        <v>2014</v>
      </c>
      <c r="M537">
        <v>3</v>
      </c>
      <c r="N537" t="str">
        <f>VLOOKUP(M537,'Cadastro Vendedores'!A:H,2,2)</f>
        <v>Antônia</v>
      </c>
      <c r="O537" s="2"/>
      <c r="P537" s="16">
        <v>1700</v>
      </c>
      <c r="Q537" s="2">
        <f>VLOOKUP(B537,'Cadastro Produtos'!A:F,5,2)</f>
        <v>21</v>
      </c>
      <c r="R537" s="14">
        <f t="shared" si="40"/>
        <v>35700</v>
      </c>
    </row>
    <row r="538" spans="1:18" x14ac:dyDescent="0.25">
      <c r="A538">
        <v>537</v>
      </c>
      <c r="B538">
        <v>8</v>
      </c>
      <c r="C538" t="str">
        <f>VLOOKUP(B538,'Cadastro Produtos'!A:E,2,2)</f>
        <v>Limonada Beta Zero 1 L</v>
      </c>
      <c r="D538">
        <v>13</v>
      </c>
      <c r="E538" t="str">
        <f>VLOOKUP(D538,'Cadatro Clientes'!A:O,2,2)</f>
        <v>Monster Lemon</v>
      </c>
      <c r="F538" t="str">
        <f>VLOOKUP(D538,'Cadatro Clientes'!A:O,9,2)</f>
        <v>Nordeste</v>
      </c>
      <c r="G538" s="15">
        <v>41853</v>
      </c>
      <c r="H538">
        <f t="shared" si="41"/>
        <v>7</v>
      </c>
      <c r="I538">
        <f t="shared" si="42"/>
        <v>2</v>
      </c>
      <c r="J538">
        <f t="shared" si="43"/>
        <v>8</v>
      </c>
      <c r="K538">
        <f t="shared" si="44"/>
        <v>2014</v>
      </c>
      <c r="M538">
        <v>7</v>
      </c>
      <c r="N538" t="str">
        <f>VLOOKUP(M538,'Cadastro Vendedores'!A:H,2,2)</f>
        <v>Benedito</v>
      </c>
      <c r="O538" s="2"/>
      <c r="P538" s="16">
        <v>1600</v>
      </c>
      <c r="Q538" s="2">
        <f>VLOOKUP(B538,'Cadastro Produtos'!A:F,5,2)</f>
        <v>12</v>
      </c>
      <c r="R538" s="14">
        <f t="shared" si="40"/>
        <v>19200</v>
      </c>
    </row>
    <row r="539" spans="1:18" x14ac:dyDescent="0.25">
      <c r="A539">
        <v>538</v>
      </c>
      <c r="B539">
        <v>4</v>
      </c>
      <c r="C539" t="str">
        <f>VLOOKUP(B539,'Cadastro Produtos'!A:E,2,2)</f>
        <v>Limonada Beta Zero 500 ml</v>
      </c>
      <c r="D539">
        <v>5</v>
      </c>
      <c r="E539" t="str">
        <f>VLOOKUP(D539,'Cadatro Clientes'!A:O,2,2)</f>
        <v>Axé com Limão</v>
      </c>
      <c r="F539" t="str">
        <f>VLOOKUP(D539,'Cadatro Clientes'!A:O,9,2)</f>
        <v>Nordeste</v>
      </c>
      <c r="G539" s="15">
        <v>41853</v>
      </c>
      <c r="H539">
        <f t="shared" si="41"/>
        <v>7</v>
      </c>
      <c r="I539">
        <f t="shared" si="42"/>
        <v>2</v>
      </c>
      <c r="J539">
        <f t="shared" si="43"/>
        <v>8</v>
      </c>
      <c r="K539">
        <f t="shared" si="44"/>
        <v>2014</v>
      </c>
      <c r="M539">
        <v>2</v>
      </c>
      <c r="N539" t="str">
        <f>VLOOKUP(M539,'Cadastro Vendedores'!A:H,2,2)</f>
        <v>Luis</v>
      </c>
      <c r="O539" s="2"/>
      <c r="P539" s="16">
        <v>3100</v>
      </c>
      <c r="Q539" s="2">
        <f>VLOOKUP(B539,'Cadastro Produtos'!A:F,5,2)</f>
        <v>7</v>
      </c>
      <c r="R539" s="14">
        <f t="shared" si="40"/>
        <v>21700</v>
      </c>
    </row>
    <row r="540" spans="1:18" x14ac:dyDescent="0.25">
      <c r="A540">
        <v>539</v>
      </c>
      <c r="B540">
        <v>4</v>
      </c>
      <c r="C540" t="str">
        <f>VLOOKUP(B540,'Cadastro Produtos'!A:E,2,2)</f>
        <v>Limonada Beta Zero 500 ml</v>
      </c>
      <c r="D540">
        <v>8</v>
      </c>
      <c r="E540" t="str">
        <f>VLOOKUP(D540,'Cadatro Clientes'!A:O,2,2)</f>
        <v>Refresko</v>
      </c>
      <c r="F540" t="str">
        <f>VLOOKUP(D540,'Cadatro Clientes'!A:O,9,2)</f>
        <v>Sul</v>
      </c>
      <c r="G540" s="15">
        <v>41855</v>
      </c>
      <c r="H540">
        <f t="shared" si="41"/>
        <v>2</v>
      </c>
      <c r="I540">
        <f t="shared" si="42"/>
        <v>4</v>
      </c>
      <c r="J540">
        <f t="shared" si="43"/>
        <v>8</v>
      </c>
      <c r="K540">
        <f t="shared" si="44"/>
        <v>2014</v>
      </c>
      <c r="M540">
        <v>9</v>
      </c>
      <c r="N540" t="str">
        <f>VLOOKUP(M540,'Cadastro Vendedores'!A:H,2,2)</f>
        <v>Adriana</v>
      </c>
      <c r="O540" s="2"/>
      <c r="P540" s="16">
        <v>5200</v>
      </c>
      <c r="Q540" s="2">
        <f>VLOOKUP(B540,'Cadastro Produtos'!A:F,5,2)</f>
        <v>7</v>
      </c>
      <c r="R540" s="14">
        <f t="shared" si="40"/>
        <v>36400</v>
      </c>
    </row>
    <row r="541" spans="1:18" x14ac:dyDescent="0.25">
      <c r="A541">
        <v>540</v>
      </c>
      <c r="B541">
        <v>8</v>
      </c>
      <c r="C541" t="str">
        <f>VLOOKUP(B541,'Cadastro Produtos'!A:E,2,2)</f>
        <v>Limonada Beta Zero 1 L</v>
      </c>
      <c r="D541">
        <v>20</v>
      </c>
      <c r="E541" t="str">
        <f>VLOOKUP(D541,'Cadatro Clientes'!A:O,2,2)</f>
        <v>Brasil Saúde</v>
      </c>
      <c r="F541" t="str">
        <f>VLOOKUP(D541,'Cadatro Clientes'!A:O,9,2)</f>
        <v>Nordeste</v>
      </c>
      <c r="G541" s="15">
        <v>41855</v>
      </c>
      <c r="H541">
        <f t="shared" si="41"/>
        <v>2</v>
      </c>
      <c r="I541">
        <f t="shared" si="42"/>
        <v>4</v>
      </c>
      <c r="J541">
        <f t="shared" si="43"/>
        <v>8</v>
      </c>
      <c r="K541">
        <f t="shared" si="44"/>
        <v>2014</v>
      </c>
      <c r="M541">
        <v>7</v>
      </c>
      <c r="N541" t="str">
        <f>VLOOKUP(M541,'Cadastro Vendedores'!A:H,2,2)</f>
        <v>Benedito</v>
      </c>
      <c r="O541" s="2"/>
      <c r="P541" s="16">
        <v>1100</v>
      </c>
      <c r="Q541" s="2">
        <f>VLOOKUP(B541,'Cadastro Produtos'!A:F,5,2)</f>
        <v>12</v>
      </c>
      <c r="R541" s="14">
        <f t="shared" si="40"/>
        <v>13200</v>
      </c>
    </row>
    <row r="542" spans="1:18" x14ac:dyDescent="0.25">
      <c r="A542">
        <v>541</v>
      </c>
      <c r="B542">
        <v>5</v>
      </c>
      <c r="C542" t="str">
        <f>VLOOKUP(B542,'Cadastro Produtos'!A:E,2,2)</f>
        <v>Limonada Alfa com Açúcar 1 L</v>
      </c>
      <c r="D542">
        <v>4</v>
      </c>
      <c r="E542" t="str">
        <f>VLOOKUP(D542,'Cadatro Clientes'!A:O,2,2)</f>
        <v>Limão Carioca e Cia</v>
      </c>
      <c r="F542" t="str">
        <f>VLOOKUP(D542,'Cadatro Clientes'!A:O,9,2)</f>
        <v>Sudeste</v>
      </c>
      <c r="G542" s="15">
        <v>41856</v>
      </c>
      <c r="H542">
        <f t="shared" si="41"/>
        <v>3</v>
      </c>
      <c r="I542">
        <f t="shared" si="42"/>
        <v>5</v>
      </c>
      <c r="J542">
        <f t="shared" si="43"/>
        <v>8</v>
      </c>
      <c r="K542">
        <f t="shared" si="44"/>
        <v>2014</v>
      </c>
      <c r="M542">
        <v>4</v>
      </c>
      <c r="N542" t="str">
        <f>VLOOKUP(M542,'Cadastro Vendedores'!A:H,2,2)</f>
        <v>José</v>
      </c>
      <c r="O542" s="2"/>
      <c r="P542" s="16">
        <v>1000</v>
      </c>
      <c r="Q542" s="2">
        <f>VLOOKUP(B542,'Cadastro Produtos'!A:F,5,2)</f>
        <v>15</v>
      </c>
      <c r="R542" s="14">
        <f t="shared" si="40"/>
        <v>15000</v>
      </c>
    </row>
    <row r="543" spans="1:18" x14ac:dyDescent="0.25">
      <c r="A543">
        <v>542</v>
      </c>
      <c r="B543">
        <v>10</v>
      </c>
      <c r="C543" t="str">
        <f>VLOOKUP(B543,'Cadastro Produtos'!A:E,2,2)</f>
        <v>Limonada Alfa com Hortelã Zero 1 L</v>
      </c>
      <c r="D543">
        <v>13</v>
      </c>
      <c r="E543" t="str">
        <f>VLOOKUP(D543,'Cadatro Clientes'!A:O,2,2)</f>
        <v>Monster Lemon</v>
      </c>
      <c r="F543" t="str">
        <f>VLOOKUP(D543,'Cadatro Clientes'!A:O,9,2)</f>
        <v>Nordeste</v>
      </c>
      <c r="G543" s="15">
        <v>41856</v>
      </c>
      <c r="H543">
        <f t="shared" si="41"/>
        <v>3</v>
      </c>
      <c r="I543">
        <f t="shared" si="42"/>
        <v>5</v>
      </c>
      <c r="J543">
        <f t="shared" si="43"/>
        <v>8</v>
      </c>
      <c r="K543">
        <f t="shared" si="44"/>
        <v>2014</v>
      </c>
      <c r="M543">
        <v>8</v>
      </c>
      <c r="N543" t="str">
        <f>VLOOKUP(M543,'Cadastro Vendedores'!A:H,2,2)</f>
        <v>Sérgio</v>
      </c>
      <c r="O543" s="2"/>
      <c r="P543" s="16">
        <v>1600</v>
      </c>
      <c r="Q543" s="2">
        <f>VLOOKUP(B543,'Cadastro Produtos'!A:F,5,2)</f>
        <v>21</v>
      </c>
      <c r="R543" s="14">
        <f t="shared" si="40"/>
        <v>33600</v>
      </c>
    </row>
    <row r="544" spans="1:18" x14ac:dyDescent="0.25">
      <c r="A544">
        <v>543</v>
      </c>
      <c r="B544">
        <v>1</v>
      </c>
      <c r="C544" t="str">
        <f>VLOOKUP(B544,'Cadastro Produtos'!A:E,2,2)</f>
        <v>Limonada Alfa com Açúcar 500 ml</v>
      </c>
      <c r="D544">
        <v>2</v>
      </c>
      <c r="E544" t="str">
        <f>VLOOKUP(D544,'Cadatro Clientes'!A:O,2,2)</f>
        <v>Limão S/A</v>
      </c>
      <c r="F544" t="str">
        <f>VLOOKUP(D544,'Cadatro Clientes'!A:O,9,2)</f>
        <v>Centro-Oeste</v>
      </c>
      <c r="G544" s="15">
        <v>41856</v>
      </c>
      <c r="H544">
        <f t="shared" si="41"/>
        <v>3</v>
      </c>
      <c r="I544">
        <f t="shared" si="42"/>
        <v>5</v>
      </c>
      <c r="J544">
        <f t="shared" si="43"/>
        <v>8</v>
      </c>
      <c r="K544">
        <f t="shared" si="44"/>
        <v>2014</v>
      </c>
      <c r="M544">
        <v>3</v>
      </c>
      <c r="N544" t="str">
        <f>VLOOKUP(M544,'Cadastro Vendedores'!A:H,2,2)</f>
        <v>Antônia</v>
      </c>
      <c r="O544" s="2"/>
      <c r="P544" s="16">
        <v>5100</v>
      </c>
      <c r="Q544" s="2">
        <f>VLOOKUP(B544,'Cadastro Produtos'!A:F,5,2)</f>
        <v>8.5</v>
      </c>
      <c r="R544" s="14">
        <f t="shared" si="40"/>
        <v>43350</v>
      </c>
    </row>
    <row r="545" spans="1:18" x14ac:dyDescent="0.25">
      <c r="A545">
        <v>544</v>
      </c>
      <c r="B545">
        <v>2</v>
      </c>
      <c r="C545" t="str">
        <f>VLOOKUP(B545,'Cadastro Produtos'!A:E,2,2)</f>
        <v>Limonada Beta com Açúcar 500 ml</v>
      </c>
      <c r="D545">
        <v>17</v>
      </c>
      <c r="E545" t="str">
        <f>VLOOKUP(D545,'Cadatro Clientes'!A:O,2,2)</f>
        <v>Aracasuco</v>
      </c>
      <c r="F545" t="str">
        <f>VLOOKUP(D545,'Cadatro Clientes'!A:O,9,2)</f>
        <v>Nordeste</v>
      </c>
      <c r="G545" s="15">
        <v>41856</v>
      </c>
      <c r="H545">
        <f t="shared" si="41"/>
        <v>3</v>
      </c>
      <c r="I545">
        <f t="shared" si="42"/>
        <v>5</v>
      </c>
      <c r="J545">
        <f t="shared" si="43"/>
        <v>8</v>
      </c>
      <c r="K545">
        <f t="shared" si="44"/>
        <v>2014</v>
      </c>
      <c r="M545">
        <v>3</v>
      </c>
      <c r="N545" t="str">
        <f>VLOOKUP(M545,'Cadastro Vendedores'!A:H,2,2)</f>
        <v>Antônia</v>
      </c>
      <c r="O545" s="2"/>
      <c r="P545" s="16">
        <v>2200</v>
      </c>
      <c r="Q545" s="2">
        <f>VLOOKUP(B545,'Cadastro Produtos'!A:F,5,2)</f>
        <v>6.5</v>
      </c>
      <c r="R545" s="14">
        <f t="shared" si="40"/>
        <v>14300</v>
      </c>
    </row>
    <row r="546" spans="1:18" x14ac:dyDescent="0.25">
      <c r="A546">
        <v>545</v>
      </c>
      <c r="B546">
        <v>8</v>
      </c>
      <c r="C546" t="str">
        <f>VLOOKUP(B546,'Cadastro Produtos'!A:E,2,2)</f>
        <v>Limonada Beta Zero 1 L</v>
      </c>
      <c r="D546">
        <v>13</v>
      </c>
      <c r="E546" t="str">
        <f>VLOOKUP(D546,'Cadatro Clientes'!A:O,2,2)</f>
        <v>Monster Lemon</v>
      </c>
      <c r="F546" t="str">
        <f>VLOOKUP(D546,'Cadatro Clientes'!A:O,9,2)</f>
        <v>Nordeste</v>
      </c>
      <c r="G546" s="15">
        <v>41856</v>
      </c>
      <c r="H546">
        <f t="shared" si="41"/>
        <v>3</v>
      </c>
      <c r="I546">
        <f t="shared" si="42"/>
        <v>5</v>
      </c>
      <c r="J546">
        <f t="shared" si="43"/>
        <v>8</v>
      </c>
      <c r="K546">
        <f t="shared" si="44"/>
        <v>2014</v>
      </c>
      <c r="M546">
        <v>3</v>
      </c>
      <c r="N546" t="str">
        <f>VLOOKUP(M546,'Cadastro Vendedores'!A:H,2,2)</f>
        <v>Antônia</v>
      </c>
      <c r="O546" s="2"/>
      <c r="P546" s="16">
        <v>3800</v>
      </c>
      <c r="Q546" s="2">
        <f>VLOOKUP(B546,'Cadastro Produtos'!A:F,5,2)</f>
        <v>12</v>
      </c>
      <c r="R546" s="14">
        <f t="shared" si="40"/>
        <v>45600</v>
      </c>
    </row>
    <row r="547" spans="1:18" x14ac:dyDescent="0.25">
      <c r="A547">
        <v>546</v>
      </c>
      <c r="B547">
        <v>10</v>
      </c>
      <c r="C547" t="str">
        <f>VLOOKUP(B547,'Cadastro Produtos'!A:E,2,2)</f>
        <v>Limonada Alfa com Hortelã Zero 1 L</v>
      </c>
      <c r="D547">
        <v>18</v>
      </c>
      <c r="E547" t="str">
        <f>VLOOKUP(D547,'Cadatro Clientes'!A:O,2,2)</f>
        <v>Rio Branco Limonada Ltda</v>
      </c>
      <c r="F547" t="str">
        <f>VLOOKUP(D547,'Cadatro Clientes'!A:O,9,2)</f>
        <v>Norte</v>
      </c>
      <c r="G547" s="15">
        <v>41856</v>
      </c>
      <c r="H547">
        <f t="shared" si="41"/>
        <v>3</v>
      </c>
      <c r="I547">
        <f t="shared" si="42"/>
        <v>5</v>
      </c>
      <c r="J547">
        <f t="shared" si="43"/>
        <v>8</v>
      </c>
      <c r="K547">
        <f t="shared" si="44"/>
        <v>2014</v>
      </c>
      <c r="M547">
        <v>12</v>
      </c>
      <c r="N547" t="str">
        <f>VLOOKUP(M547,'Cadastro Vendedores'!A:H,2,2)</f>
        <v>Paulo</v>
      </c>
      <c r="O547" s="2"/>
      <c r="P547" s="16">
        <v>1700</v>
      </c>
      <c r="Q547" s="2">
        <f>VLOOKUP(B547,'Cadastro Produtos'!A:F,5,2)</f>
        <v>21</v>
      </c>
      <c r="R547" s="14">
        <f t="shared" si="40"/>
        <v>35700</v>
      </c>
    </row>
    <row r="548" spans="1:18" x14ac:dyDescent="0.25">
      <c r="A548">
        <v>547</v>
      </c>
      <c r="B548">
        <v>2</v>
      </c>
      <c r="C548" t="str">
        <f>VLOOKUP(B548,'Cadastro Produtos'!A:E,2,2)</f>
        <v>Limonada Beta com Açúcar 500 ml</v>
      </c>
      <c r="D548">
        <v>11</v>
      </c>
      <c r="E548" t="str">
        <f>VLOOKUP(D548,'Cadatro Clientes'!A:O,2,2)</f>
        <v>Red Lemon</v>
      </c>
      <c r="F548" t="str">
        <f>VLOOKUP(D548,'Cadatro Clientes'!A:O,9,2)</f>
        <v>Sul</v>
      </c>
      <c r="G548" s="15">
        <v>41856</v>
      </c>
      <c r="H548">
        <f t="shared" si="41"/>
        <v>3</v>
      </c>
      <c r="I548">
        <f t="shared" si="42"/>
        <v>5</v>
      </c>
      <c r="J548">
        <f t="shared" si="43"/>
        <v>8</v>
      </c>
      <c r="K548">
        <f t="shared" si="44"/>
        <v>2014</v>
      </c>
      <c r="M548">
        <v>9</v>
      </c>
      <c r="N548" t="str">
        <f>VLOOKUP(M548,'Cadastro Vendedores'!A:H,2,2)</f>
        <v>Adriana</v>
      </c>
      <c r="O548" s="2"/>
      <c r="P548" s="16">
        <v>4300</v>
      </c>
      <c r="Q548" s="2">
        <f>VLOOKUP(B548,'Cadastro Produtos'!A:F,5,2)</f>
        <v>6.5</v>
      </c>
      <c r="R548" s="14">
        <f t="shared" si="40"/>
        <v>27950</v>
      </c>
    </row>
    <row r="549" spans="1:18" x14ac:dyDescent="0.25">
      <c r="A549">
        <v>548</v>
      </c>
      <c r="B549">
        <v>4</v>
      </c>
      <c r="C549" t="str">
        <f>VLOOKUP(B549,'Cadastro Produtos'!A:E,2,2)</f>
        <v>Limonada Beta Zero 500 ml</v>
      </c>
      <c r="D549">
        <v>7</v>
      </c>
      <c r="E549" t="str">
        <f>VLOOKUP(D549,'Cadatro Clientes'!A:O,2,2)</f>
        <v>Limo</v>
      </c>
      <c r="F549" t="str">
        <f>VLOOKUP(D549,'Cadatro Clientes'!A:O,9,2)</f>
        <v>Centro-Oeste</v>
      </c>
      <c r="G549" s="15">
        <v>41857</v>
      </c>
      <c r="H549">
        <f t="shared" si="41"/>
        <v>4</v>
      </c>
      <c r="I549">
        <f t="shared" si="42"/>
        <v>6</v>
      </c>
      <c r="J549">
        <f t="shared" si="43"/>
        <v>8</v>
      </c>
      <c r="K549">
        <f t="shared" si="44"/>
        <v>2014</v>
      </c>
      <c r="M549">
        <v>3</v>
      </c>
      <c r="N549" t="str">
        <f>VLOOKUP(M549,'Cadastro Vendedores'!A:H,2,2)</f>
        <v>Antônia</v>
      </c>
      <c r="O549" s="2"/>
      <c r="P549" s="16">
        <v>1700</v>
      </c>
      <c r="Q549" s="2">
        <f>VLOOKUP(B549,'Cadastro Produtos'!A:F,5,2)</f>
        <v>7</v>
      </c>
      <c r="R549" s="14">
        <f t="shared" si="40"/>
        <v>11900</v>
      </c>
    </row>
    <row r="550" spans="1:18" x14ac:dyDescent="0.25">
      <c r="A550">
        <v>549</v>
      </c>
      <c r="B550">
        <v>9</v>
      </c>
      <c r="C550" t="str">
        <f>VLOOKUP(B550,'Cadastro Produtos'!A:E,2,2)</f>
        <v>Limonada Alfa com Hortelã e Açúcar 1 L</v>
      </c>
      <c r="D550">
        <v>2</v>
      </c>
      <c r="E550" t="str">
        <f>VLOOKUP(D550,'Cadatro Clientes'!A:O,2,2)</f>
        <v>Limão S/A</v>
      </c>
      <c r="F550" t="str">
        <f>VLOOKUP(D550,'Cadatro Clientes'!A:O,9,2)</f>
        <v>Centro-Oeste</v>
      </c>
      <c r="G550" s="15">
        <v>41857</v>
      </c>
      <c r="H550">
        <f t="shared" si="41"/>
        <v>4</v>
      </c>
      <c r="I550">
        <f t="shared" si="42"/>
        <v>6</v>
      </c>
      <c r="J550">
        <f t="shared" si="43"/>
        <v>8</v>
      </c>
      <c r="K550">
        <f t="shared" si="44"/>
        <v>2014</v>
      </c>
      <c r="M550">
        <v>7</v>
      </c>
      <c r="N550" t="str">
        <f>VLOOKUP(M550,'Cadastro Vendedores'!A:H,2,2)</f>
        <v>Benedito</v>
      </c>
      <c r="O550" s="2"/>
      <c r="P550" s="16">
        <v>1700</v>
      </c>
      <c r="Q550" s="2">
        <f>VLOOKUP(B550,'Cadastro Produtos'!A:F,5,2)</f>
        <v>17.5</v>
      </c>
      <c r="R550" s="14">
        <f t="shared" si="40"/>
        <v>29750</v>
      </c>
    </row>
    <row r="551" spans="1:18" x14ac:dyDescent="0.25">
      <c r="A551">
        <v>550</v>
      </c>
      <c r="B551">
        <v>2</v>
      </c>
      <c r="C551" t="str">
        <f>VLOOKUP(B551,'Cadastro Produtos'!A:E,2,2)</f>
        <v>Limonada Beta com Açúcar 500 ml</v>
      </c>
      <c r="D551">
        <v>17</v>
      </c>
      <c r="E551" t="str">
        <f>VLOOKUP(D551,'Cadatro Clientes'!A:O,2,2)</f>
        <v>Aracasuco</v>
      </c>
      <c r="F551" t="str">
        <f>VLOOKUP(D551,'Cadatro Clientes'!A:O,9,2)</f>
        <v>Nordeste</v>
      </c>
      <c r="G551" s="15">
        <v>41857</v>
      </c>
      <c r="H551">
        <f t="shared" si="41"/>
        <v>4</v>
      </c>
      <c r="I551">
        <f t="shared" si="42"/>
        <v>6</v>
      </c>
      <c r="J551">
        <f t="shared" si="43"/>
        <v>8</v>
      </c>
      <c r="K551">
        <f t="shared" si="44"/>
        <v>2014</v>
      </c>
      <c r="M551">
        <v>6</v>
      </c>
      <c r="N551" t="str">
        <f>VLOOKUP(M551,'Cadastro Vendedores'!A:H,2,2)</f>
        <v>Antônia</v>
      </c>
      <c r="O551" s="2"/>
      <c r="P551" s="16">
        <v>2600</v>
      </c>
      <c r="Q551" s="2">
        <f>VLOOKUP(B551,'Cadastro Produtos'!A:F,5,2)</f>
        <v>6.5</v>
      </c>
      <c r="R551" s="14">
        <f t="shared" si="40"/>
        <v>16900</v>
      </c>
    </row>
    <row r="552" spans="1:18" x14ac:dyDescent="0.25">
      <c r="A552">
        <v>551</v>
      </c>
      <c r="B552">
        <v>4</v>
      </c>
      <c r="C552" t="str">
        <f>VLOOKUP(B552,'Cadastro Produtos'!A:E,2,2)</f>
        <v>Limonada Beta Zero 500 ml</v>
      </c>
      <c r="D552">
        <v>6</v>
      </c>
      <c r="E552" t="str">
        <f>VLOOKUP(D552,'Cadatro Clientes'!A:O,2,2)</f>
        <v>Lemonade</v>
      </c>
      <c r="F552" t="str">
        <f>VLOOKUP(D552,'Cadatro Clientes'!A:O,9,2)</f>
        <v>Norte</v>
      </c>
      <c r="G552" s="15">
        <v>41857</v>
      </c>
      <c r="H552">
        <f t="shared" si="41"/>
        <v>4</v>
      </c>
      <c r="I552">
        <f t="shared" si="42"/>
        <v>6</v>
      </c>
      <c r="J552">
        <f t="shared" si="43"/>
        <v>8</v>
      </c>
      <c r="K552">
        <f t="shared" si="44"/>
        <v>2014</v>
      </c>
      <c r="M552">
        <v>8</v>
      </c>
      <c r="N552" t="str">
        <f>VLOOKUP(M552,'Cadastro Vendedores'!A:H,2,2)</f>
        <v>Sérgio</v>
      </c>
      <c r="O552" s="2"/>
      <c r="P552" s="16">
        <v>4300</v>
      </c>
      <c r="Q552" s="2">
        <f>VLOOKUP(B552,'Cadastro Produtos'!A:F,5,2)</f>
        <v>7</v>
      </c>
      <c r="R552" s="14">
        <f t="shared" si="40"/>
        <v>30100</v>
      </c>
    </row>
    <row r="553" spans="1:18" x14ac:dyDescent="0.25">
      <c r="A553">
        <v>552</v>
      </c>
      <c r="B553">
        <v>3</v>
      </c>
      <c r="C553" t="str">
        <f>VLOOKUP(B553,'Cadastro Produtos'!A:E,2,2)</f>
        <v>Limonada Alfa Zero 500 ml</v>
      </c>
      <c r="D553">
        <v>16</v>
      </c>
      <c r="E553" t="str">
        <f>VLOOKUP(D553,'Cadatro Clientes'!A:O,2,2)</f>
        <v>Norte Suco</v>
      </c>
      <c r="F553" t="str">
        <f>VLOOKUP(D553,'Cadatro Clientes'!A:O,9,2)</f>
        <v>Nordeste</v>
      </c>
      <c r="G553" s="15">
        <v>41857</v>
      </c>
      <c r="H553">
        <f t="shared" si="41"/>
        <v>4</v>
      </c>
      <c r="I553">
        <f t="shared" si="42"/>
        <v>6</v>
      </c>
      <c r="J553">
        <f t="shared" si="43"/>
        <v>8</v>
      </c>
      <c r="K553">
        <f t="shared" si="44"/>
        <v>2014</v>
      </c>
      <c r="M553">
        <v>3</v>
      </c>
      <c r="N553" t="str">
        <f>VLOOKUP(M553,'Cadastro Vendedores'!A:H,2,2)</f>
        <v>Antônia</v>
      </c>
      <c r="O553" s="2"/>
      <c r="P553" s="16">
        <v>5000</v>
      </c>
      <c r="Q553" s="2">
        <f>VLOOKUP(B553,'Cadastro Produtos'!A:F,5,2)</f>
        <v>9</v>
      </c>
      <c r="R553" s="14">
        <f t="shared" si="40"/>
        <v>45000</v>
      </c>
    </row>
    <row r="554" spans="1:18" x14ac:dyDescent="0.25">
      <c r="A554">
        <v>553</v>
      </c>
      <c r="B554">
        <v>2</v>
      </c>
      <c r="C554" t="str">
        <f>VLOOKUP(B554,'Cadastro Produtos'!A:E,2,2)</f>
        <v>Limonada Beta com Açúcar 500 ml</v>
      </c>
      <c r="D554">
        <v>5</v>
      </c>
      <c r="E554" t="str">
        <f>VLOOKUP(D554,'Cadatro Clientes'!A:O,2,2)</f>
        <v>Axé com Limão</v>
      </c>
      <c r="F554" t="str">
        <f>VLOOKUP(D554,'Cadatro Clientes'!A:O,9,2)</f>
        <v>Nordeste</v>
      </c>
      <c r="G554" s="15">
        <v>41857</v>
      </c>
      <c r="H554">
        <f t="shared" si="41"/>
        <v>4</v>
      </c>
      <c r="I554">
        <f t="shared" si="42"/>
        <v>6</v>
      </c>
      <c r="J554">
        <f t="shared" si="43"/>
        <v>8</v>
      </c>
      <c r="K554">
        <f t="shared" si="44"/>
        <v>2014</v>
      </c>
      <c r="M554">
        <v>2</v>
      </c>
      <c r="N554" t="str">
        <f>VLOOKUP(M554,'Cadastro Vendedores'!A:H,2,2)</f>
        <v>Luis</v>
      </c>
      <c r="O554" s="2"/>
      <c r="P554" s="16">
        <v>1500</v>
      </c>
      <c r="Q554" s="2">
        <f>VLOOKUP(B554,'Cadastro Produtos'!A:F,5,2)</f>
        <v>6.5</v>
      </c>
      <c r="R554" s="14">
        <f t="shared" si="40"/>
        <v>9750</v>
      </c>
    </row>
    <row r="555" spans="1:18" x14ac:dyDescent="0.25">
      <c r="A555">
        <v>554</v>
      </c>
      <c r="B555">
        <v>9</v>
      </c>
      <c r="C555" t="str">
        <f>VLOOKUP(B555,'Cadastro Produtos'!A:E,2,2)</f>
        <v>Limonada Alfa com Hortelã e Açúcar 1 L</v>
      </c>
      <c r="D555">
        <v>11</v>
      </c>
      <c r="E555" t="str">
        <f>VLOOKUP(D555,'Cadatro Clientes'!A:O,2,2)</f>
        <v>Red Lemon</v>
      </c>
      <c r="F555" t="str">
        <f>VLOOKUP(D555,'Cadatro Clientes'!A:O,9,2)</f>
        <v>Sul</v>
      </c>
      <c r="G555" s="15">
        <v>41858</v>
      </c>
      <c r="H555">
        <f t="shared" si="41"/>
        <v>5</v>
      </c>
      <c r="I555">
        <f t="shared" si="42"/>
        <v>7</v>
      </c>
      <c r="J555">
        <f t="shared" si="43"/>
        <v>8</v>
      </c>
      <c r="K555">
        <f t="shared" si="44"/>
        <v>2014</v>
      </c>
      <c r="M555">
        <v>8</v>
      </c>
      <c r="N555" t="str">
        <f>VLOOKUP(M555,'Cadastro Vendedores'!A:H,2,2)</f>
        <v>Sérgio</v>
      </c>
      <c r="O555" s="2"/>
      <c r="P555" s="16">
        <v>1400</v>
      </c>
      <c r="Q555" s="2">
        <f>VLOOKUP(B555,'Cadastro Produtos'!A:F,5,2)</f>
        <v>17.5</v>
      </c>
      <c r="R555" s="14">
        <f t="shared" si="40"/>
        <v>24500</v>
      </c>
    </row>
    <row r="556" spans="1:18" x14ac:dyDescent="0.25">
      <c r="A556">
        <v>555</v>
      </c>
      <c r="B556">
        <v>2</v>
      </c>
      <c r="C556" t="str">
        <f>VLOOKUP(B556,'Cadastro Produtos'!A:E,2,2)</f>
        <v>Limonada Beta com Açúcar 500 ml</v>
      </c>
      <c r="D556">
        <v>9</v>
      </c>
      <c r="E556" t="str">
        <f>VLOOKUP(D556,'Cadatro Clientes'!A:O,2,2)</f>
        <v>Fresh Lemon</v>
      </c>
      <c r="F556" t="str">
        <f>VLOOKUP(D556,'Cadatro Clientes'!A:O,9,2)</f>
        <v>Sudeste</v>
      </c>
      <c r="G556" s="15">
        <v>41858</v>
      </c>
      <c r="H556">
        <f t="shared" si="41"/>
        <v>5</v>
      </c>
      <c r="I556">
        <f t="shared" si="42"/>
        <v>7</v>
      </c>
      <c r="J556">
        <f t="shared" si="43"/>
        <v>8</v>
      </c>
      <c r="K556">
        <f t="shared" si="44"/>
        <v>2014</v>
      </c>
      <c r="M556">
        <v>3</v>
      </c>
      <c r="N556" t="str">
        <f>VLOOKUP(M556,'Cadastro Vendedores'!A:H,2,2)</f>
        <v>Antônia</v>
      </c>
      <c r="O556" s="2"/>
      <c r="P556" s="16">
        <v>3300</v>
      </c>
      <c r="Q556" s="2">
        <f>VLOOKUP(B556,'Cadastro Produtos'!A:F,5,2)</f>
        <v>6.5</v>
      </c>
      <c r="R556" s="14">
        <f t="shared" si="40"/>
        <v>21450</v>
      </c>
    </row>
    <row r="557" spans="1:18" x14ac:dyDescent="0.25">
      <c r="A557">
        <v>556</v>
      </c>
      <c r="B557">
        <v>9</v>
      </c>
      <c r="C557" t="str">
        <f>VLOOKUP(B557,'Cadastro Produtos'!A:E,2,2)</f>
        <v>Limonada Alfa com Hortelã e Açúcar 1 L</v>
      </c>
      <c r="D557">
        <v>11</v>
      </c>
      <c r="E557" t="str">
        <f>VLOOKUP(D557,'Cadatro Clientes'!A:O,2,2)</f>
        <v>Red Lemon</v>
      </c>
      <c r="F557" t="str">
        <f>VLOOKUP(D557,'Cadatro Clientes'!A:O,9,2)</f>
        <v>Sul</v>
      </c>
      <c r="G557" s="15">
        <v>41858</v>
      </c>
      <c r="H557">
        <f t="shared" si="41"/>
        <v>5</v>
      </c>
      <c r="I557">
        <f t="shared" si="42"/>
        <v>7</v>
      </c>
      <c r="J557">
        <f t="shared" si="43"/>
        <v>8</v>
      </c>
      <c r="K557">
        <f t="shared" si="44"/>
        <v>2014</v>
      </c>
      <c r="M557">
        <v>9</v>
      </c>
      <c r="N557" t="str">
        <f>VLOOKUP(M557,'Cadastro Vendedores'!A:H,2,2)</f>
        <v>Adriana</v>
      </c>
      <c r="O557" s="2"/>
      <c r="P557" s="16">
        <v>2400</v>
      </c>
      <c r="Q557" s="2">
        <f>VLOOKUP(B557,'Cadastro Produtos'!A:F,5,2)</f>
        <v>17.5</v>
      </c>
      <c r="R557" s="14">
        <f t="shared" si="40"/>
        <v>42000</v>
      </c>
    </row>
    <row r="558" spans="1:18" x14ac:dyDescent="0.25">
      <c r="A558">
        <v>557</v>
      </c>
      <c r="B558">
        <v>10</v>
      </c>
      <c r="C558" t="str">
        <f>VLOOKUP(B558,'Cadastro Produtos'!A:E,2,2)</f>
        <v>Limonada Alfa com Hortelã Zero 1 L</v>
      </c>
      <c r="D558">
        <v>6</v>
      </c>
      <c r="E558" t="str">
        <f>VLOOKUP(D558,'Cadatro Clientes'!A:O,2,2)</f>
        <v>Lemonade</v>
      </c>
      <c r="F558" t="str">
        <f>VLOOKUP(D558,'Cadatro Clientes'!A:O,9,2)</f>
        <v>Norte</v>
      </c>
      <c r="G558" s="15">
        <v>41859</v>
      </c>
      <c r="H558">
        <f t="shared" si="41"/>
        <v>6</v>
      </c>
      <c r="I558">
        <f t="shared" si="42"/>
        <v>8</v>
      </c>
      <c r="J558">
        <f t="shared" si="43"/>
        <v>8</v>
      </c>
      <c r="K558">
        <f t="shared" si="44"/>
        <v>2014</v>
      </c>
      <c r="M558">
        <v>3</v>
      </c>
      <c r="N558" t="str">
        <f>VLOOKUP(M558,'Cadastro Vendedores'!A:H,2,2)</f>
        <v>Antônia</v>
      </c>
      <c r="O558" s="2"/>
      <c r="P558" s="16">
        <v>500</v>
      </c>
      <c r="Q558" s="2">
        <f>VLOOKUP(B558,'Cadastro Produtos'!A:F,5,2)</f>
        <v>21</v>
      </c>
      <c r="R558" s="14">
        <f t="shared" si="40"/>
        <v>10500</v>
      </c>
    </row>
    <row r="559" spans="1:18" x14ac:dyDescent="0.25">
      <c r="A559">
        <v>558</v>
      </c>
      <c r="B559">
        <v>5</v>
      </c>
      <c r="C559" t="str">
        <f>VLOOKUP(B559,'Cadastro Produtos'!A:E,2,2)</f>
        <v>Limonada Alfa com Açúcar 1 L</v>
      </c>
      <c r="D559">
        <v>9</v>
      </c>
      <c r="E559" t="str">
        <f>VLOOKUP(D559,'Cadatro Clientes'!A:O,2,2)</f>
        <v>Fresh Lemon</v>
      </c>
      <c r="F559" t="str">
        <f>VLOOKUP(D559,'Cadatro Clientes'!A:O,9,2)</f>
        <v>Sudeste</v>
      </c>
      <c r="G559" s="15">
        <v>41859</v>
      </c>
      <c r="H559">
        <f t="shared" si="41"/>
        <v>6</v>
      </c>
      <c r="I559">
        <f t="shared" si="42"/>
        <v>8</v>
      </c>
      <c r="J559">
        <f t="shared" si="43"/>
        <v>8</v>
      </c>
      <c r="K559">
        <f t="shared" si="44"/>
        <v>2014</v>
      </c>
      <c r="M559">
        <v>7</v>
      </c>
      <c r="N559" t="str">
        <f>VLOOKUP(M559,'Cadastro Vendedores'!A:H,2,2)</f>
        <v>Benedito</v>
      </c>
      <c r="O559" s="2"/>
      <c r="P559" s="16">
        <v>1300</v>
      </c>
      <c r="Q559" s="2">
        <f>VLOOKUP(B559,'Cadastro Produtos'!A:F,5,2)</f>
        <v>15</v>
      </c>
      <c r="R559" s="14">
        <f t="shared" si="40"/>
        <v>19500</v>
      </c>
    </row>
    <row r="560" spans="1:18" x14ac:dyDescent="0.25">
      <c r="A560">
        <v>559</v>
      </c>
      <c r="B560">
        <v>7</v>
      </c>
      <c r="C560" t="str">
        <f>VLOOKUP(B560,'Cadastro Produtos'!A:E,2,2)</f>
        <v>Limonada Alfa Zero 1 L</v>
      </c>
      <c r="D560">
        <v>11</v>
      </c>
      <c r="E560" t="str">
        <f>VLOOKUP(D560,'Cadatro Clientes'!A:O,2,2)</f>
        <v>Red Lemon</v>
      </c>
      <c r="F560" t="str">
        <f>VLOOKUP(D560,'Cadatro Clientes'!A:O,9,2)</f>
        <v>Sul</v>
      </c>
      <c r="G560" s="15">
        <v>41859</v>
      </c>
      <c r="H560">
        <f t="shared" si="41"/>
        <v>6</v>
      </c>
      <c r="I560">
        <f t="shared" si="42"/>
        <v>8</v>
      </c>
      <c r="J560">
        <f t="shared" si="43"/>
        <v>8</v>
      </c>
      <c r="K560">
        <f t="shared" si="44"/>
        <v>2014</v>
      </c>
      <c r="M560">
        <v>2</v>
      </c>
      <c r="N560" t="str">
        <f>VLOOKUP(M560,'Cadastro Vendedores'!A:H,2,2)</f>
        <v>Luis</v>
      </c>
      <c r="O560" s="2"/>
      <c r="P560" s="16">
        <v>2300</v>
      </c>
      <c r="Q560" s="2">
        <f>VLOOKUP(B560,'Cadastro Produtos'!A:F,5,2)</f>
        <v>15</v>
      </c>
      <c r="R560" s="14">
        <f t="shared" si="40"/>
        <v>34500</v>
      </c>
    </row>
    <row r="561" spans="1:18" x14ac:dyDescent="0.25">
      <c r="A561">
        <v>560</v>
      </c>
      <c r="B561">
        <v>3</v>
      </c>
      <c r="C561" t="str">
        <f>VLOOKUP(B561,'Cadastro Produtos'!A:E,2,2)</f>
        <v>Limonada Alfa Zero 500 ml</v>
      </c>
      <c r="D561">
        <v>13</v>
      </c>
      <c r="E561" t="str">
        <f>VLOOKUP(D561,'Cadatro Clientes'!A:O,2,2)</f>
        <v>Monster Lemon</v>
      </c>
      <c r="F561" t="str">
        <f>VLOOKUP(D561,'Cadatro Clientes'!A:O,9,2)</f>
        <v>Nordeste</v>
      </c>
      <c r="G561" s="15">
        <v>41860</v>
      </c>
      <c r="H561">
        <f t="shared" si="41"/>
        <v>7</v>
      </c>
      <c r="I561">
        <f t="shared" si="42"/>
        <v>9</v>
      </c>
      <c r="J561">
        <f t="shared" si="43"/>
        <v>8</v>
      </c>
      <c r="K561">
        <f t="shared" si="44"/>
        <v>2014</v>
      </c>
      <c r="M561">
        <v>3</v>
      </c>
      <c r="N561" t="str">
        <f>VLOOKUP(M561,'Cadastro Vendedores'!A:H,2,2)</f>
        <v>Antônia</v>
      </c>
      <c r="O561" s="2"/>
      <c r="P561" s="16">
        <v>5000</v>
      </c>
      <c r="Q561" s="2">
        <f>VLOOKUP(B561,'Cadastro Produtos'!A:F,5,2)</f>
        <v>9</v>
      </c>
      <c r="R561" s="14">
        <f t="shared" si="40"/>
        <v>45000</v>
      </c>
    </row>
    <row r="562" spans="1:18" x14ac:dyDescent="0.25">
      <c r="A562">
        <v>561</v>
      </c>
      <c r="B562">
        <v>4</v>
      </c>
      <c r="C562" t="str">
        <f>VLOOKUP(B562,'Cadastro Produtos'!A:E,2,2)</f>
        <v>Limonada Beta Zero 500 ml</v>
      </c>
      <c r="D562">
        <v>14</v>
      </c>
      <c r="E562" t="str">
        <f>VLOOKUP(D562,'Cadatro Clientes'!A:O,2,2)</f>
        <v>Sprite</v>
      </c>
      <c r="F562" t="str">
        <f>VLOOKUP(D562,'Cadatro Clientes'!A:O,9,2)</f>
        <v>Norte</v>
      </c>
      <c r="G562" s="15">
        <v>41860</v>
      </c>
      <c r="H562">
        <f t="shared" si="41"/>
        <v>7</v>
      </c>
      <c r="I562">
        <f t="shared" si="42"/>
        <v>9</v>
      </c>
      <c r="J562">
        <f t="shared" si="43"/>
        <v>8</v>
      </c>
      <c r="K562">
        <f t="shared" si="44"/>
        <v>2014</v>
      </c>
      <c r="M562">
        <v>8</v>
      </c>
      <c r="N562" t="str">
        <f>VLOOKUP(M562,'Cadastro Vendedores'!A:H,2,2)</f>
        <v>Sérgio</v>
      </c>
      <c r="O562" s="2"/>
      <c r="P562" s="16">
        <v>1600</v>
      </c>
      <c r="Q562" s="2">
        <f>VLOOKUP(B562,'Cadastro Produtos'!A:F,5,2)</f>
        <v>7</v>
      </c>
      <c r="R562" s="14">
        <f t="shared" si="40"/>
        <v>11200</v>
      </c>
    </row>
    <row r="563" spans="1:18" x14ac:dyDescent="0.25">
      <c r="A563">
        <v>562</v>
      </c>
      <c r="B563">
        <v>10</v>
      </c>
      <c r="C563" t="str">
        <f>VLOOKUP(B563,'Cadastro Produtos'!A:E,2,2)</f>
        <v>Limonada Alfa com Hortelã Zero 1 L</v>
      </c>
      <c r="D563">
        <v>6</v>
      </c>
      <c r="E563" t="str">
        <f>VLOOKUP(D563,'Cadatro Clientes'!A:O,2,2)</f>
        <v>Lemonade</v>
      </c>
      <c r="F563" t="str">
        <f>VLOOKUP(D563,'Cadatro Clientes'!A:O,9,2)</f>
        <v>Norte</v>
      </c>
      <c r="G563" s="15">
        <v>41861</v>
      </c>
      <c r="H563">
        <f t="shared" si="41"/>
        <v>1</v>
      </c>
      <c r="I563">
        <f t="shared" si="42"/>
        <v>10</v>
      </c>
      <c r="J563">
        <f t="shared" si="43"/>
        <v>8</v>
      </c>
      <c r="K563">
        <f t="shared" si="44"/>
        <v>2014</v>
      </c>
      <c r="M563">
        <v>6</v>
      </c>
      <c r="N563" t="str">
        <f>VLOOKUP(M563,'Cadastro Vendedores'!A:H,2,2)</f>
        <v>Antônia</v>
      </c>
      <c r="O563" s="2"/>
      <c r="P563" s="16">
        <v>500</v>
      </c>
      <c r="Q563" s="2">
        <f>VLOOKUP(B563,'Cadastro Produtos'!A:F,5,2)</f>
        <v>21</v>
      </c>
      <c r="R563" s="14">
        <f t="shared" si="40"/>
        <v>10500</v>
      </c>
    </row>
    <row r="564" spans="1:18" x14ac:dyDescent="0.25">
      <c r="A564">
        <v>563</v>
      </c>
      <c r="B564">
        <v>4</v>
      </c>
      <c r="C564" t="str">
        <f>VLOOKUP(B564,'Cadastro Produtos'!A:E,2,2)</f>
        <v>Limonada Beta Zero 500 ml</v>
      </c>
      <c r="D564">
        <v>1</v>
      </c>
      <c r="E564" t="str">
        <f>VLOOKUP(D564,'Cadatro Clientes'!A:O,2,2)</f>
        <v>Meu Suco de Limão</v>
      </c>
      <c r="F564" t="str">
        <f>VLOOKUP(D564,'Cadatro Clientes'!A:O,9,2)</f>
        <v>Norte</v>
      </c>
      <c r="G564" s="15">
        <v>41862</v>
      </c>
      <c r="H564">
        <f t="shared" si="41"/>
        <v>2</v>
      </c>
      <c r="I564">
        <f t="shared" si="42"/>
        <v>11</v>
      </c>
      <c r="J564">
        <f t="shared" si="43"/>
        <v>8</v>
      </c>
      <c r="K564">
        <f t="shared" si="44"/>
        <v>2014</v>
      </c>
      <c r="M564">
        <v>8</v>
      </c>
      <c r="N564" t="str">
        <f>VLOOKUP(M564,'Cadastro Vendedores'!A:H,2,2)</f>
        <v>Sérgio</v>
      </c>
      <c r="O564" s="2"/>
      <c r="P564" s="16">
        <v>3000</v>
      </c>
      <c r="Q564" s="2">
        <f>VLOOKUP(B564,'Cadastro Produtos'!A:F,5,2)</f>
        <v>7</v>
      </c>
      <c r="R564" s="14">
        <f t="shared" si="40"/>
        <v>21000</v>
      </c>
    </row>
    <row r="565" spans="1:18" x14ac:dyDescent="0.25">
      <c r="A565">
        <v>564</v>
      </c>
      <c r="B565">
        <v>6</v>
      </c>
      <c r="C565" t="str">
        <f>VLOOKUP(B565,'Cadastro Produtos'!A:E,2,2)</f>
        <v>Limonada Beta com Açúcar 1 L</v>
      </c>
      <c r="D565">
        <v>17</v>
      </c>
      <c r="E565" t="str">
        <f>VLOOKUP(D565,'Cadatro Clientes'!A:O,2,2)</f>
        <v>Aracasuco</v>
      </c>
      <c r="F565" t="str">
        <f>VLOOKUP(D565,'Cadatro Clientes'!A:O,9,2)</f>
        <v>Nordeste</v>
      </c>
      <c r="G565" s="15">
        <v>41862</v>
      </c>
      <c r="H565">
        <f t="shared" si="41"/>
        <v>2</v>
      </c>
      <c r="I565">
        <f t="shared" si="42"/>
        <v>11</v>
      </c>
      <c r="J565">
        <f t="shared" si="43"/>
        <v>8</v>
      </c>
      <c r="K565">
        <f t="shared" si="44"/>
        <v>2014</v>
      </c>
      <c r="M565">
        <v>9</v>
      </c>
      <c r="N565" t="str">
        <f>VLOOKUP(M565,'Cadastro Vendedores'!A:H,2,2)</f>
        <v>Adriana</v>
      </c>
      <c r="O565" s="2"/>
      <c r="P565" s="16">
        <v>3200</v>
      </c>
      <c r="Q565" s="2">
        <f>VLOOKUP(B565,'Cadastro Produtos'!A:F,5,2)</f>
        <v>12</v>
      </c>
      <c r="R565" s="14">
        <f t="shared" si="40"/>
        <v>38400</v>
      </c>
    </row>
    <row r="566" spans="1:18" x14ac:dyDescent="0.25">
      <c r="A566">
        <v>565</v>
      </c>
      <c r="B566">
        <v>2</v>
      </c>
      <c r="C566" t="str">
        <f>VLOOKUP(B566,'Cadastro Produtos'!A:E,2,2)</f>
        <v>Limonada Beta com Açúcar 500 ml</v>
      </c>
      <c r="D566">
        <v>6</v>
      </c>
      <c r="E566" t="str">
        <f>VLOOKUP(D566,'Cadatro Clientes'!A:O,2,2)</f>
        <v>Lemonade</v>
      </c>
      <c r="F566" t="str">
        <f>VLOOKUP(D566,'Cadatro Clientes'!A:O,9,2)</f>
        <v>Norte</v>
      </c>
      <c r="G566" s="15">
        <v>41862</v>
      </c>
      <c r="H566">
        <f t="shared" si="41"/>
        <v>2</v>
      </c>
      <c r="I566">
        <f t="shared" si="42"/>
        <v>11</v>
      </c>
      <c r="J566">
        <f t="shared" si="43"/>
        <v>8</v>
      </c>
      <c r="K566">
        <f t="shared" si="44"/>
        <v>2014</v>
      </c>
      <c r="M566">
        <v>9</v>
      </c>
      <c r="N566" t="str">
        <f>VLOOKUP(M566,'Cadastro Vendedores'!A:H,2,2)</f>
        <v>Adriana</v>
      </c>
      <c r="O566" s="2"/>
      <c r="P566" s="16">
        <v>2500</v>
      </c>
      <c r="Q566" s="2">
        <f>VLOOKUP(B566,'Cadastro Produtos'!A:F,5,2)</f>
        <v>6.5</v>
      </c>
      <c r="R566" s="14">
        <f t="shared" si="40"/>
        <v>16250</v>
      </c>
    </row>
    <row r="567" spans="1:18" x14ac:dyDescent="0.25">
      <c r="A567">
        <v>566</v>
      </c>
      <c r="B567">
        <v>5</v>
      </c>
      <c r="C567" t="str">
        <f>VLOOKUP(B567,'Cadastro Produtos'!A:E,2,2)</f>
        <v>Limonada Alfa com Açúcar 1 L</v>
      </c>
      <c r="D567">
        <v>5</v>
      </c>
      <c r="E567" t="str">
        <f>VLOOKUP(D567,'Cadatro Clientes'!A:O,2,2)</f>
        <v>Axé com Limão</v>
      </c>
      <c r="F567" t="str">
        <f>VLOOKUP(D567,'Cadatro Clientes'!A:O,9,2)</f>
        <v>Nordeste</v>
      </c>
      <c r="G567" s="15">
        <v>41862</v>
      </c>
      <c r="H567">
        <f t="shared" si="41"/>
        <v>2</v>
      </c>
      <c r="I567">
        <f t="shared" si="42"/>
        <v>11</v>
      </c>
      <c r="J567">
        <f t="shared" si="43"/>
        <v>8</v>
      </c>
      <c r="K567">
        <f t="shared" si="44"/>
        <v>2014</v>
      </c>
      <c r="M567">
        <v>3</v>
      </c>
      <c r="N567" t="str">
        <f>VLOOKUP(M567,'Cadastro Vendedores'!A:H,2,2)</f>
        <v>Antônia</v>
      </c>
      <c r="O567" s="2"/>
      <c r="P567" s="16">
        <v>700</v>
      </c>
      <c r="Q567" s="2">
        <f>VLOOKUP(B567,'Cadastro Produtos'!A:F,5,2)</f>
        <v>15</v>
      </c>
      <c r="R567" s="14">
        <f t="shared" si="40"/>
        <v>10500</v>
      </c>
    </row>
    <row r="568" spans="1:18" x14ac:dyDescent="0.25">
      <c r="A568">
        <v>567</v>
      </c>
      <c r="B568">
        <v>7</v>
      </c>
      <c r="C568" t="str">
        <f>VLOOKUP(B568,'Cadastro Produtos'!A:E,2,2)</f>
        <v>Limonada Alfa Zero 1 L</v>
      </c>
      <c r="D568">
        <v>14</v>
      </c>
      <c r="E568" t="str">
        <f>VLOOKUP(D568,'Cadatro Clientes'!A:O,2,2)</f>
        <v>Sprite</v>
      </c>
      <c r="F568" t="str">
        <f>VLOOKUP(D568,'Cadatro Clientes'!A:O,9,2)</f>
        <v>Norte</v>
      </c>
      <c r="G568" s="15">
        <v>41863</v>
      </c>
      <c r="H568">
        <f t="shared" si="41"/>
        <v>3</v>
      </c>
      <c r="I568">
        <f t="shared" si="42"/>
        <v>12</v>
      </c>
      <c r="J568">
        <f t="shared" si="43"/>
        <v>8</v>
      </c>
      <c r="K568">
        <f t="shared" si="44"/>
        <v>2014</v>
      </c>
      <c r="M568">
        <v>9</v>
      </c>
      <c r="N568" t="str">
        <f>VLOOKUP(M568,'Cadastro Vendedores'!A:H,2,2)</f>
        <v>Adriana</v>
      </c>
      <c r="O568" s="2"/>
      <c r="P568" s="16">
        <v>2000</v>
      </c>
      <c r="Q568" s="2">
        <f>VLOOKUP(B568,'Cadastro Produtos'!A:F,5,2)</f>
        <v>15</v>
      </c>
      <c r="R568" s="14">
        <f t="shared" si="40"/>
        <v>30000</v>
      </c>
    </row>
    <row r="569" spans="1:18" x14ac:dyDescent="0.25">
      <c r="A569">
        <v>568</v>
      </c>
      <c r="B569">
        <v>6</v>
      </c>
      <c r="C569" t="str">
        <f>VLOOKUP(B569,'Cadastro Produtos'!A:E,2,2)</f>
        <v>Limonada Beta com Açúcar 1 L</v>
      </c>
      <c r="D569">
        <v>11</v>
      </c>
      <c r="E569" t="str">
        <f>VLOOKUP(D569,'Cadatro Clientes'!A:O,2,2)</f>
        <v>Red Lemon</v>
      </c>
      <c r="F569" t="str">
        <f>VLOOKUP(D569,'Cadatro Clientes'!A:O,9,2)</f>
        <v>Sul</v>
      </c>
      <c r="G569" s="15">
        <v>41863</v>
      </c>
      <c r="H569">
        <f t="shared" si="41"/>
        <v>3</v>
      </c>
      <c r="I569">
        <f t="shared" si="42"/>
        <v>12</v>
      </c>
      <c r="J569">
        <f t="shared" si="43"/>
        <v>8</v>
      </c>
      <c r="K569">
        <f t="shared" si="44"/>
        <v>2014</v>
      </c>
      <c r="M569">
        <v>4</v>
      </c>
      <c r="N569" t="str">
        <f>VLOOKUP(M569,'Cadastro Vendedores'!A:H,2,2)</f>
        <v>José</v>
      </c>
      <c r="O569" s="2"/>
      <c r="P569" s="16">
        <v>900</v>
      </c>
      <c r="Q569" s="2">
        <f>VLOOKUP(B569,'Cadastro Produtos'!A:F,5,2)</f>
        <v>12</v>
      </c>
      <c r="R569" s="14">
        <f t="shared" si="40"/>
        <v>10800</v>
      </c>
    </row>
    <row r="570" spans="1:18" x14ac:dyDescent="0.25">
      <c r="A570">
        <v>569</v>
      </c>
      <c r="B570">
        <v>5</v>
      </c>
      <c r="C570" t="str">
        <f>VLOOKUP(B570,'Cadastro Produtos'!A:E,2,2)</f>
        <v>Limonada Alfa com Açúcar 1 L</v>
      </c>
      <c r="D570">
        <v>8</v>
      </c>
      <c r="E570" t="str">
        <f>VLOOKUP(D570,'Cadatro Clientes'!A:O,2,2)</f>
        <v>Refresko</v>
      </c>
      <c r="F570" t="str">
        <f>VLOOKUP(D570,'Cadatro Clientes'!A:O,9,2)</f>
        <v>Sul</v>
      </c>
      <c r="G570" s="15">
        <v>41864</v>
      </c>
      <c r="H570">
        <f t="shared" si="41"/>
        <v>4</v>
      </c>
      <c r="I570">
        <f t="shared" si="42"/>
        <v>13</v>
      </c>
      <c r="J570">
        <f t="shared" si="43"/>
        <v>8</v>
      </c>
      <c r="K570">
        <f t="shared" si="44"/>
        <v>2014</v>
      </c>
      <c r="M570">
        <v>4</v>
      </c>
      <c r="N570" t="str">
        <f>VLOOKUP(M570,'Cadastro Vendedores'!A:H,2,2)</f>
        <v>José</v>
      </c>
      <c r="O570" s="2"/>
      <c r="P570" s="16">
        <v>700</v>
      </c>
      <c r="Q570" s="2">
        <f>VLOOKUP(B570,'Cadastro Produtos'!A:F,5,2)</f>
        <v>15</v>
      </c>
      <c r="R570" s="14">
        <f t="shared" si="40"/>
        <v>10500</v>
      </c>
    </row>
    <row r="571" spans="1:18" x14ac:dyDescent="0.25">
      <c r="A571">
        <v>570</v>
      </c>
      <c r="B571">
        <v>10</v>
      </c>
      <c r="C571" t="str">
        <f>VLOOKUP(B571,'Cadastro Produtos'!A:E,2,2)</f>
        <v>Limonada Alfa com Hortelã Zero 1 L</v>
      </c>
      <c r="D571">
        <v>4</v>
      </c>
      <c r="E571" t="str">
        <f>VLOOKUP(D571,'Cadatro Clientes'!A:O,2,2)</f>
        <v>Limão Carioca e Cia</v>
      </c>
      <c r="F571" t="str">
        <f>VLOOKUP(D571,'Cadatro Clientes'!A:O,9,2)</f>
        <v>Sudeste</v>
      </c>
      <c r="G571" s="15">
        <v>41864</v>
      </c>
      <c r="H571">
        <f t="shared" si="41"/>
        <v>4</v>
      </c>
      <c r="I571">
        <f t="shared" si="42"/>
        <v>13</v>
      </c>
      <c r="J571">
        <f t="shared" si="43"/>
        <v>8</v>
      </c>
      <c r="K571">
        <f t="shared" si="44"/>
        <v>2014</v>
      </c>
      <c r="M571">
        <v>8</v>
      </c>
      <c r="N571" t="str">
        <f>VLOOKUP(M571,'Cadastro Vendedores'!A:H,2,2)</f>
        <v>Sérgio</v>
      </c>
      <c r="O571" s="2"/>
      <c r="P571" s="16">
        <v>1600</v>
      </c>
      <c r="Q571" s="2">
        <f>VLOOKUP(B571,'Cadastro Produtos'!A:F,5,2)</f>
        <v>21</v>
      </c>
      <c r="R571" s="14">
        <f t="shared" si="40"/>
        <v>33600</v>
      </c>
    </row>
    <row r="572" spans="1:18" x14ac:dyDescent="0.25">
      <c r="A572">
        <v>571</v>
      </c>
      <c r="B572">
        <v>3</v>
      </c>
      <c r="C572" t="str">
        <f>VLOOKUP(B572,'Cadastro Produtos'!A:E,2,2)</f>
        <v>Limonada Alfa Zero 500 ml</v>
      </c>
      <c r="D572">
        <v>19</v>
      </c>
      <c r="E572" t="str">
        <f>VLOOKUP(D572,'Cadatro Clientes'!A:O,2,2)</f>
        <v>Lima Limão</v>
      </c>
      <c r="F572" t="str">
        <f>VLOOKUP(D572,'Cadatro Clientes'!A:O,9,2)</f>
        <v>Sudeste</v>
      </c>
      <c r="G572" s="15">
        <v>41864</v>
      </c>
      <c r="H572">
        <f t="shared" si="41"/>
        <v>4</v>
      </c>
      <c r="I572">
        <f t="shared" si="42"/>
        <v>13</v>
      </c>
      <c r="J572">
        <f t="shared" si="43"/>
        <v>8</v>
      </c>
      <c r="K572">
        <f t="shared" si="44"/>
        <v>2014</v>
      </c>
      <c r="M572">
        <v>3</v>
      </c>
      <c r="N572" t="str">
        <f>VLOOKUP(M572,'Cadastro Vendedores'!A:H,2,2)</f>
        <v>Antônia</v>
      </c>
      <c r="O572" s="2"/>
      <c r="P572" s="16">
        <v>1700</v>
      </c>
      <c r="Q572" s="2">
        <f>VLOOKUP(B572,'Cadastro Produtos'!A:F,5,2)</f>
        <v>9</v>
      </c>
      <c r="R572" s="14">
        <f t="shared" si="40"/>
        <v>15300</v>
      </c>
    </row>
    <row r="573" spans="1:18" x14ac:dyDescent="0.25">
      <c r="A573">
        <v>572</v>
      </c>
      <c r="B573">
        <v>2</v>
      </c>
      <c r="C573" t="str">
        <f>VLOOKUP(B573,'Cadastro Produtos'!A:E,2,2)</f>
        <v>Limonada Beta com Açúcar 500 ml</v>
      </c>
      <c r="D573">
        <v>5</v>
      </c>
      <c r="E573" t="str">
        <f>VLOOKUP(D573,'Cadatro Clientes'!A:O,2,2)</f>
        <v>Axé com Limão</v>
      </c>
      <c r="F573" t="str">
        <f>VLOOKUP(D573,'Cadatro Clientes'!A:O,9,2)</f>
        <v>Nordeste</v>
      </c>
      <c r="G573" s="15">
        <v>41864</v>
      </c>
      <c r="H573">
        <f t="shared" si="41"/>
        <v>4</v>
      </c>
      <c r="I573">
        <f t="shared" si="42"/>
        <v>13</v>
      </c>
      <c r="J573">
        <f t="shared" si="43"/>
        <v>8</v>
      </c>
      <c r="K573">
        <f t="shared" si="44"/>
        <v>2014</v>
      </c>
      <c r="M573">
        <v>2</v>
      </c>
      <c r="N573" t="str">
        <f>VLOOKUP(M573,'Cadastro Vendedores'!A:H,2,2)</f>
        <v>Luis</v>
      </c>
      <c r="O573" s="2"/>
      <c r="P573" s="16">
        <v>2500</v>
      </c>
      <c r="Q573" s="2">
        <f>VLOOKUP(B573,'Cadastro Produtos'!A:F,5,2)</f>
        <v>6.5</v>
      </c>
      <c r="R573" s="14">
        <f t="shared" si="40"/>
        <v>16250</v>
      </c>
    </row>
    <row r="574" spans="1:18" x14ac:dyDescent="0.25">
      <c r="A574">
        <v>573</v>
      </c>
      <c r="B574">
        <v>3</v>
      </c>
      <c r="C574" t="str">
        <f>VLOOKUP(B574,'Cadastro Produtos'!A:E,2,2)</f>
        <v>Limonada Alfa Zero 500 ml</v>
      </c>
      <c r="D574">
        <v>1</v>
      </c>
      <c r="E574" t="str">
        <f>VLOOKUP(D574,'Cadatro Clientes'!A:O,2,2)</f>
        <v>Meu Suco de Limão</v>
      </c>
      <c r="F574" t="str">
        <f>VLOOKUP(D574,'Cadatro Clientes'!A:O,9,2)</f>
        <v>Norte</v>
      </c>
      <c r="G574" s="15">
        <v>41865</v>
      </c>
      <c r="H574">
        <f t="shared" si="41"/>
        <v>5</v>
      </c>
      <c r="I574">
        <f t="shared" si="42"/>
        <v>14</v>
      </c>
      <c r="J574">
        <f t="shared" si="43"/>
        <v>8</v>
      </c>
      <c r="K574">
        <f t="shared" si="44"/>
        <v>2014</v>
      </c>
      <c r="M574">
        <v>4</v>
      </c>
      <c r="N574" t="str">
        <f>VLOOKUP(M574,'Cadastro Vendedores'!A:H,2,2)</f>
        <v>José</v>
      </c>
      <c r="O574" s="2"/>
      <c r="P574" s="16">
        <v>2800</v>
      </c>
      <c r="Q574" s="2">
        <f>VLOOKUP(B574,'Cadastro Produtos'!A:F,5,2)</f>
        <v>9</v>
      </c>
      <c r="R574" s="14">
        <f t="shared" si="40"/>
        <v>25200</v>
      </c>
    </row>
    <row r="575" spans="1:18" x14ac:dyDescent="0.25">
      <c r="A575">
        <v>574</v>
      </c>
      <c r="B575">
        <v>4</v>
      </c>
      <c r="C575" t="str">
        <f>VLOOKUP(B575,'Cadastro Produtos'!A:E,2,2)</f>
        <v>Limonada Beta Zero 500 ml</v>
      </c>
      <c r="D575">
        <v>13</v>
      </c>
      <c r="E575" t="str">
        <f>VLOOKUP(D575,'Cadatro Clientes'!A:O,2,2)</f>
        <v>Monster Lemon</v>
      </c>
      <c r="F575" t="str">
        <f>VLOOKUP(D575,'Cadatro Clientes'!A:O,9,2)</f>
        <v>Nordeste</v>
      </c>
      <c r="G575" s="15">
        <v>41865</v>
      </c>
      <c r="H575">
        <f t="shared" si="41"/>
        <v>5</v>
      </c>
      <c r="I575">
        <f t="shared" si="42"/>
        <v>14</v>
      </c>
      <c r="J575">
        <f t="shared" si="43"/>
        <v>8</v>
      </c>
      <c r="K575">
        <f t="shared" si="44"/>
        <v>2014</v>
      </c>
      <c r="M575">
        <v>4</v>
      </c>
      <c r="N575" t="str">
        <f>VLOOKUP(M575,'Cadastro Vendedores'!A:H,2,2)</f>
        <v>José</v>
      </c>
      <c r="O575" s="2"/>
      <c r="P575" s="16">
        <v>3000</v>
      </c>
      <c r="Q575" s="2">
        <f>VLOOKUP(B575,'Cadastro Produtos'!A:F,5,2)</f>
        <v>7</v>
      </c>
      <c r="R575" s="14">
        <f t="shared" si="40"/>
        <v>21000</v>
      </c>
    </row>
    <row r="576" spans="1:18" x14ac:dyDescent="0.25">
      <c r="A576">
        <v>575</v>
      </c>
      <c r="B576">
        <v>3</v>
      </c>
      <c r="C576" t="str">
        <f>VLOOKUP(B576,'Cadastro Produtos'!A:E,2,2)</f>
        <v>Limonada Alfa Zero 500 ml</v>
      </c>
      <c r="D576">
        <v>6</v>
      </c>
      <c r="E576" t="str">
        <f>VLOOKUP(D576,'Cadatro Clientes'!A:O,2,2)</f>
        <v>Lemonade</v>
      </c>
      <c r="F576" t="str">
        <f>VLOOKUP(D576,'Cadatro Clientes'!A:O,9,2)</f>
        <v>Norte</v>
      </c>
      <c r="G576" s="15">
        <v>41866</v>
      </c>
      <c r="H576">
        <f t="shared" si="41"/>
        <v>6</v>
      </c>
      <c r="I576">
        <f t="shared" si="42"/>
        <v>15</v>
      </c>
      <c r="J576">
        <f t="shared" si="43"/>
        <v>8</v>
      </c>
      <c r="K576">
        <f t="shared" si="44"/>
        <v>2014</v>
      </c>
      <c r="M576">
        <v>12</v>
      </c>
      <c r="N576" t="str">
        <f>VLOOKUP(M576,'Cadastro Vendedores'!A:H,2,2)</f>
        <v>Paulo</v>
      </c>
      <c r="O576" s="2"/>
      <c r="P576" s="16">
        <v>3000</v>
      </c>
      <c r="Q576" s="2">
        <f>VLOOKUP(B576,'Cadastro Produtos'!A:F,5,2)</f>
        <v>9</v>
      </c>
      <c r="R576" s="14">
        <f t="shared" si="40"/>
        <v>27000</v>
      </c>
    </row>
    <row r="577" spans="1:18" x14ac:dyDescent="0.25">
      <c r="A577">
        <v>576</v>
      </c>
      <c r="B577">
        <v>7</v>
      </c>
      <c r="C577" t="str">
        <f>VLOOKUP(B577,'Cadastro Produtos'!A:E,2,2)</f>
        <v>Limonada Alfa Zero 1 L</v>
      </c>
      <c r="D577">
        <v>7</v>
      </c>
      <c r="E577" t="str">
        <f>VLOOKUP(D577,'Cadatro Clientes'!A:O,2,2)</f>
        <v>Limo</v>
      </c>
      <c r="F577" t="str">
        <f>VLOOKUP(D577,'Cadatro Clientes'!A:O,9,2)</f>
        <v>Centro-Oeste</v>
      </c>
      <c r="G577" s="15">
        <v>41866</v>
      </c>
      <c r="H577">
        <f t="shared" si="41"/>
        <v>6</v>
      </c>
      <c r="I577">
        <f t="shared" si="42"/>
        <v>15</v>
      </c>
      <c r="J577">
        <f t="shared" si="43"/>
        <v>8</v>
      </c>
      <c r="K577">
        <f t="shared" si="44"/>
        <v>2014</v>
      </c>
      <c r="M577">
        <v>7</v>
      </c>
      <c r="N577" t="str">
        <f>VLOOKUP(M577,'Cadastro Vendedores'!A:H,2,2)</f>
        <v>Benedito</v>
      </c>
      <c r="O577" s="2"/>
      <c r="P577" s="16">
        <v>700</v>
      </c>
      <c r="Q577" s="2">
        <f>VLOOKUP(B577,'Cadastro Produtos'!A:F,5,2)</f>
        <v>15</v>
      </c>
      <c r="R577" s="14">
        <f t="shared" si="40"/>
        <v>10500</v>
      </c>
    </row>
    <row r="578" spans="1:18" x14ac:dyDescent="0.25">
      <c r="A578">
        <v>577</v>
      </c>
      <c r="B578">
        <v>8</v>
      </c>
      <c r="C578" t="str">
        <f>VLOOKUP(B578,'Cadastro Produtos'!A:E,2,2)</f>
        <v>Limonada Beta Zero 1 L</v>
      </c>
      <c r="D578">
        <v>7</v>
      </c>
      <c r="E578" t="str">
        <f>VLOOKUP(D578,'Cadatro Clientes'!A:O,2,2)</f>
        <v>Limo</v>
      </c>
      <c r="F578" t="str">
        <f>VLOOKUP(D578,'Cadatro Clientes'!A:O,9,2)</f>
        <v>Centro-Oeste</v>
      </c>
      <c r="G578" s="15">
        <v>41867</v>
      </c>
      <c r="H578">
        <f t="shared" si="41"/>
        <v>7</v>
      </c>
      <c r="I578">
        <f t="shared" si="42"/>
        <v>16</v>
      </c>
      <c r="J578">
        <f t="shared" si="43"/>
        <v>8</v>
      </c>
      <c r="K578">
        <f t="shared" si="44"/>
        <v>2014</v>
      </c>
      <c r="M578">
        <v>4</v>
      </c>
      <c r="N578" t="str">
        <f>VLOOKUP(M578,'Cadastro Vendedores'!A:H,2,2)</f>
        <v>José</v>
      </c>
      <c r="O578" s="2"/>
      <c r="P578" s="16">
        <v>2600</v>
      </c>
      <c r="Q578" s="2">
        <f>VLOOKUP(B578,'Cadastro Produtos'!A:F,5,2)</f>
        <v>12</v>
      </c>
      <c r="R578" s="14">
        <f t="shared" ref="R578:R641" si="45">Q578*P578</f>
        <v>31200</v>
      </c>
    </row>
    <row r="579" spans="1:18" x14ac:dyDescent="0.25">
      <c r="A579">
        <v>578</v>
      </c>
      <c r="B579">
        <v>7</v>
      </c>
      <c r="C579" t="str">
        <f>VLOOKUP(B579,'Cadastro Produtos'!A:E,2,2)</f>
        <v>Limonada Alfa Zero 1 L</v>
      </c>
      <c r="D579">
        <v>17</v>
      </c>
      <c r="E579" t="str">
        <f>VLOOKUP(D579,'Cadatro Clientes'!A:O,2,2)</f>
        <v>Aracasuco</v>
      </c>
      <c r="F579" t="str">
        <f>VLOOKUP(D579,'Cadatro Clientes'!A:O,9,2)</f>
        <v>Nordeste</v>
      </c>
      <c r="G579" s="15">
        <v>41867</v>
      </c>
      <c r="H579">
        <f t="shared" ref="H579:H642" si="46">WEEKDAY(G579)</f>
        <v>7</v>
      </c>
      <c r="I579">
        <f t="shared" ref="I579:I642" si="47">DAY(G579)</f>
        <v>16</v>
      </c>
      <c r="J579">
        <f t="shared" ref="J579:J642" si="48">MONTH(G579)</f>
        <v>8</v>
      </c>
      <c r="K579">
        <f t="shared" ref="K579:K642" si="49">YEAR(G579)</f>
        <v>2014</v>
      </c>
      <c r="M579">
        <v>12</v>
      </c>
      <c r="N579" t="str">
        <f>VLOOKUP(M579,'Cadastro Vendedores'!A:H,2,2)</f>
        <v>Paulo</v>
      </c>
      <c r="O579" s="2"/>
      <c r="P579" s="16">
        <v>800</v>
      </c>
      <c r="Q579" s="2">
        <f>VLOOKUP(B579,'Cadastro Produtos'!A:F,5,2)</f>
        <v>15</v>
      </c>
      <c r="R579" s="14">
        <f t="shared" si="45"/>
        <v>12000</v>
      </c>
    </row>
    <row r="580" spans="1:18" x14ac:dyDescent="0.25">
      <c r="A580">
        <v>579</v>
      </c>
      <c r="B580">
        <v>1</v>
      </c>
      <c r="C580" t="str">
        <f>VLOOKUP(B580,'Cadastro Produtos'!A:E,2,2)</f>
        <v>Limonada Alfa com Açúcar 500 ml</v>
      </c>
      <c r="D580">
        <v>16</v>
      </c>
      <c r="E580" t="str">
        <f>VLOOKUP(D580,'Cadatro Clientes'!A:O,2,2)</f>
        <v>Norte Suco</v>
      </c>
      <c r="F580" t="str">
        <f>VLOOKUP(D580,'Cadatro Clientes'!A:O,9,2)</f>
        <v>Nordeste</v>
      </c>
      <c r="G580" s="15">
        <v>41867</v>
      </c>
      <c r="H580">
        <f t="shared" si="46"/>
        <v>7</v>
      </c>
      <c r="I580">
        <f t="shared" si="47"/>
        <v>16</v>
      </c>
      <c r="J580">
        <f t="shared" si="48"/>
        <v>8</v>
      </c>
      <c r="K580">
        <f t="shared" si="49"/>
        <v>2014</v>
      </c>
      <c r="M580">
        <v>9</v>
      </c>
      <c r="N580" t="str">
        <f>VLOOKUP(M580,'Cadastro Vendedores'!A:H,2,2)</f>
        <v>Adriana</v>
      </c>
      <c r="O580" s="2"/>
      <c r="P580" s="16">
        <v>1200</v>
      </c>
      <c r="Q580" s="2">
        <f>VLOOKUP(B580,'Cadastro Produtos'!A:F,5,2)</f>
        <v>8.5</v>
      </c>
      <c r="R580" s="14">
        <f t="shared" si="45"/>
        <v>10200</v>
      </c>
    </row>
    <row r="581" spans="1:18" x14ac:dyDescent="0.25">
      <c r="A581">
        <v>580</v>
      </c>
      <c r="B581">
        <v>7</v>
      </c>
      <c r="C581" t="str">
        <f>VLOOKUP(B581,'Cadastro Produtos'!A:E,2,2)</f>
        <v>Limonada Alfa Zero 1 L</v>
      </c>
      <c r="D581">
        <v>1</v>
      </c>
      <c r="E581" t="str">
        <f>VLOOKUP(D581,'Cadatro Clientes'!A:O,2,2)</f>
        <v>Meu Suco de Limão</v>
      </c>
      <c r="F581" t="str">
        <f>VLOOKUP(D581,'Cadatro Clientes'!A:O,9,2)</f>
        <v>Norte</v>
      </c>
      <c r="G581" s="15">
        <v>41868</v>
      </c>
      <c r="H581">
        <f t="shared" si="46"/>
        <v>1</v>
      </c>
      <c r="I581">
        <f t="shared" si="47"/>
        <v>17</v>
      </c>
      <c r="J581">
        <f t="shared" si="48"/>
        <v>8</v>
      </c>
      <c r="K581">
        <f t="shared" si="49"/>
        <v>2014</v>
      </c>
      <c r="M581">
        <v>2</v>
      </c>
      <c r="N581" t="str">
        <f>VLOOKUP(M581,'Cadastro Vendedores'!A:H,2,2)</f>
        <v>Luis</v>
      </c>
      <c r="O581" s="2"/>
      <c r="P581" s="16">
        <v>1100</v>
      </c>
      <c r="Q581" s="2">
        <f>VLOOKUP(B581,'Cadastro Produtos'!A:F,5,2)</f>
        <v>15</v>
      </c>
      <c r="R581" s="14">
        <f t="shared" si="45"/>
        <v>16500</v>
      </c>
    </row>
    <row r="582" spans="1:18" x14ac:dyDescent="0.25">
      <c r="A582">
        <v>581</v>
      </c>
      <c r="B582">
        <v>9</v>
      </c>
      <c r="C582" t="str">
        <f>VLOOKUP(B582,'Cadastro Produtos'!A:E,2,2)</f>
        <v>Limonada Alfa com Hortelã e Açúcar 1 L</v>
      </c>
      <c r="D582">
        <v>13</v>
      </c>
      <c r="E582" t="str">
        <f>VLOOKUP(D582,'Cadatro Clientes'!A:O,2,2)</f>
        <v>Monster Lemon</v>
      </c>
      <c r="F582" t="str">
        <f>VLOOKUP(D582,'Cadatro Clientes'!A:O,9,2)</f>
        <v>Nordeste</v>
      </c>
      <c r="G582" s="15">
        <v>41869</v>
      </c>
      <c r="H582">
        <f t="shared" si="46"/>
        <v>2</v>
      </c>
      <c r="I582">
        <f t="shared" si="47"/>
        <v>18</v>
      </c>
      <c r="J582">
        <f t="shared" si="48"/>
        <v>8</v>
      </c>
      <c r="K582">
        <f t="shared" si="49"/>
        <v>2014</v>
      </c>
      <c r="M582">
        <v>12</v>
      </c>
      <c r="N582" t="str">
        <f>VLOOKUP(M582,'Cadastro Vendedores'!A:H,2,2)</f>
        <v>Paulo</v>
      </c>
      <c r="O582" s="2"/>
      <c r="P582" s="16">
        <v>1500</v>
      </c>
      <c r="Q582" s="2">
        <f>VLOOKUP(B582,'Cadastro Produtos'!A:F,5,2)</f>
        <v>17.5</v>
      </c>
      <c r="R582" s="14">
        <f t="shared" si="45"/>
        <v>26250</v>
      </c>
    </row>
    <row r="583" spans="1:18" x14ac:dyDescent="0.25">
      <c r="A583">
        <v>582</v>
      </c>
      <c r="B583">
        <v>5</v>
      </c>
      <c r="C583" t="str">
        <f>VLOOKUP(B583,'Cadastro Produtos'!A:E,2,2)</f>
        <v>Limonada Alfa com Açúcar 1 L</v>
      </c>
      <c r="D583">
        <v>18</v>
      </c>
      <c r="E583" t="str">
        <f>VLOOKUP(D583,'Cadatro Clientes'!A:O,2,2)</f>
        <v>Rio Branco Limonada Ltda</v>
      </c>
      <c r="F583" t="str">
        <f>VLOOKUP(D583,'Cadatro Clientes'!A:O,9,2)</f>
        <v>Norte</v>
      </c>
      <c r="G583" s="15">
        <v>41869</v>
      </c>
      <c r="H583">
        <f t="shared" si="46"/>
        <v>2</v>
      </c>
      <c r="I583">
        <f t="shared" si="47"/>
        <v>18</v>
      </c>
      <c r="J583">
        <f t="shared" si="48"/>
        <v>8</v>
      </c>
      <c r="K583">
        <f t="shared" si="49"/>
        <v>2014</v>
      </c>
      <c r="M583">
        <v>12</v>
      </c>
      <c r="N583" t="str">
        <f>VLOOKUP(M583,'Cadastro Vendedores'!A:H,2,2)</f>
        <v>Paulo</v>
      </c>
      <c r="O583" s="2"/>
      <c r="P583" s="16">
        <v>700</v>
      </c>
      <c r="Q583" s="2">
        <f>VLOOKUP(B583,'Cadastro Produtos'!A:F,5,2)</f>
        <v>15</v>
      </c>
      <c r="R583" s="14">
        <f t="shared" si="45"/>
        <v>10500</v>
      </c>
    </row>
    <row r="584" spans="1:18" x14ac:dyDescent="0.25">
      <c r="A584">
        <v>583</v>
      </c>
      <c r="B584">
        <v>8</v>
      </c>
      <c r="C584" t="str">
        <f>VLOOKUP(B584,'Cadastro Produtos'!A:E,2,2)</f>
        <v>Limonada Beta Zero 1 L</v>
      </c>
      <c r="D584">
        <v>13</v>
      </c>
      <c r="E584" t="str">
        <f>VLOOKUP(D584,'Cadatro Clientes'!A:O,2,2)</f>
        <v>Monster Lemon</v>
      </c>
      <c r="F584" t="str">
        <f>VLOOKUP(D584,'Cadatro Clientes'!A:O,9,2)</f>
        <v>Nordeste</v>
      </c>
      <c r="G584" s="15">
        <v>41869</v>
      </c>
      <c r="H584">
        <f t="shared" si="46"/>
        <v>2</v>
      </c>
      <c r="I584">
        <f t="shared" si="47"/>
        <v>18</v>
      </c>
      <c r="J584">
        <f t="shared" si="48"/>
        <v>8</v>
      </c>
      <c r="K584">
        <f t="shared" si="49"/>
        <v>2014</v>
      </c>
      <c r="M584">
        <v>7</v>
      </c>
      <c r="N584" t="str">
        <f>VLOOKUP(M584,'Cadastro Vendedores'!A:H,2,2)</f>
        <v>Benedito</v>
      </c>
      <c r="O584" s="2"/>
      <c r="P584" s="16">
        <v>2500</v>
      </c>
      <c r="Q584" s="2">
        <f>VLOOKUP(B584,'Cadastro Produtos'!A:F,5,2)</f>
        <v>12</v>
      </c>
      <c r="R584" s="14">
        <f t="shared" si="45"/>
        <v>30000</v>
      </c>
    </row>
    <row r="585" spans="1:18" x14ac:dyDescent="0.25">
      <c r="A585">
        <v>584</v>
      </c>
      <c r="B585">
        <v>10</v>
      </c>
      <c r="C585" t="str">
        <f>VLOOKUP(B585,'Cadastro Produtos'!A:E,2,2)</f>
        <v>Limonada Alfa com Hortelã Zero 1 L</v>
      </c>
      <c r="D585">
        <v>19</v>
      </c>
      <c r="E585" t="str">
        <f>VLOOKUP(D585,'Cadatro Clientes'!A:O,2,2)</f>
        <v>Lima Limão</v>
      </c>
      <c r="F585" t="str">
        <f>VLOOKUP(D585,'Cadatro Clientes'!A:O,9,2)</f>
        <v>Sudeste</v>
      </c>
      <c r="G585" s="15">
        <v>41870</v>
      </c>
      <c r="H585">
        <f t="shared" si="46"/>
        <v>3</v>
      </c>
      <c r="I585">
        <f t="shared" si="47"/>
        <v>19</v>
      </c>
      <c r="J585">
        <f t="shared" si="48"/>
        <v>8</v>
      </c>
      <c r="K585">
        <f t="shared" si="49"/>
        <v>2014</v>
      </c>
      <c r="M585">
        <v>7</v>
      </c>
      <c r="N585" t="str">
        <f>VLOOKUP(M585,'Cadastro Vendedores'!A:H,2,2)</f>
        <v>Benedito</v>
      </c>
      <c r="O585" s="2"/>
      <c r="P585" s="16">
        <v>1300</v>
      </c>
      <c r="Q585" s="2">
        <f>VLOOKUP(B585,'Cadastro Produtos'!A:F,5,2)</f>
        <v>21</v>
      </c>
      <c r="R585" s="14">
        <f t="shared" si="45"/>
        <v>27300</v>
      </c>
    </row>
    <row r="586" spans="1:18" x14ac:dyDescent="0.25">
      <c r="A586">
        <v>585</v>
      </c>
      <c r="B586">
        <v>6</v>
      </c>
      <c r="C586" t="str">
        <f>VLOOKUP(B586,'Cadastro Produtos'!A:E,2,2)</f>
        <v>Limonada Beta com Açúcar 1 L</v>
      </c>
      <c r="D586">
        <v>20</v>
      </c>
      <c r="E586" t="str">
        <f>VLOOKUP(D586,'Cadatro Clientes'!A:O,2,2)</f>
        <v>Brasil Saúde</v>
      </c>
      <c r="F586" t="str">
        <f>VLOOKUP(D586,'Cadatro Clientes'!A:O,9,2)</f>
        <v>Nordeste</v>
      </c>
      <c r="G586" s="15">
        <v>41870</v>
      </c>
      <c r="H586">
        <f t="shared" si="46"/>
        <v>3</v>
      </c>
      <c r="I586">
        <f t="shared" si="47"/>
        <v>19</v>
      </c>
      <c r="J586">
        <f t="shared" si="48"/>
        <v>8</v>
      </c>
      <c r="K586">
        <f t="shared" si="49"/>
        <v>2014</v>
      </c>
      <c r="M586">
        <v>12</v>
      </c>
      <c r="N586" t="str">
        <f>VLOOKUP(M586,'Cadastro Vendedores'!A:H,2,2)</f>
        <v>Paulo</v>
      </c>
      <c r="O586" s="2"/>
      <c r="P586" s="16">
        <v>2600</v>
      </c>
      <c r="Q586" s="2">
        <f>VLOOKUP(B586,'Cadastro Produtos'!A:F,5,2)</f>
        <v>12</v>
      </c>
      <c r="R586" s="14">
        <f t="shared" si="45"/>
        <v>31200</v>
      </c>
    </row>
    <row r="587" spans="1:18" x14ac:dyDescent="0.25">
      <c r="A587">
        <v>586</v>
      </c>
      <c r="B587">
        <v>8</v>
      </c>
      <c r="C587" t="str">
        <f>VLOOKUP(B587,'Cadastro Produtos'!A:E,2,2)</f>
        <v>Limonada Beta Zero 1 L</v>
      </c>
      <c r="D587">
        <v>13</v>
      </c>
      <c r="E587" t="str">
        <f>VLOOKUP(D587,'Cadatro Clientes'!A:O,2,2)</f>
        <v>Monster Lemon</v>
      </c>
      <c r="F587" t="str">
        <f>VLOOKUP(D587,'Cadatro Clientes'!A:O,9,2)</f>
        <v>Nordeste</v>
      </c>
      <c r="G587" s="15">
        <v>41870</v>
      </c>
      <c r="H587">
        <f t="shared" si="46"/>
        <v>3</v>
      </c>
      <c r="I587">
        <f t="shared" si="47"/>
        <v>19</v>
      </c>
      <c r="J587">
        <f t="shared" si="48"/>
        <v>8</v>
      </c>
      <c r="K587">
        <f t="shared" si="49"/>
        <v>2014</v>
      </c>
      <c r="M587">
        <v>8</v>
      </c>
      <c r="N587" t="str">
        <f>VLOOKUP(M587,'Cadastro Vendedores'!A:H,2,2)</f>
        <v>Sérgio</v>
      </c>
      <c r="O587" s="2"/>
      <c r="P587" s="16">
        <v>1400</v>
      </c>
      <c r="Q587" s="2">
        <f>VLOOKUP(B587,'Cadastro Produtos'!A:F,5,2)</f>
        <v>12</v>
      </c>
      <c r="R587" s="14">
        <f t="shared" si="45"/>
        <v>16800</v>
      </c>
    </row>
    <row r="588" spans="1:18" x14ac:dyDescent="0.25">
      <c r="A588">
        <v>587</v>
      </c>
      <c r="B588">
        <v>4</v>
      </c>
      <c r="C588" t="str">
        <f>VLOOKUP(B588,'Cadastro Produtos'!A:E,2,2)</f>
        <v>Limonada Beta Zero 500 ml</v>
      </c>
      <c r="D588">
        <v>7</v>
      </c>
      <c r="E588" t="str">
        <f>VLOOKUP(D588,'Cadatro Clientes'!A:O,2,2)</f>
        <v>Limo</v>
      </c>
      <c r="F588" t="str">
        <f>VLOOKUP(D588,'Cadatro Clientes'!A:O,9,2)</f>
        <v>Centro-Oeste</v>
      </c>
      <c r="G588" s="15">
        <v>41870</v>
      </c>
      <c r="H588">
        <f t="shared" si="46"/>
        <v>3</v>
      </c>
      <c r="I588">
        <f t="shared" si="47"/>
        <v>19</v>
      </c>
      <c r="J588">
        <f t="shared" si="48"/>
        <v>8</v>
      </c>
      <c r="K588">
        <f t="shared" si="49"/>
        <v>2014</v>
      </c>
      <c r="M588">
        <v>4</v>
      </c>
      <c r="N588" t="str">
        <f>VLOOKUP(M588,'Cadastro Vendedores'!A:H,2,2)</f>
        <v>José</v>
      </c>
      <c r="O588" s="2"/>
      <c r="P588" s="16">
        <v>4600</v>
      </c>
      <c r="Q588" s="2">
        <f>VLOOKUP(B588,'Cadastro Produtos'!A:F,5,2)</f>
        <v>7</v>
      </c>
      <c r="R588" s="14">
        <f t="shared" si="45"/>
        <v>32200</v>
      </c>
    </row>
    <row r="589" spans="1:18" x14ac:dyDescent="0.25">
      <c r="A589">
        <v>588</v>
      </c>
      <c r="B589">
        <v>8</v>
      </c>
      <c r="C589" t="str">
        <f>VLOOKUP(B589,'Cadastro Produtos'!A:E,2,2)</f>
        <v>Limonada Beta Zero 1 L</v>
      </c>
      <c r="D589">
        <v>13</v>
      </c>
      <c r="E589" t="str">
        <f>VLOOKUP(D589,'Cadatro Clientes'!A:O,2,2)</f>
        <v>Monster Lemon</v>
      </c>
      <c r="F589" t="str">
        <f>VLOOKUP(D589,'Cadatro Clientes'!A:O,9,2)</f>
        <v>Nordeste</v>
      </c>
      <c r="G589" s="15">
        <v>41870</v>
      </c>
      <c r="H589">
        <f t="shared" si="46"/>
        <v>3</v>
      </c>
      <c r="I589">
        <f t="shared" si="47"/>
        <v>19</v>
      </c>
      <c r="J589">
        <f t="shared" si="48"/>
        <v>8</v>
      </c>
      <c r="K589">
        <f t="shared" si="49"/>
        <v>2014</v>
      </c>
      <c r="M589">
        <v>9</v>
      </c>
      <c r="N589" t="str">
        <f>VLOOKUP(M589,'Cadastro Vendedores'!A:H,2,2)</f>
        <v>Adriana</v>
      </c>
      <c r="O589" s="2"/>
      <c r="P589" s="16">
        <v>3000</v>
      </c>
      <c r="Q589" s="2">
        <f>VLOOKUP(B589,'Cadastro Produtos'!A:F,5,2)</f>
        <v>12</v>
      </c>
      <c r="R589" s="14">
        <f t="shared" si="45"/>
        <v>36000</v>
      </c>
    </row>
    <row r="590" spans="1:18" x14ac:dyDescent="0.25">
      <c r="A590">
        <v>589</v>
      </c>
      <c r="B590">
        <v>8</v>
      </c>
      <c r="C590" t="str">
        <f>VLOOKUP(B590,'Cadastro Produtos'!A:E,2,2)</f>
        <v>Limonada Beta Zero 1 L</v>
      </c>
      <c r="D590">
        <v>6</v>
      </c>
      <c r="E590" t="str">
        <f>VLOOKUP(D590,'Cadatro Clientes'!A:O,2,2)</f>
        <v>Lemonade</v>
      </c>
      <c r="F590" t="str">
        <f>VLOOKUP(D590,'Cadatro Clientes'!A:O,9,2)</f>
        <v>Norte</v>
      </c>
      <c r="G590" s="15">
        <v>41871</v>
      </c>
      <c r="H590">
        <f t="shared" si="46"/>
        <v>4</v>
      </c>
      <c r="I590">
        <f t="shared" si="47"/>
        <v>20</v>
      </c>
      <c r="J590">
        <f t="shared" si="48"/>
        <v>8</v>
      </c>
      <c r="K590">
        <f t="shared" si="49"/>
        <v>2014</v>
      </c>
      <c r="M590">
        <v>2</v>
      </c>
      <c r="N590" t="str">
        <f>VLOOKUP(M590,'Cadastro Vendedores'!A:H,2,2)</f>
        <v>Luis</v>
      </c>
      <c r="O590" s="2"/>
      <c r="P590" s="16">
        <v>2800</v>
      </c>
      <c r="Q590" s="2">
        <f>VLOOKUP(B590,'Cadastro Produtos'!A:F,5,2)</f>
        <v>12</v>
      </c>
      <c r="R590" s="14">
        <f t="shared" si="45"/>
        <v>33600</v>
      </c>
    </row>
    <row r="591" spans="1:18" x14ac:dyDescent="0.25">
      <c r="A591">
        <v>590</v>
      </c>
      <c r="B591">
        <v>8</v>
      </c>
      <c r="C591" t="str">
        <f>VLOOKUP(B591,'Cadastro Produtos'!A:E,2,2)</f>
        <v>Limonada Beta Zero 1 L</v>
      </c>
      <c r="D591">
        <v>6</v>
      </c>
      <c r="E591" t="str">
        <f>VLOOKUP(D591,'Cadatro Clientes'!A:O,2,2)</f>
        <v>Lemonade</v>
      </c>
      <c r="F591" t="str">
        <f>VLOOKUP(D591,'Cadatro Clientes'!A:O,9,2)</f>
        <v>Norte</v>
      </c>
      <c r="G591" s="15">
        <v>41871</v>
      </c>
      <c r="H591">
        <f t="shared" si="46"/>
        <v>4</v>
      </c>
      <c r="I591">
        <f t="shared" si="47"/>
        <v>20</v>
      </c>
      <c r="J591">
        <f t="shared" si="48"/>
        <v>8</v>
      </c>
      <c r="K591">
        <f t="shared" si="49"/>
        <v>2014</v>
      </c>
      <c r="M591">
        <v>6</v>
      </c>
      <c r="N591" t="str">
        <f>VLOOKUP(M591,'Cadastro Vendedores'!A:H,2,2)</f>
        <v>Antônia</v>
      </c>
      <c r="O591" s="2"/>
      <c r="P591" s="16">
        <v>1500</v>
      </c>
      <c r="Q591" s="2">
        <f>VLOOKUP(B591,'Cadastro Produtos'!A:F,5,2)</f>
        <v>12</v>
      </c>
      <c r="R591" s="14">
        <f t="shared" si="45"/>
        <v>18000</v>
      </c>
    </row>
    <row r="592" spans="1:18" x14ac:dyDescent="0.25">
      <c r="A592">
        <v>591</v>
      </c>
      <c r="B592">
        <v>5</v>
      </c>
      <c r="C592" t="str">
        <f>VLOOKUP(B592,'Cadastro Produtos'!A:E,2,2)</f>
        <v>Limonada Alfa com Açúcar 1 L</v>
      </c>
      <c r="D592">
        <v>7</v>
      </c>
      <c r="E592" t="str">
        <f>VLOOKUP(D592,'Cadatro Clientes'!A:O,2,2)</f>
        <v>Limo</v>
      </c>
      <c r="F592" t="str">
        <f>VLOOKUP(D592,'Cadatro Clientes'!A:O,9,2)</f>
        <v>Centro-Oeste</v>
      </c>
      <c r="G592" s="15">
        <v>41871</v>
      </c>
      <c r="H592">
        <f t="shared" si="46"/>
        <v>4</v>
      </c>
      <c r="I592">
        <f t="shared" si="47"/>
        <v>20</v>
      </c>
      <c r="J592">
        <f t="shared" si="48"/>
        <v>8</v>
      </c>
      <c r="K592">
        <f t="shared" si="49"/>
        <v>2014</v>
      </c>
      <c r="M592">
        <v>2</v>
      </c>
      <c r="N592" t="str">
        <f>VLOOKUP(M592,'Cadastro Vendedores'!A:H,2,2)</f>
        <v>Luis</v>
      </c>
      <c r="O592" s="2"/>
      <c r="P592" s="16">
        <v>1100</v>
      </c>
      <c r="Q592" s="2">
        <f>VLOOKUP(B592,'Cadastro Produtos'!A:F,5,2)</f>
        <v>15</v>
      </c>
      <c r="R592" s="14">
        <f t="shared" si="45"/>
        <v>16500</v>
      </c>
    </row>
    <row r="593" spans="1:18" x14ac:dyDescent="0.25">
      <c r="A593">
        <v>592</v>
      </c>
      <c r="B593">
        <v>2</v>
      </c>
      <c r="C593" t="str">
        <f>VLOOKUP(B593,'Cadastro Produtos'!A:E,2,2)</f>
        <v>Limonada Beta com Açúcar 500 ml</v>
      </c>
      <c r="D593">
        <v>5</v>
      </c>
      <c r="E593" t="str">
        <f>VLOOKUP(D593,'Cadatro Clientes'!A:O,2,2)</f>
        <v>Axé com Limão</v>
      </c>
      <c r="F593" t="str">
        <f>VLOOKUP(D593,'Cadatro Clientes'!A:O,9,2)</f>
        <v>Nordeste</v>
      </c>
      <c r="G593" s="15">
        <v>41871</v>
      </c>
      <c r="H593">
        <f t="shared" si="46"/>
        <v>4</v>
      </c>
      <c r="I593">
        <f t="shared" si="47"/>
        <v>20</v>
      </c>
      <c r="J593">
        <f t="shared" si="48"/>
        <v>8</v>
      </c>
      <c r="K593">
        <f t="shared" si="49"/>
        <v>2014</v>
      </c>
      <c r="M593">
        <v>8</v>
      </c>
      <c r="N593" t="str">
        <f>VLOOKUP(M593,'Cadastro Vendedores'!A:H,2,2)</f>
        <v>Sérgio</v>
      </c>
      <c r="O593" s="2"/>
      <c r="P593" s="16">
        <v>4700</v>
      </c>
      <c r="Q593" s="2">
        <f>VLOOKUP(B593,'Cadastro Produtos'!A:F,5,2)</f>
        <v>6.5</v>
      </c>
      <c r="R593" s="14">
        <f t="shared" si="45"/>
        <v>30550</v>
      </c>
    </row>
    <row r="594" spans="1:18" x14ac:dyDescent="0.25">
      <c r="A594">
        <v>593</v>
      </c>
      <c r="B594">
        <v>2</v>
      </c>
      <c r="C594" t="str">
        <f>VLOOKUP(B594,'Cadastro Produtos'!A:E,2,2)</f>
        <v>Limonada Beta com Açúcar 500 ml</v>
      </c>
      <c r="D594">
        <v>11</v>
      </c>
      <c r="E594" t="str">
        <f>VLOOKUP(D594,'Cadatro Clientes'!A:O,2,2)</f>
        <v>Red Lemon</v>
      </c>
      <c r="F594" t="str">
        <f>VLOOKUP(D594,'Cadatro Clientes'!A:O,9,2)</f>
        <v>Sul</v>
      </c>
      <c r="G594" s="15">
        <v>41872</v>
      </c>
      <c r="H594">
        <f t="shared" si="46"/>
        <v>5</v>
      </c>
      <c r="I594">
        <f t="shared" si="47"/>
        <v>21</v>
      </c>
      <c r="J594">
        <f t="shared" si="48"/>
        <v>8</v>
      </c>
      <c r="K594">
        <f t="shared" si="49"/>
        <v>2014</v>
      </c>
      <c r="M594">
        <v>3</v>
      </c>
      <c r="N594" t="str">
        <f>VLOOKUP(M594,'Cadastro Vendedores'!A:H,2,2)</f>
        <v>Antônia</v>
      </c>
      <c r="O594" s="2"/>
      <c r="P594" s="16">
        <v>6100</v>
      </c>
      <c r="Q594" s="2">
        <f>VLOOKUP(B594,'Cadastro Produtos'!A:F,5,2)</f>
        <v>6.5</v>
      </c>
      <c r="R594" s="14">
        <f t="shared" si="45"/>
        <v>39650</v>
      </c>
    </row>
    <row r="595" spans="1:18" x14ac:dyDescent="0.25">
      <c r="A595">
        <v>594</v>
      </c>
      <c r="B595">
        <v>4</v>
      </c>
      <c r="C595" t="str">
        <f>VLOOKUP(B595,'Cadastro Produtos'!A:E,2,2)</f>
        <v>Limonada Beta Zero 500 ml</v>
      </c>
      <c r="D595">
        <v>8</v>
      </c>
      <c r="E595" t="str">
        <f>VLOOKUP(D595,'Cadatro Clientes'!A:O,2,2)</f>
        <v>Refresko</v>
      </c>
      <c r="F595" t="str">
        <f>VLOOKUP(D595,'Cadatro Clientes'!A:O,9,2)</f>
        <v>Sul</v>
      </c>
      <c r="G595" s="15">
        <v>41872</v>
      </c>
      <c r="H595">
        <f t="shared" si="46"/>
        <v>5</v>
      </c>
      <c r="I595">
        <f t="shared" si="47"/>
        <v>21</v>
      </c>
      <c r="J595">
        <f t="shared" si="48"/>
        <v>8</v>
      </c>
      <c r="K595">
        <f t="shared" si="49"/>
        <v>2014</v>
      </c>
      <c r="M595">
        <v>12</v>
      </c>
      <c r="N595" t="str">
        <f>VLOOKUP(M595,'Cadastro Vendedores'!A:H,2,2)</f>
        <v>Paulo</v>
      </c>
      <c r="O595" s="2"/>
      <c r="P595" s="16">
        <v>3600</v>
      </c>
      <c r="Q595" s="2">
        <f>VLOOKUP(B595,'Cadastro Produtos'!A:F,5,2)</f>
        <v>7</v>
      </c>
      <c r="R595" s="14">
        <f t="shared" si="45"/>
        <v>25200</v>
      </c>
    </row>
    <row r="596" spans="1:18" x14ac:dyDescent="0.25">
      <c r="A596">
        <v>595</v>
      </c>
      <c r="B596">
        <v>10</v>
      </c>
      <c r="C596" t="str">
        <f>VLOOKUP(B596,'Cadastro Produtos'!A:E,2,2)</f>
        <v>Limonada Alfa com Hortelã Zero 1 L</v>
      </c>
      <c r="D596">
        <v>5</v>
      </c>
      <c r="E596" t="str">
        <f>VLOOKUP(D596,'Cadatro Clientes'!A:O,2,2)</f>
        <v>Axé com Limão</v>
      </c>
      <c r="F596" t="str">
        <f>VLOOKUP(D596,'Cadatro Clientes'!A:O,9,2)</f>
        <v>Nordeste</v>
      </c>
      <c r="G596" s="15">
        <v>41872</v>
      </c>
      <c r="H596">
        <f t="shared" si="46"/>
        <v>5</v>
      </c>
      <c r="I596">
        <f t="shared" si="47"/>
        <v>21</v>
      </c>
      <c r="J596">
        <f t="shared" si="48"/>
        <v>8</v>
      </c>
      <c r="K596">
        <f t="shared" si="49"/>
        <v>2014</v>
      </c>
      <c r="M596">
        <v>2</v>
      </c>
      <c r="N596" t="str">
        <f>VLOOKUP(M596,'Cadastro Vendedores'!A:H,2,2)</f>
        <v>Luis</v>
      </c>
      <c r="O596" s="2"/>
      <c r="P596" s="16">
        <v>500</v>
      </c>
      <c r="Q596" s="2">
        <f>VLOOKUP(B596,'Cadastro Produtos'!A:F,5,2)</f>
        <v>21</v>
      </c>
      <c r="R596" s="14">
        <f t="shared" si="45"/>
        <v>10500</v>
      </c>
    </row>
    <row r="597" spans="1:18" x14ac:dyDescent="0.25">
      <c r="A597">
        <v>596</v>
      </c>
      <c r="B597">
        <v>4</v>
      </c>
      <c r="C597" t="str">
        <f>VLOOKUP(B597,'Cadastro Produtos'!A:E,2,2)</f>
        <v>Limonada Beta Zero 500 ml</v>
      </c>
      <c r="D597">
        <v>5</v>
      </c>
      <c r="E597" t="str">
        <f>VLOOKUP(D597,'Cadatro Clientes'!A:O,2,2)</f>
        <v>Axé com Limão</v>
      </c>
      <c r="F597" t="str">
        <f>VLOOKUP(D597,'Cadatro Clientes'!A:O,9,2)</f>
        <v>Nordeste</v>
      </c>
      <c r="G597" s="15">
        <v>41873</v>
      </c>
      <c r="H597">
        <f t="shared" si="46"/>
        <v>6</v>
      </c>
      <c r="I597">
        <f t="shared" si="47"/>
        <v>22</v>
      </c>
      <c r="J597">
        <f t="shared" si="48"/>
        <v>8</v>
      </c>
      <c r="K597">
        <f t="shared" si="49"/>
        <v>2014</v>
      </c>
      <c r="M597">
        <v>7</v>
      </c>
      <c r="N597" t="str">
        <f>VLOOKUP(M597,'Cadastro Vendedores'!A:H,2,2)</f>
        <v>Benedito</v>
      </c>
      <c r="O597" s="2"/>
      <c r="P597" s="16">
        <v>3400</v>
      </c>
      <c r="Q597" s="2">
        <f>VLOOKUP(B597,'Cadastro Produtos'!A:F,5,2)</f>
        <v>7</v>
      </c>
      <c r="R597" s="14">
        <f t="shared" si="45"/>
        <v>23800</v>
      </c>
    </row>
    <row r="598" spans="1:18" x14ac:dyDescent="0.25">
      <c r="A598">
        <v>597</v>
      </c>
      <c r="B598">
        <v>8</v>
      </c>
      <c r="C598" t="str">
        <f>VLOOKUP(B598,'Cadastro Produtos'!A:E,2,2)</f>
        <v>Limonada Beta Zero 1 L</v>
      </c>
      <c r="D598">
        <v>14</v>
      </c>
      <c r="E598" t="str">
        <f>VLOOKUP(D598,'Cadatro Clientes'!A:O,2,2)</f>
        <v>Sprite</v>
      </c>
      <c r="F598" t="str">
        <f>VLOOKUP(D598,'Cadatro Clientes'!A:O,9,2)</f>
        <v>Norte</v>
      </c>
      <c r="G598" s="15">
        <v>41873</v>
      </c>
      <c r="H598">
        <f t="shared" si="46"/>
        <v>6</v>
      </c>
      <c r="I598">
        <f t="shared" si="47"/>
        <v>22</v>
      </c>
      <c r="J598">
        <f t="shared" si="48"/>
        <v>8</v>
      </c>
      <c r="K598">
        <f t="shared" si="49"/>
        <v>2014</v>
      </c>
      <c r="M598">
        <v>7</v>
      </c>
      <c r="N598" t="str">
        <f>VLOOKUP(M598,'Cadastro Vendedores'!A:H,2,2)</f>
        <v>Benedito</v>
      </c>
      <c r="O598" s="2"/>
      <c r="P598" s="16">
        <v>2100</v>
      </c>
      <c r="Q598" s="2">
        <f>VLOOKUP(B598,'Cadastro Produtos'!A:F,5,2)</f>
        <v>12</v>
      </c>
      <c r="R598" s="14">
        <f t="shared" si="45"/>
        <v>25200</v>
      </c>
    </row>
    <row r="599" spans="1:18" x14ac:dyDescent="0.25">
      <c r="A599">
        <v>598</v>
      </c>
      <c r="B599">
        <v>7</v>
      </c>
      <c r="C599" t="str">
        <f>VLOOKUP(B599,'Cadastro Produtos'!A:E,2,2)</f>
        <v>Limonada Alfa Zero 1 L</v>
      </c>
      <c r="D599">
        <v>20</v>
      </c>
      <c r="E599" t="str">
        <f>VLOOKUP(D599,'Cadatro Clientes'!A:O,2,2)</f>
        <v>Brasil Saúde</v>
      </c>
      <c r="F599" t="str">
        <f>VLOOKUP(D599,'Cadatro Clientes'!A:O,9,2)</f>
        <v>Nordeste</v>
      </c>
      <c r="G599" s="15">
        <v>41873</v>
      </c>
      <c r="H599">
        <f t="shared" si="46"/>
        <v>6</v>
      </c>
      <c r="I599">
        <f t="shared" si="47"/>
        <v>22</v>
      </c>
      <c r="J599">
        <f t="shared" si="48"/>
        <v>8</v>
      </c>
      <c r="K599">
        <f t="shared" si="49"/>
        <v>2014</v>
      </c>
      <c r="M599">
        <v>7</v>
      </c>
      <c r="N599" t="str">
        <f>VLOOKUP(M599,'Cadastro Vendedores'!A:H,2,2)</f>
        <v>Benedito</v>
      </c>
      <c r="O599" s="2"/>
      <c r="P599" s="16">
        <v>700</v>
      </c>
      <c r="Q599" s="2">
        <f>VLOOKUP(B599,'Cadastro Produtos'!A:F,5,2)</f>
        <v>15</v>
      </c>
      <c r="R599" s="14">
        <f t="shared" si="45"/>
        <v>10500</v>
      </c>
    </row>
    <row r="600" spans="1:18" x14ac:dyDescent="0.25">
      <c r="A600">
        <v>599</v>
      </c>
      <c r="B600">
        <v>1</v>
      </c>
      <c r="C600" t="str">
        <f>VLOOKUP(B600,'Cadastro Produtos'!A:E,2,2)</f>
        <v>Limonada Alfa com Açúcar 500 ml</v>
      </c>
      <c r="D600">
        <v>11</v>
      </c>
      <c r="E600" t="str">
        <f>VLOOKUP(D600,'Cadatro Clientes'!A:O,2,2)</f>
        <v>Red Lemon</v>
      </c>
      <c r="F600" t="str">
        <f>VLOOKUP(D600,'Cadatro Clientes'!A:O,9,2)</f>
        <v>Sul</v>
      </c>
      <c r="G600" s="15">
        <v>41874</v>
      </c>
      <c r="H600">
        <f t="shared" si="46"/>
        <v>7</v>
      </c>
      <c r="I600">
        <f t="shared" si="47"/>
        <v>23</v>
      </c>
      <c r="J600">
        <f t="shared" si="48"/>
        <v>8</v>
      </c>
      <c r="K600">
        <f t="shared" si="49"/>
        <v>2014</v>
      </c>
      <c r="M600">
        <v>4</v>
      </c>
      <c r="N600" t="str">
        <f>VLOOKUP(M600,'Cadastro Vendedores'!A:H,2,2)</f>
        <v>José</v>
      </c>
      <c r="O600" s="2"/>
      <c r="P600" s="16">
        <v>3300</v>
      </c>
      <c r="Q600" s="2">
        <f>VLOOKUP(B600,'Cadastro Produtos'!A:F,5,2)</f>
        <v>8.5</v>
      </c>
      <c r="R600" s="14">
        <f t="shared" si="45"/>
        <v>28050</v>
      </c>
    </row>
    <row r="601" spans="1:18" x14ac:dyDescent="0.25">
      <c r="A601">
        <v>600</v>
      </c>
      <c r="B601">
        <v>9</v>
      </c>
      <c r="C601" t="str">
        <f>VLOOKUP(B601,'Cadastro Produtos'!A:E,2,2)</f>
        <v>Limonada Alfa com Hortelã e Açúcar 1 L</v>
      </c>
      <c r="D601">
        <v>19</v>
      </c>
      <c r="E601" t="str">
        <f>VLOOKUP(D601,'Cadatro Clientes'!A:O,2,2)</f>
        <v>Lima Limão</v>
      </c>
      <c r="F601" t="str">
        <f>VLOOKUP(D601,'Cadatro Clientes'!A:O,9,2)</f>
        <v>Sudeste</v>
      </c>
      <c r="G601" s="15">
        <v>41874</v>
      </c>
      <c r="H601">
        <f t="shared" si="46"/>
        <v>7</v>
      </c>
      <c r="I601">
        <f t="shared" si="47"/>
        <v>23</v>
      </c>
      <c r="J601">
        <f t="shared" si="48"/>
        <v>8</v>
      </c>
      <c r="K601">
        <f t="shared" si="49"/>
        <v>2014</v>
      </c>
      <c r="M601">
        <v>4</v>
      </c>
      <c r="N601" t="str">
        <f>VLOOKUP(M601,'Cadastro Vendedores'!A:H,2,2)</f>
        <v>José</v>
      </c>
      <c r="O601" s="2"/>
      <c r="P601" s="16">
        <v>2100</v>
      </c>
      <c r="Q601" s="2">
        <f>VLOOKUP(B601,'Cadastro Produtos'!A:F,5,2)</f>
        <v>17.5</v>
      </c>
      <c r="R601" s="14">
        <f t="shared" si="45"/>
        <v>36750</v>
      </c>
    </row>
    <row r="602" spans="1:18" x14ac:dyDescent="0.25">
      <c r="A602">
        <v>601</v>
      </c>
      <c r="B602">
        <v>2</v>
      </c>
      <c r="C602" t="str">
        <f>VLOOKUP(B602,'Cadastro Produtos'!A:E,2,2)</f>
        <v>Limonada Beta com Açúcar 500 ml</v>
      </c>
      <c r="D602">
        <v>16</v>
      </c>
      <c r="E602" t="str">
        <f>VLOOKUP(D602,'Cadatro Clientes'!A:O,2,2)</f>
        <v>Norte Suco</v>
      </c>
      <c r="F602" t="str">
        <f>VLOOKUP(D602,'Cadatro Clientes'!A:O,9,2)</f>
        <v>Nordeste</v>
      </c>
      <c r="G602" s="15">
        <v>41874</v>
      </c>
      <c r="H602">
        <f t="shared" si="46"/>
        <v>7</v>
      </c>
      <c r="I602">
        <f t="shared" si="47"/>
        <v>23</v>
      </c>
      <c r="J602">
        <f t="shared" si="48"/>
        <v>8</v>
      </c>
      <c r="K602">
        <f t="shared" si="49"/>
        <v>2014</v>
      </c>
      <c r="M602">
        <v>6</v>
      </c>
      <c r="N602" t="str">
        <f>VLOOKUP(M602,'Cadastro Vendedores'!A:H,2,2)</f>
        <v>Antônia</v>
      </c>
      <c r="O602" s="2"/>
      <c r="P602" s="16">
        <v>5100</v>
      </c>
      <c r="Q602" s="2">
        <f>VLOOKUP(B602,'Cadastro Produtos'!A:F,5,2)</f>
        <v>6.5</v>
      </c>
      <c r="R602" s="14">
        <f t="shared" si="45"/>
        <v>33150</v>
      </c>
    </row>
    <row r="603" spans="1:18" x14ac:dyDescent="0.25">
      <c r="A603">
        <v>602</v>
      </c>
      <c r="B603">
        <v>10</v>
      </c>
      <c r="C603" t="str">
        <f>VLOOKUP(B603,'Cadastro Produtos'!A:E,2,2)</f>
        <v>Limonada Alfa com Hortelã Zero 1 L</v>
      </c>
      <c r="D603">
        <v>14</v>
      </c>
      <c r="E603" t="str">
        <f>VLOOKUP(D603,'Cadatro Clientes'!A:O,2,2)</f>
        <v>Sprite</v>
      </c>
      <c r="F603" t="str">
        <f>VLOOKUP(D603,'Cadatro Clientes'!A:O,9,2)</f>
        <v>Norte</v>
      </c>
      <c r="G603" s="15">
        <v>41875</v>
      </c>
      <c r="H603">
        <f t="shared" si="46"/>
        <v>1</v>
      </c>
      <c r="I603">
        <f t="shared" si="47"/>
        <v>24</v>
      </c>
      <c r="J603">
        <f t="shared" si="48"/>
        <v>8</v>
      </c>
      <c r="K603">
        <f t="shared" si="49"/>
        <v>2014</v>
      </c>
      <c r="M603">
        <v>3</v>
      </c>
      <c r="N603" t="str">
        <f>VLOOKUP(M603,'Cadastro Vendedores'!A:H,2,2)</f>
        <v>Antônia</v>
      </c>
      <c r="O603" s="2"/>
      <c r="P603" s="16">
        <v>1200</v>
      </c>
      <c r="Q603" s="2">
        <f>VLOOKUP(B603,'Cadastro Produtos'!A:F,5,2)</f>
        <v>21</v>
      </c>
      <c r="R603" s="14">
        <f t="shared" si="45"/>
        <v>25200</v>
      </c>
    </row>
    <row r="604" spans="1:18" x14ac:dyDescent="0.25">
      <c r="A604">
        <v>603</v>
      </c>
      <c r="B604">
        <v>3</v>
      </c>
      <c r="C604" t="str">
        <f>VLOOKUP(B604,'Cadastro Produtos'!A:E,2,2)</f>
        <v>Limonada Alfa Zero 500 ml</v>
      </c>
      <c r="D604">
        <v>8</v>
      </c>
      <c r="E604" t="str">
        <f>VLOOKUP(D604,'Cadatro Clientes'!A:O,2,2)</f>
        <v>Refresko</v>
      </c>
      <c r="F604" t="str">
        <f>VLOOKUP(D604,'Cadatro Clientes'!A:O,9,2)</f>
        <v>Sul</v>
      </c>
      <c r="G604" s="15">
        <v>41875</v>
      </c>
      <c r="H604">
        <f t="shared" si="46"/>
        <v>1</v>
      </c>
      <c r="I604">
        <f t="shared" si="47"/>
        <v>24</v>
      </c>
      <c r="J604">
        <f t="shared" si="48"/>
        <v>8</v>
      </c>
      <c r="K604">
        <f t="shared" si="49"/>
        <v>2014</v>
      </c>
      <c r="M604">
        <v>4</v>
      </c>
      <c r="N604" t="str">
        <f>VLOOKUP(M604,'Cadastro Vendedores'!A:H,2,2)</f>
        <v>José</v>
      </c>
      <c r="O604" s="2"/>
      <c r="P604" s="16">
        <v>3600</v>
      </c>
      <c r="Q604" s="2">
        <f>VLOOKUP(B604,'Cadastro Produtos'!A:F,5,2)</f>
        <v>9</v>
      </c>
      <c r="R604" s="14">
        <f t="shared" si="45"/>
        <v>32400</v>
      </c>
    </row>
    <row r="605" spans="1:18" x14ac:dyDescent="0.25">
      <c r="A605">
        <v>604</v>
      </c>
      <c r="B605">
        <v>1</v>
      </c>
      <c r="C605" t="str">
        <f>VLOOKUP(B605,'Cadastro Produtos'!A:E,2,2)</f>
        <v>Limonada Alfa com Açúcar 500 ml</v>
      </c>
      <c r="D605">
        <v>5</v>
      </c>
      <c r="E605" t="str">
        <f>VLOOKUP(D605,'Cadatro Clientes'!A:O,2,2)</f>
        <v>Axé com Limão</v>
      </c>
      <c r="F605" t="str">
        <f>VLOOKUP(D605,'Cadatro Clientes'!A:O,9,2)</f>
        <v>Nordeste</v>
      </c>
      <c r="G605" s="15">
        <v>41875</v>
      </c>
      <c r="H605">
        <f t="shared" si="46"/>
        <v>1</v>
      </c>
      <c r="I605">
        <f t="shared" si="47"/>
        <v>24</v>
      </c>
      <c r="J605">
        <f t="shared" si="48"/>
        <v>8</v>
      </c>
      <c r="K605">
        <f t="shared" si="49"/>
        <v>2014</v>
      </c>
      <c r="M605">
        <v>9</v>
      </c>
      <c r="N605" t="str">
        <f>VLOOKUP(M605,'Cadastro Vendedores'!A:H,2,2)</f>
        <v>Adriana</v>
      </c>
      <c r="O605" s="2"/>
      <c r="P605" s="16">
        <v>1900</v>
      </c>
      <c r="Q605" s="2">
        <f>VLOOKUP(B605,'Cadastro Produtos'!A:F,5,2)</f>
        <v>8.5</v>
      </c>
      <c r="R605" s="14">
        <f t="shared" si="45"/>
        <v>16150</v>
      </c>
    </row>
    <row r="606" spans="1:18" x14ac:dyDescent="0.25">
      <c r="A606">
        <v>605</v>
      </c>
      <c r="B606">
        <v>2</v>
      </c>
      <c r="C606" t="str">
        <f>VLOOKUP(B606,'Cadastro Produtos'!A:E,2,2)</f>
        <v>Limonada Beta com Açúcar 500 ml</v>
      </c>
      <c r="D606">
        <v>4</v>
      </c>
      <c r="E606" t="str">
        <f>VLOOKUP(D606,'Cadatro Clientes'!A:O,2,2)</f>
        <v>Limão Carioca e Cia</v>
      </c>
      <c r="F606" t="str">
        <f>VLOOKUP(D606,'Cadatro Clientes'!A:O,9,2)</f>
        <v>Sudeste</v>
      </c>
      <c r="G606" s="15">
        <v>41876</v>
      </c>
      <c r="H606">
        <f t="shared" si="46"/>
        <v>2</v>
      </c>
      <c r="I606">
        <f t="shared" si="47"/>
        <v>25</v>
      </c>
      <c r="J606">
        <f t="shared" si="48"/>
        <v>8</v>
      </c>
      <c r="K606">
        <f t="shared" si="49"/>
        <v>2014</v>
      </c>
      <c r="M606">
        <v>3</v>
      </c>
      <c r="N606" t="str">
        <f>VLOOKUP(M606,'Cadastro Vendedores'!A:H,2,2)</f>
        <v>Antônia</v>
      </c>
      <c r="O606" s="2"/>
      <c r="P606" s="16">
        <v>6900</v>
      </c>
      <c r="Q606" s="2">
        <f>VLOOKUP(B606,'Cadastro Produtos'!A:F,5,2)</f>
        <v>6.5</v>
      </c>
      <c r="R606" s="14">
        <f t="shared" si="45"/>
        <v>44850</v>
      </c>
    </row>
    <row r="607" spans="1:18" x14ac:dyDescent="0.25">
      <c r="A607">
        <v>606</v>
      </c>
      <c r="B607">
        <v>8</v>
      </c>
      <c r="C607" t="str">
        <f>VLOOKUP(B607,'Cadastro Produtos'!A:E,2,2)</f>
        <v>Limonada Beta Zero 1 L</v>
      </c>
      <c r="D607">
        <v>8</v>
      </c>
      <c r="E607" t="str">
        <f>VLOOKUP(D607,'Cadatro Clientes'!A:O,2,2)</f>
        <v>Refresko</v>
      </c>
      <c r="F607" t="str">
        <f>VLOOKUP(D607,'Cadatro Clientes'!A:O,9,2)</f>
        <v>Sul</v>
      </c>
      <c r="G607" s="15">
        <v>41877</v>
      </c>
      <c r="H607">
        <f t="shared" si="46"/>
        <v>3</v>
      </c>
      <c r="I607">
        <f t="shared" si="47"/>
        <v>26</v>
      </c>
      <c r="J607">
        <f t="shared" si="48"/>
        <v>8</v>
      </c>
      <c r="K607">
        <f t="shared" si="49"/>
        <v>2014</v>
      </c>
      <c r="M607">
        <v>3</v>
      </c>
      <c r="N607" t="str">
        <f>VLOOKUP(M607,'Cadastro Vendedores'!A:H,2,2)</f>
        <v>Antônia</v>
      </c>
      <c r="O607" s="2"/>
      <c r="P607" s="16">
        <v>2200</v>
      </c>
      <c r="Q607" s="2">
        <f>VLOOKUP(B607,'Cadastro Produtos'!A:F,5,2)</f>
        <v>12</v>
      </c>
      <c r="R607" s="14">
        <f t="shared" si="45"/>
        <v>26400</v>
      </c>
    </row>
    <row r="608" spans="1:18" x14ac:dyDescent="0.25">
      <c r="A608">
        <v>607</v>
      </c>
      <c r="B608">
        <v>10</v>
      </c>
      <c r="C608" t="str">
        <f>VLOOKUP(B608,'Cadastro Produtos'!A:E,2,2)</f>
        <v>Limonada Alfa com Hortelã Zero 1 L</v>
      </c>
      <c r="D608">
        <v>7</v>
      </c>
      <c r="E608" t="str">
        <f>VLOOKUP(D608,'Cadatro Clientes'!A:O,2,2)</f>
        <v>Limo</v>
      </c>
      <c r="F608" t="str">
        <f>VLOOKUP(D608,'Cadatro Clientes'!A:O,9,2)</f>
        <v>Centro-Oeste</v>
      </c>
      <c r="G608" s="15">
        <v>41877</v>
      </c>
      <c r="H608">
        <f t="shared" si="46"/>
        <v>3</v>
      </c>
      <c r="I608">
        <f t="shared" si="47"/>
        <v>26</v>
      </c>
      <c r="J608">
        <f t="shared" si="48"/>
        <v>8</v>
      </c>
      <c r="K608">
        <f t="shared" si="49"/>
        <v>2014</v>
      </c>
      <c r="M608">
        <v>6</v>
      </c>
      <c r="N608" t="str">
        <f>VLOOKUP(M608,'Cadastro Vendedores'!A:H,2,2)</f>
        <v>Antônia</v>
      </c>
      <c r="O608" s="2"/>
      <c r="P608" s="16">
        <v>1200</v>
      </c>
      <c r="Q608" s="2">
        <f>VLOOKUP(B608,'Cadastro Produtos'!A:F,5,2)</f>
        <v>21</v>
      </c>
      <c r="R608" s="14">
        <f t="shared" si="45"/>
        <v>25200</v>
      </c>
    </row>
    <row r="609" spans="1:18" x14ac:dyDescent="0.25">
      <c r="A609">
        <v>608</v>
      </c>
      <c r="B609">
        <v>2</v>
      </c>
      <c r="C609" t="str">
        <f>VLOOKUP(B609,'Cadastro Produtos'!A:E,2,2)</f>
        <v>Limonada Beta com Açúcar 500 ml</v>
      </c>
      <c r="D609">
        <v>8</v>
      </c>
      <c r="E609" t="str">
        <f>VLOOKUP(D609,'Cadatro Clientes'!A:O,2,2)</f>
        <v>Refresko</v>
      </c>
      <c r="F609" t="str">
        <f>VLOOKUP(D609,'Cadatro Clientes'!A:O,9,2)</f>
        <v>Sul</v>
      </c>
      <c r="G609" s="15">
        <v>41878</v>
      </c>
      <c r="H609">
        <f t="shared" si="46"/>
        <v>4</v>
      </c>
      <c r="I609">
        <f t="shared" si="47"/>
        <v>27</v>
      </c>
      <c r="J609">
        <f t="shared" si="48"/>
        <v>8</v>
      </c>
      <c r="K609">
        <f t="shared" si="49"/>
        <v>2014</v>
      </c>
      <c r="M609">
        <v>4</v>
      </c>
      <c r="N609" t="str">
        <f>VLOOKUP(M609,'Cadastro Vendedores'!A:H,2,2)</f>
        <v>José</v>
      </c>
      <c r="O609" s="2"/>
      <c r="P609" s="16">
        <v>2300</v>
      </c>
      <c r="Q609" s="2">
        <f>VLOOKUP(B609,'Cadastro Produtos'!A:F,5,2)</f>
        <v>6.5</v>
      </c>
      <c r="R609" s="14">
        <f t="shared" si="45"/>
        <v>14950</v>
      </c>
    </row>
    <row r="610" spans="1:18" x14ac:dyDescent="0.25">
      <c r="A610">
        <v>609</v>
      </c>
      <c r="B610">
        <v>3</v>
      </c>
      <c r="C610" t="str">
        <f>VLOOKUP(B610,'Cadastro Produtos'!A:E,2,2)</f>
        <v>Limonada Alfa Zero 500 ml</v>
      </c>
      <c r="D610">
        <v>14</v>
      </c>
      <c r="E610" t="str">
        <f>VLOOKUP(D610,'Cadatro Clientes'!A:O,2,2)</f>
        <v>Sprite</v>
      </c>
      <c r="F610" t="str">
        <f>VLOOKUP(D610,'Cadatro Clientes'!A:O,9,2)</f>
        <v>Norte</v>
      </c>
      <c r="G610" s="15">
        <v>41878</v>
      </c>
      <c r="H610">
        <f t="shared" si="46"/>
        <v>4</v>
      </c>
      <c r="I610">
        <f t="shared" si="47"/>
        <v>27</v>
      </c>
      <c r="J610">
        <f t="shared" si="48"/>
        <v>8</v>
      </c>
      <c r="K610">
        <f t="shared" si="49"/>
        <v>2014</v>
      </c>
      <c r="M610">
        <v>4</v>
      </c>
      <c r="N610" t="str">
        <f>VLOOKUP(M610,'Cadastro Vendedores'!A:H,2,2)</f>
        <v>José</v>
      </c>
      <c r="O610" s="2"/>
      <c r="P610" s="16">
        <v>2000</v>
      </c>
      <c r="Q610" s="2">
        <f>VLOOKUP(B610,'Cadastro Produtos'!A:F,5,2)</f>
        <v>9</v>
      </c>
      <c r="R610" s="14">
        <f t="shared" si="45"/>
        <v>18000</v>
      </c>
    </row>
    <row r="611" spans="1:18" x14ac:dyDescent="0.25">
      <c r="A611">
        <v>610</v>
      </c>
      <c r="B611">
        <v>2</v>
      </c>
      <c r="C611" t="str">
        <f>VLOOKUP(B611,'Cadastro Produtos'!A:E,2,2)</f>
        <v>Limonada Beta com Açúcar 500 ml</v>
      </c>
      <c r="D611">
        <v>19</v>
      </c>
      <c r="E611" t="str">
        <f>VLOOKUP(D611,'Cadatro Clientes'!A:O,2,2)</f>
        <v>Lima Limão</v>
      </c>
      <c r="F611" t="str">
        <f>VLOOKUP(D611,'Cadatro Clientes'!A:O,9,2)</f>
        <v>Sudeste</v>
      </c>
      <c r="G611" s="15">
        <v>41878</v>
      </c>
      <c r="H611">
        <f t="shared" si="46"/>
        <v>4</v>
      </c>
      <c r="I611">
        <f t="shared" si="47"/>
        <v>27</v>
      </c>
      <c r="J611">
        <f t="shared" si="48"/>
        <v>8</v>
      </c>
      <c r="K611">
        <f t="shared" si="49"/>
        <v>2014</v>
      </c>
      <c r="M611">
        <v>8</v>
      </c>
      <c r="N611" t="str">
        <f>VLOOKUP(M611,'Cadastro Vendedores'!A:H,2,2)</f>
        <v>Sérgio</v>
      </c>
      <c r="O611" s="2"/>
      <c r="P611" s="16">
        <v>4600</v>
      </c>
      <c r="Q611" s="2">
        <f>VLOOKUP(B611,'Cadastro Produtos'!A:F,5,2)</f>
        <v>6.5</v>
      </c>
      <c r="R611" s="14">
        <f t="shared" si="45"/>
        <v>29900</v>
      </c>
    </row>
    <row r="612" spans="1:18" x14ac:dyDescent="0.25">
      <c r="A612">
        <v>611</v>
      </c>
      <c r="B612">
        <v>8</v>
      </c>
      <c r="C612" t="str">
        <f>VLOOKUP(B612,'Cadastro Produtos'!A:E,2,2)</f>
        <v>Limonada Beta Zero 1 L</v>
      </c>
      <c r="D612">
        <v>11</v>
      </c>
      <c r="E612" t="str">
        <f>VLOOKUP(D612,'Cadatro Clientes'!A:O,2,2)</f>
        <v>Red Lemon</v>
      </c>
      <c r="F612" t="str">
        <f>VLOOKUP(D612,'Cadatro Clientes'!A:O,9,2)</f>
        <v>Sul</v>
      </c>
      <c r="G612" s="15">
        <v>41878</v>
      </c>
      <c r="H612">
        <f t="shared" si="46"/>
        <v>4</v>
      </c>
      <c r="I612">
        <f t="shared" si="47"/>
        <v>27</v>
      </c>
      <c r="J612">
        <f t="shared" si="48"/>
        <v>8</v>
      </c>
      <c r="K612">
        <f t="shared" si="49"/>
        <v>2014</v>
      </c>
      <c r="M612">
        <v>4</v>
      </c>
      <c r="N612" t="str">
        <f>VLOOKUP(M612,'Cadastro Vendedores'!A:H,2,2)</f>
        <v>José</v>
      </c>
      <c r="O612" s="2"/>
      <c r="P612" s="16">
        <v>2500</v>
      </c>
      <c r="Q612" s="2">
        <f>VLOOKUP(B612,'Cadastro Produtos'!A:F,5,2)</f>
        <v>12</v>
      </c>
      <c r="R612" s="14">
        <f t="shared" si="45"/>
        <v>30000</v>
      </c>
    </row>
    <row r="613" spans="1:18" x14ac:dyDescent="0.25">
      <c r="A613">
        <v>612</v>
      </c>
      <c r="B613">
        <v>6</v>
      </c>
      <c r="C613" t="str">
        <f>VLOOKUP(B613,'Cadastro Produtos'!A:E,2,2)</f>
        <v>Limonada Beta com Açúcar 1 L</v>
      </c>
      <c r="D613">
        <v>8</v>
      </c>
      <c r="E613" t="str">
        <f>VLOOKUP(D613,'Cadatro Clientes'!A:O,2,2)</f>
        <v>Refresko</v>
      </c>
      <c r="F613" t="str">
        <f>VLOOKUP(D613,'Cadatro Clientes'!A:O,9,2)</f>
        <v>Sul</v>
      </c>
      <c r="G613" s="15">
        <v>41879</v>
      </c>
      <c r="H613">
        <f t="shared" si="46"/>
        <v>5</v>
      </c>
      <c r="I613">
        <f t="shared" si="47"/>
        <v>28</v>
      </c>
      <c r="J613">
        <f t="shared" si="48"/>
        <v>8</v>
      </c>
      <c r="K613">
        <f t="shared" si="49"/>
        <v>2014</v>
      </c>
      <c r="M613">
        <v>4</v>
      </c>
      <c r="N613" t="str">
        <f>VLOOKUP(M613,'Cadastro Vendedores'!A:H,2,2)</f>
        <v>José</v>
      </c>
      <c r="O613" s="2"/>
      <c r="P613" s="16">
        <v>1300</v>
      </c>
      <c r="Q613" s="2">
        <f>VLOOKUP(B613,'Cadastro Produtos'!A:F,5,2)</f>
        <v>12</v>
      </c>
      <c r="R613" s="14">
        <f t="shared" si="45"/>
        <v>15600</v>
      </c>
    </row>
    <row r="614" spans="1:18" x14ac:dyDescent="0.25">
      <c r="A614">
        <v>613</v>
      </c>
      <c r="B614">
        <v>8</v>
      </c>
      <c r="C614" t="str">
        <f>VLOOKUP(B614,'Cadastro Produtos'!A:E,2,2)</f>
        <v>Limonada Beta Zero 1 L</v>
      </c>
      <c r="D614">
        <v>1</v>
      </c>
      <c r="E614" t="str">
        <f>VLOOKUP(D614,'Cadatro Clientes'!A:O,2,2)</f>
        <v>Meu Suco de Limão</v>
      </c>
      <c r="F614" t="str">
        <f>VLOOKUP(D614,'Cadatro Clientes'!A:O,9,2)</f>
        <v>Norte</v>
      </c>
      <c r="G614" s="15">
        <v>41880</v>
      </c>
      <c r="H614">
        <f t="shared" si="46"/>
        <v>6</v>
      </c>
      <c r="I614">
        <f t="shared" si="47"/>
        <v>29</v>
      </c>
      <c r="J614">
        <f t="shared" si="48"/>
        <v>8</v>
      </c>
      <c r="K614">
        <f t="shared" si="49"/>
        <v>2014</v>
      </c>
      <c r="M614">
        <v>4</v>
      </c>
      <c r="N614" t="str">
        <f>VLOOKUP(M614,'Cadastro Vendedores'!A:H,2,2)</f>
        <v>José</v>
      </c>
      <c r="O614" s="2"/>
      <c r="P614" s="16">
        <v>2200</v>
      </c>
      <c r="Q614" s="2">
        <f>VLOOKUP(B614,'Cadastro Produtos'!A:F,5,2)</f>
        <v>12</v>
      </c>
      <c r="R614" s="14">
        <f t="shared" si="45"/>
        <v>26400</v>
      </c>
    </row>
    <row r="615" spans="1:18" x14ac:dyDescent="0.25">
      <c r="A615">
        <v>614</v>
      </c>
      <c r="B615">
        <v>1</v>
      </c>
      <c r="C615" t="str">
        <f>VLOOKUP(B615,'Cadastro Produtos'!A:E,2,2)</f>
        <v>Limonada Alfa com Açúcar 500 ml</v>
      </c>
      <c r="D615">
        <v>5</v>
      </c>
      <c r="E615" t="str">
        <f>VLOOKUP(D615,'Cadatro Clientes'!A:O,2,2)</f>
        <v>Axé com Limão</v>
      </c>
      <c r="F615" t="str">
        <f>VLOOKUP(D615,'Cadatro Clientes'!A:O,9,2)</f>
        <v>Nordeste</v>
      </c>
      <c r="G615" s="15">
        <v>41880</v>
      </c>
      <c r="H615">
        <f t="shared" si="46"/>
        <v>6</v>
      </c>
      <c r="I615">
        <f t="shared" si="47"/>
        <v>29</v>
      </c>
      <c r="J615">
        <f t="shared" si="48"/>
        <v>8</v>
      </c>
      <c r="K615">
        <f t="shared" si="49"/>
        <v>2014</v>
      </c>
      <c r="M615">
        <v>12</v>
      </c>
      <c r="N615" t="str">
        <f>VLOOKUP(M615,'Cadastro Vendedores'!A:H,2,2)</f>
        <v>Paulo</v>
      </c>
      <c r="O615" s="2"/>
      <c r="P615" s="16">
        <v>2300</v>
      </c>
      <c r="Q615" s="2">
        <f>VLOOKUP(B615,'Cadastro Produtos'!A:F,5,2)</f>
        <v>8.5</v>
      </c>
      <c r="R615" s="14">
        <f t="shared" si="45"/>
        <v>19550</v>
      </c>
    </row>
    <row r="616" spans="1:18" x14ac:dyDescent="0.25">
      <c r="A616">
        <v>615</v>
      </c>
      <c r="B616">
        <v>1</v>
      </c>
      <c r="C616" t="str">
        <f>VLOOKUP(B616,'Cadastro Produtos'!A:E,2,2)</f>
        <v>Limonada Alfa com Açúcar 500 ml</v>
      </c>
      <c r="D616">
        <v>16</v>
      </c>
      <c r="E616" t="str">
        <f>VLOOKUP(D616,'Cadatro Clientes'!A:O,2,2)</f>
        <v>Norte Suco</v>
      </c>
      <c r="F616" t="str">
        <f>VLOOKUP(D616,'Cadatro Clientes'!A:O,9,2)</f>
        <v>Nordeste</v>
      </c>
      <c r="G616" s="15">
        <v>41880</v>
      </c>
      <c r="H616">
        <f t="shared" si="46"/>
        <v>6</v>
      </c>
      <c r="I616">
        <f t="shared" si="47"/>
        <v>29</v>
      </c>
      <c r="J616">
        <f t="shared" si="48"/>
        <v>8</v>
      </c>
      <c r="K616">
        <f t="shared" si="49"/>
        <v>2014</v>
      </c>
      <c r="M616">
        <v>4</v>
      </c>
      <c r="N616" t="str">
        <f>VLOOKUP(M616,'Cadastro Vendedores'!A:H,2,2)</f>
        <v>José</v>
      </c>
      <c r="O616" s="2"/>
      <c r="P616" s="16">
        <v>2000</v>
      </c>
      <c r="Q616" s="2">
        <f>VLOOKUP(B616,'Cadastro Produtos'!A:F,5,2)</f>
        <v>8.5</v>
      </c>
      <c r="R616" s="14">
        <f t="shared" si="45"/>
        <v>17000</v>
      </c>
    </row>
    <row r="617" spans="1:18" x14ac:dyDescent="0.25">
      <c r="A617">
        <v>616</v>
      </c>
      <c r="B617">
        <v>3</v>
      </c>
      <c r="C617" t="str">
        <f>VLOOKUP(B617,'Cadastro Produtos'!A:E,2,2)</f>
        <v>Limonada Alfa Zero 500 ml</v>
      </c>
      <c r="D617">
        <v>6</v>
      </c>
      <c r="E617" t="str">
        <f>VLOOKUP(D617,'Cadatro Clientes'!A:O,2,2)</f>
        <v>Lemonade</v>
      </c>
      <c r="F617" t="str">
        <f>VLOOKUP(D617,'Cadatro Clientes'!A:O,9,2)</f>
        <v>Norte</v>
      </c>
      <c r="G617" s="15">
        <v>41880</v>
      </c>
      <c r="H617">
        <f t="shared" si="46"/>
        <v>6</v>
      </c>
      <c r="I617">
        <f t="shared" si="47"/>
        <v>29</v>
      </c>
      <c r="J617">
        <f t="shared" si="48"/>
        <v>8</v>
      </c>
      <c r="K617">
        <f t="shared" si="49"/>
        <v>2014</v>
      </c>
      <c r="M617">
        <v>4</v>
      </c>
      <c r="N617" t="str">
        <f>VLOOKUP(M617,'Cadastro Vendedores'!A:H,2,2)</f>
        <v>José</v>
      </c>
      <c r="O617" s="2"/>
      <c r="P617" s="16">
        <v>3000</v>
      </c>
      <c r="Q617" s="2">
        <f>VLOOKUP(B617,'Cadastro Produtos'!A:F,5,2)</f>
        <v>9</v>
      </c>
      <c r="R617" s="14">
        <f t="shared" si="45"/>
        <v>27000</v>
      </c>
    </row>
    <row r="618" spans="1:18" x14ac:dyDescent="0.25">
      <c r="A618">
        <v>617</v>
      </c>
      <c r="B618">
        <v>3</v>
      </c>
      <c r="C618" t="str">
        <f>VLOOKUP(B618,'Cadastro Produtos'!A:E,2,2)</f>
        <v>Limonada Alfa Zero 500 ml</v>
      </c>
      <c r="D618">
        <v>6</v>
      </c>
      <c r="E618" t="str">
        <f>VLOOKUP(D618,'Cadatro Clientes'!A:O,2,2)</f>
        <v>Lemonade</v>
      </c>
      <c r="F618" t="str">
        <f>VLOOKUP(D618,'Cadatro Clientes'!A:O,9,2)</f>
        <v>Norte</v>
      </c>
      <c r="G618" s="15">
        <v>41881</v>
      </c>
      <c r="H618">
        <f t="shared" si="46"/>
        <v>7</v>
      </c>
      <c r="I618">
        <f t="shared" si="47"/>
        <v>30</v>
      </c>
      <c r="J618">
        <f t="shared" si="48"/>
        <v>8</v>
      </c>
      <c r="K618">
        <f t="shared" si="49"/>
        <v>2014</v>
      </c>
      <c r="M618">
        <v>8</v>
      </c>
      <c r="N618" t="str">
        <f>VLOOKUP(M618,'Cadastro Vendedores'!A:H,2,2)</f>
        <v>Sérgio</v>
      </c>
      <c r="O618" s="2"/>
      <c r="P618" s="16">
        <v>2300</v>
      </c>
      <c r="Q618" s="2">
        <f>VLOOKUP(B618,'Cadastro Produtos'!A:F,5,2)</f>
        <v>9</v>
      </c>
      <c r="R618" s="14">
        <f t="shared" si="45"/>
        <v>20700</v>
      </c>
    </row>
    <row r="619" spans="1:18" x14ac:dyDescent="0.25">
      <c r="A619">
        <v>618</v>
      </c>
      <c r="B619">
        <v>7</v>
      </c>
      <c r="C619" t="str">
        <f>VLOOKUP(B619,'Cadastro Produtos'!A:E,2,2)</f>
        <v>Limonada Alfa Zero 1 L</v>
      </c>
      <c r="D619">
        <v>20</v>
      </c>
      <c r="E619" t="str">
        <f>VLOOKUP(D619,'Cadatro Clientes'!A:O,2,2)</f>
        <v>Brasil Saúde</v>
      </c>
      <c r="F619" t="str">
        <f>VLOOKUP(D619,'Cadatro Clientes'!A:O,9,2)</f>
        <v>Nordeste</v>
      </c>
      <c r="G619" s="15">
        <v>41881</v>
      </c>
      <c r="H619">
        <f t="shared" si="46"/>
        <v>7</v>
      </c>
      <c r="I619">
        <f t="shared" si="47"/>
        <v>30</v>
      </c>
      <c r="J619">
        <f t="shared" si="48"/>
        <v>8</v>
      </c>
      <c r="K619">
        <f t="shared" si="49"/>
        <v>2014</v>
      </c>
      <c r="M619">
        <v>4</v>
      </c>
      <c r="N619" t="str">
        <f>VLOOKUP(M619,'Cadastro Vendedores'!A:H,2,2)</f>
        <v>José</v>
      </c>
      <c r="O619" s="2"/>
      <c r="P619" s="16">
        <v>1300</v>
      </c>
      <c r="Q619" s="2">
        <f>VLOOKUP(B619,'Cadastro Produtos'!A:F,5,2)</f>
        <v>15</v>
      </c>
      <c r="R619" s="14">
        <f t="shared" si="45"/>
        <v>19500</v>
      </c>
    </row>
    <row r="620" spans="1:18" x14ac:dyDescent="0.25">
      <c r="A620">
        <v>619</v>
      </c>
      <c r="B620">
        <v>6</v>
      </c>
      <c r="C620" t="str">
        <f>VLOOKUP(B620,'Cadastro Produtos'!A:E,2,2)</f>
        <v>Limonada Beta com Açúcar 1 L</v>
      </c>
      <c r="D620">
        <v>5</v>
      </c>
      <c r="E620" t="str">
        <f>VLOOKUP(D620,'Cadatro Clientes'!A:O,2,2)</f>
        <v>Axé com Limão</v>
      </c>
      <c r="F620" t="str">
        <f>VLOOKUP(D620,'Cadatro Clientes'!A:O,9,2)</f>
        <v>Nordeste</v>
      </c>
      <c r="G620" s="15">
        <v>41882</v>
      </c>
      <c r="H620">
        <f t="shared" si="46"/>
        <v>1</v>
      </c>
      <c r="I620">
        <f t="shared" si="47"/>
        <v>31</v>
      </c>
      <c r="J620">
        <f t="shared" si="48"/>
        <v>8</v>
      </c>
      <c r="K620">
        <f t="shared" si="49"/>
        <v>2014</v>
      </c>
      <c r="M620">
        <v>4</v>
      </c>
      <c r="N620" t="str">
        <f>VLOOKUP(M620,'Cadastro Vendedores'!A:H,2,2)</f>
        <v>José</v>
      </c>
      <c r="O620" s="2"/>
      <c r="P620" s="16">
        <v>1400</v>
      </c>
      <c r="Q620" s="2">
        <f>VLOOKUP(B620,'Cadastro Produtos'!A:F,5,2)</f>
        <v>12</v>
      </c>
      <c r="R620" s="14">
        <f t="shared" si="45"/>
        <v>16800</v>
      </c>
    </row>
    <row r="621" spans="1:18" x14ac:dyDescent="0.25">
      <c r="A621">
        <v>620</v>
      </c>
      <c r="B621">
        <v>9</v>
      </c>
      <c r="C621" t="str">
        <f>VLOOKUP(B621,'Cadastro Produtos'!A:E,2,2)</f>
        <v>Limonada Alfa com Hortelã e Açúcar 1 L</v>
      </c>
      <c r="D621">
        <v>17</v>
      </c>
      <c r="E621" t="str">
        <f>VLOOKUP(D621,'Cadatro Clientes'!A:O,2,2)</f>
        <v>Aracasuco</v>
      </c>
      <c r="F621" t="str">
        <f>VLOOKUP(D621,'Cadatro Clientes'!A:O,9,2)</f>
        <v>Nordeste</v>
      </c>
      <c r="G621" s="15">
        <v>41882</v>
      </c>
      <c r="H621">
        <f t="shared" si="46"/>
        <v>1</v>
      </c>
      <c r="I621">
        <f t="shared" si="47"/>
        <v>31</v>
      </c>
      <c r="J621">
        <f t="shared" si="48"/>
        <v>8</v>
      </c>
      <c r="K621">
        <f t="shared" si="49"/>
        <v>2014</v>
      </c>
      <c r="M621">
        <v>4</v>
      </c>
      <c r="N621" t="str">
        <f>VLOOKUP(M621,'Cadastro Vendedores'!A:H,2,2)</f>
        <v>José</v>
      </c>
      <c r="O621" s="2"/>
      <c r="P621" s="16">
        <v>1300</v>
      </c>
      <c r="Q621" s="2">
        <f>VLOOKUP(B621,'Cadastro Produtos'!A:F,5,2)</f>
        <v>17.5</v>
      </c>
      <c r="R621" s="14">
        <f t="shared" si="45"/>
        <v>22750</v>
      </c>
    </row>
    <row r="622" spans="1:18" x14ac:dyDescent="0.25">
      <c r="A622">
        <v>621</v>
      </c>
      <c r="B622">
        <v>2</v>
      </c>
      <c r="C622" t="str">
        <f>VLOOKUP(B622,'Cadastro Produtos'!A:E,2,2)</f>
        <v>Limonada Beta com Açúcar 500 ml</v>
      </c>
      <c r="D622">
        <v>14</v>
      </c>
      <c r="E622" t="str">
        <f>VLOOKUP(D622,'Cadatro Clientes'!A:O,2,2)</f>
        <v>Sprite</v>
      </c>
      <c r="F622" t="str">
        <f>VLOOKUP(D622,'Cadatro Clientes'!A:O,9,2)</f>
        <v>Norte</v>
      </c>
      <c r="G622" s="15">
        <v>41882</v>
      </c>
      <c r="H622">
        <f t="shared" si="46"/>
        <v>1</v>
      </c>
      <c r="I622">
        <f t="shared" si="47"/>
        <v>31</v>
      </c>
      <c r="J622">
        <f t="shared" si="48"/>
        <v>8</v>
      </c>
      <c r="K622">
        <f t="shared" si="49"/>
        <v>2014</v>
      </c>
      <c r="M622">
        <v>6</v>
      </c>
      <c r="N622" t="str">
        <f>VLOOKUP(M622,'Cadastro Vendedores'!A:H,2,2)</f>
        <v>Antônia</v>
      </c>
      <c r="O622" s="2"/>
      <c r="P622" s="16">
        <v>1500</v>
      </c>
      <c r="Q622" s="2">
        <f>VLOOKUP(B622,'Cadastro Produtos'!A:F,5,2)</f>
        <v>6.5</v>
      </c>
      <c r="R622" s="14">
        <f t="shared" si="45"/>
        <v>9750</v>
      </c>
    </row>
    <row r="623" spans="1:18" x14ac:dyDescent="0.25">
      <c r="A623">
        <v>622</v>
      </c>
      <c r="B623">
        <v>6</v>
      </c>
      <c r="C623" t="str">
        <f>VLOOKUP(B623,'Cadastro Produtos'!A:E,2,2)</f>
        <v>Limonada Beta com Açúcar 1 L</v>
      </c>
      <c r="D623">
        <v>5</v>
      </c>
      <c r="E623" t="str">
        <f>VLOOKUP(D623,'Cadatro Clientes'!A:O,2,2)</f>
        <v>Axé com Limão</v>
      </c>
      <c r="F623" t="str">
        <f>VLOOKUP(D623,'Cadatro Clientes'!A:O,9,2)</f>
        <v>Nordeste</v>
      </c>
      <c r="G623" s="15">
        <v>41882</v>
      </c>
      <c r="H623">
        <f t="shared" si="46"/>
        <v>1</v>
      </c>
      <c r="I623">
        <f t="shared" si="47"/>
        <v>31</v>
      </c>
      <c r="J623">
        <f t="shared" si="48"/>
        <v>8</v>
      </c>
      <c r="K623">
        <f t="shared" si="49"/>
        <v>2014</v>
      </c>
      <c r="M623">
        <v>4</v>
      </c>
      <c r="N623" t="str">
        <f>VLOOKUP(M623,'Cadastro Vendedores'!A:H,2,2)</f>
        <v>José</v>
      </c>
      <c r="O623" s="2"/>
      <c r="P623" s="16">
        <v>700</v>
      </c>
      <c r="Q623" s="2">
        <f>VLOOKUP(B623,'Cadastro Produtos'!A:F,5,2)</f>
        <v>12</v>
      </c>
      <c r="R623" s="14">
        <f t="shared" si="45"/>
        <v>8400</v>
      </c>
    </row>
    <row r="624" spans="1:18" x14ac:dyDescent="0.25">
      <c r="A624">
        <v>623</v>
      </c>
      <c r="B624">
        <v>6</v>
      </c>
      <c r="C624" t="str">
        <f>VLOOKUP(B624,'Cadastro Produtos'!A:E,2,2)</f>
        <v>Limonada Beta com Açúcar 1 L</v>
      </c>
      <c r="D624">
        <v>8</v>
      </c>
      <c r="E624" t="str">
        <f>VLOOKUP(D624,'Cadatro Clientes'!A:O,2,2)</f>
        <v>Refresko</v>
      </c>
      <c r="F624" t="str">
        <f>VLOOKUP(D624,'Cadatro Clientes'!A:O,9,2)</f>
        <v>Sul</v>
      </c>
      <c r="G624" s="15">
        <v>41883</v>
      </c>
      <c r="H624">
        <f t="shared" si="46"/>
        <v>2</v>
      </c>
      <c r="I624">
        <f t="shared" si="47"/>
        <v>1</v>
      </c>
      <c r="J624">
        <f t="shared" si="48"/>
        <v>9</v>
      </c>
      <c r="K624">
        <f t="shared" si="49"/>
        <v>2014</v>
      </c>
      <c r="M624">
        <v>3</v>
      </c>
      <c r="N624" t="str">
        <f>VLOOKUP(M624,'Cadastro Vendedores'!A:H,2,2)</f>
        <v>Antônia</v>
      </c>
      <c r="O624" s="2"/>
      <c r="P624" s="16">
        <v>2700</v>
      </c>
      <c r="Q624" s="2">
        <f>VLOOKUP(B624,'Cadastro Produtos'!A:F,5,2)</f>
        <v>12</v>
      </c>
      <c r="R624" s="14">
        <f t="shared" si="45"/>
        <v>32400</v>
      </c>
    </row>
    <row r="625" spans="1:18" x14ac:dyDescent="0.25">
      <c r="A625">
        <v>624</v>
      </c>
      <c r="B625">
        <v>5</v>
      </c>
      <c r="C625" t="str">
        <f>VLOOKUP(B625,'Cadastro Produtos'!A:E,2,2)</f>
        <v>Limonada Alfa com Açúcar 1 L</v>
      </c>
      <c r="D625">
        <v>7</v>
      </c>
      <c r="E625" t="str">
        <f>VLOOKUP(D625,'Cadatro Clientes'!A:O,2,2)</f>
        <v>Limo</v>
      </c>
      <c r="F625" t="str">
        <f>VLOOKUP(D625,'Cadatro Clientes'!A:O,9,2)</f>
        <v>Centro-Oeste</v>
      </c>
      <c r="G625" s="15">
        <v>41884</v>
      </c>
      <c r="H625">
        <f t="shared" si="46"/>
        <v>3</v>
      </c>
      <c r="I625">
        <f t="shared" si="47"/>
        <v>2</v>
      </c>
      <c r="J625">
        <f t="shared" si="48"/>
        <v>9</v>
      </c>
      <c r="K625">
        <f t="shared" si="49"/>
        <v>2014</v>
      </c>
      <c r="M625">
        <v>8</v>
      </c>
      <c r="N625" t="str">
        <f>VLOOKUP(M625,'Cadastro Vendedores'!A:H,2,2)</f>
        <v>Sérgio</v>
      </c>
      <c r="O625" s="2"/>
      <c r="P625" s="16">
        <v>1100</v>
      </c>
      <c r="Q625" s="2">
        <f>VLOOKUP(B625,'Cadastro Produtos'!A:F,5,2)</f>
        <v>15</v>
      </c>
      <c r="R625" s="14">
        <f t="shared" si="45"/>
        <v>16500</v>
      </c>
    </row>
    <row r="626" spans="1:18" x14ac:dyDescent="0.25">
      <c r="A626">
        <v>625</v>
      </c>
      <c r="B626">
        <v>10</v>
      </c>
      <c r="C626" t="str">
        <f>VLOOKUP(B626,'Cadastro Produtos'!A:E,2,2)</f>
        <v>Limonada Alfa com Hortelã Zero 1 L</v>
      </c>
      <c r="D626">
        <v>9</v>
      </c>
      <c r="E626" t="str">
        <f>VLOOKUP(D626,'Cadatro Clientes'!A:O,2,2)</f>
        <v>Fresh Lemon</v>
      </c>
      <c r="F626" t="str">
        <f>VLOOKUP(D626,'Cadatro Clientes'!A:O,9,2)</f>
        <v>Sudeste</v>
      </c>
      <c r="G626" s="15">
        <v>41884</v>
      </c>
      <c r="H626">
        <f t="shared" si="46"/>
        <v>3</v>
      </c>
      <c r="I626">
        <f t="shared" si="47"/>
        <v>2</v>
      </c>
      <c r="J626">
        <f t="shared" si="48"/>
        <v>9</v>
      </c>
      <c r="K626">
        <f t="shared" si="49"/>
        <v>2014</v>
      </c>
      <c r="M626">
        <v>12</v>
      </c>
      <c r="N626" t="str">
        <f>VLOOKUP(M626,'Cadastro Vendedores'!A:H,2,2)</f>
        <v>Paulo</v>
      </c>
      <c r="O626" s="2"/>
      <c r="P626" s="16">
        <v>1000</v>
      </c>
      <c r="Q626" s="2">
        <f>VLOOKUP(B626,'Cadastro Produtos'!A:F,5,2)</f>
        <v>21</v>
      </c>
      <c r="R626" s="14">
        <f t="shared" si="45"/>
        <v>21000</v>
      </c>
    </row>
    <row r="627" spans="1:18" x14ac:dyDescent="0.25">
      <c r="A627">
        <v>626</v>
      </c>
      <c r="B627">
        <v>2</v>
      </c>
      <c r="C627" t="str">
        <f>VLOOKUP(B627,'Cadastro Produtos'!A:E,2,2)</f>
        <v>Limonada Beta com Açúcar 500 ml</v>
      </c>
      <c r="D627">
        <v>19</v>
      </c>
      <c r="E627" t="str">
        <f>VLOOKUP(D627,'Cadatro Clientes'!A:O,2,2)</f>
        <v>Lima Limão</v>
      </c>
      <c r="F627" t="str">
        <f>VLOOKUP(D627,'Cadatro Clientes'!A:O,9,2)</f>
        <v>Sudeste</v>
      </c>
      <c r="G627" s="15">
        <v>41884</v>
      </c>
      <c r="H627">
        <f t="shared" si="46"/>
        <v>3</v>
      </c>
      <c r="I627">
        <f t="shared" si="47"/>
        <v>2</v>
      </c>
      <c r="J627">
        <f t="shared" si="48"/>
        <v>9</v>
      </c>
      <c r="K627">
        <f t="shared" si="49"/>
        <v>2014</v>
      </c>
      <c r="M627">
        <v>3</v>
      </c>
      <c r="N627" t="str">
        <f>VLOOKUP(M627,'Cadastro Vendedores'!A:H,2,2)</f>
        <v>Antônia</v>
      </c>
      <c r="O627" s="2"/>
      <c r="P627" s="16">
        <v>3500</v>
      </c>
      <c r="Q627" s="2">
        <f>VLOOKUP(B627,'Cadastro Produtos'!A:F,5,2)</f>
        <v>6.5</v>
      </c>
      <c r="R627" s="14">
        <f t="shared" si="45"/>
        <v>22750</v>
      </c>
    </row>
    <row r="628" spans="1:18" x14ac:dyDescent="0.25">
      <c r="A628">
        <v>627</v>
      </c>
      <c r="B628">
        <v>6</v>
      </c>
      <c r="C628" t="str">
        <f>VLOOKUP(B628,'Cadastro Produtos'!A:E,2,2)</f>
        <v>Limonada Beta com Açúcar 1 L</v>
      </c>
      <c r="D628">
        <v>7</v>
      </c>
      <c r="E628" t="str">
        <f>VLOOKUP(D628,'Cadatro Clientes'!A:O,2,2)</f>
        <v>Limo</v>
      </c>
      <c r="F628" t="str">
        <f>VLOOKUP(D628,'Cadatro Clientes'!A:O,9,2)</f>
        <v>Centro-Oeste</v>
      </c>
      <c r="G628" s="15">
        <v>41885</v>
      </c>
      <c r="H628">
        <f t="shared" si="46"/>
        <v>4</v>
      </c>
      <c r="I628">
        <f t="shared" si="47"/>
        <v>3</v>
      </c>
      <c r="J628">
        <f t="shared" si="48"/>
        <v>9</v>
      </c>
      <c r="K628">
        <f t="shared" si="49"/>
        <v>2014</v>
      </c>
      <c r="M628">
        <v>4</v>
      </c>
      <c r="N628" t="str">
        <f>VLOOKUP(M628,'Cadastro Vendedores'!A:H,2,2)</f>
        <v>José</v>
      </c>
      <c r="O628" s="2"/>
      <c r="P628" s="16">
        <v>4100</v>
      </c>
      <c r="Q628" s="2">
        <f>VLOOKUP(B628,'Cadastro Produtos'!A:F,5,2)</f>
        <v>12</v>
      </c>
      <c r="R628" s="14">
        <f t="shared" si="45"/>
        <v>49200</v>
      </c>
    </row>
    <row r="629" spans="1:18" x14ac:dyDescent="0.25">
      <c r="A629">
        <v>628</v>
      </c>
      <c r="B629">
        <v>1</v>
      </c>
      <c r="C629" t="str">
        <f>VLOOKUP(B629,'Cadastro Produtos'!A:E,2,2)</f>
        <v>Limonada Alfa com Açúcar 500 ml</v>
      </c>
      <c r="D629">
        <v>2</v>
      </c>
      <c r="E629" t="str">
        <f>VLOOKUP(D629,'Cadatro Clientes'!A:O,2,2)</f>
        <v>Limão S/A</v>
      </c>
      <c r="F629" t="str">
        <f>VLOOKUP(D629,'Cadatro Clientes'!A:O,9,2)</f>
        <v>Centro-Oeste</v>
      </c>
      <c r="G629" s="15">
        <v>41885</v>
      </c>
      <c r="H629">
        <f t="shared" si="46"/>
        <v>4</v>
      </c>
      <c r="I629">
        <f t="shared" si="47"/>
        <v>3</v>
      </c>
      <c r="J629">
        <f t="shared" si="48"/>
        <v>9</v>
      </c>
      <c r="K629">
        <f t="shared" si="49"/>
        <v>2014</v>
      </c>
      <c r="M629">
        <v>8</v>
      </c>
      <c r="N629" t="str">
        <f>VLOOKUP(M629,'Cadastro Vendedores'!A:H,2,2)</f>
        <v>Sérgio</v>
      </c>
      <c r="O629" s="2"/>
      <c r="P629" s="16">
        <v>3100</v>
      </c>
      <c r="Q629" s="2">
        <f>VLOOKUP(B629,'Cadastro Produtos'!A:F,5,2)</f>
        <v>8.5</v>
      </c>
      <c r="R629" s="14">
        <f t="shared" si="45"/>
        <v>26350</v>
      </c>
    </row>
    <row r="630" spans="1:18" x14ac:dyDescent="0.25">
      <c r="A630">
        <v>629</v>
      </c>
      <c r="B630">
        <v>3</v>
      </c>
      <c r="C630" t="str">
        <f>VLOOKUP(B630,'Cadastro Produtos'!A:E,2,2)</f>
        <v>Limonada Alfa Zero 500 ml</v>
      </c>
      <c r="D630">
        <v>18</v>
      </c>
      <c r="E630" t="str">
        <f>VLOOKUP(D630,'Cadatro Clientes'!A:O,2,2)</f>
        <v>Rio Branco Limonada Ltda</v>
      </c>
      <c r="F630" t="str">
        <f>VLOOKUP(D630,'Cadatro Clientes'!A:O,9,2)</f>
        <v>Norte</v>
      </c>
      <c r="G630" s="15">
        <v>41885</v>
      </c>
      <c r="H630">
        <f t="shared" si="46"/>
        <v>4</v>
      </c>
      <c r="I630">
        <f t="shared" si="47"/>
        <v>3</v>
      </c>
      <c r="J630">
        <f t="shared" si="48"/>
        <v>9</v>
      </c>
      <c r="K630">
        <f t="shared" si="49"/>
        <v>2014</v>
      </c>
      <c r="M630">
        <v>3</v>
      </c>
      <c r="N630" t="str">
        <f>VLOOKUP(M630,'Cadastro Vendedores'!A:H,2,2)</f>
        <v>Antônia</v>
      </c>
      <c r="O630" s="2"/>
      <c r="P630" s="16">
        <v>2900</v>
      </c>
      <c r="Q630" s="2">
        <f>VLOOKUP(B630,'Cadastro Produtos'!A:F,5,2)</f>
        <v>9</v>
      </c>
      <c r="R630" s="14">
        <f t="shared" si="45"/>
        <v>26100</v>
      </c>
    </row>
    <row r="631" spans="1:18" x14ac:dyDescent="0.25">
      <c r="A631">
        <v>630</v>
      </c>
      <c r="B631">
        <v>6</v>
      </c>
      <c r="C631" t="str">
        <f>VLOOKUP(B631,'Cadastro Produtos'!A:E,2,2)</f>
        <v>Limonada Beta com Açúcar 1 L</v>
      </c>
      <c r="D631">
        <v>14</v>
      </c>
      <c r="E631" t="str">
        <f>VLOOKUP(D631,'Cadatro Clientes'!A:O,2,2)</f>
        <v>Sprite</v>
      </c>
      <c r="F631" t="str">
        <f>VLOOKUP(D631,'Cadatro Clientes'!A:O,9,2)</f>
        <v>Norte</v>
      </c>
      <c r="G631" s="15">
        <v>41885</v>
      </c>
      <c r="H631">
        <f t="shared" si="46"/>
        <v>4</v>
      </c>
      <c r="I631">
        <f t="shared" si="47"/>
        <v>3</v>
      </c>
      <c r="J631">
        <f t="shared" si="48"/>
        <v>9</v>
      </c>
      <c r="K631">
        <f t="shared" si="49"/>
        <v>2014</v>
      </c>
      <c r="M631">
        <v>7</v>
      </c>
      <c r="N631" t="str">
        <f>VLOOKUP(M631,'Cadastro Vendedores'!A:H,2,2)</f>
        <v>Benedito</v>
      </c>
      <c r="O631" s="2"/>
      <c r="P631" s="16">
        <v>4000</v>
      </c>
      <c r="Q631" s="2">
        <f>VLOOKUP(B631,'Cadastro Produtos'!A:F,5,2)</f>
        <v>12</v>
      </c>
      <c r="R631" s="14">
        <f t="shared" si="45"/>
        <v>48000</v>
      </c>
    </row>
    <row r="632" spans="1:18" x14ac:dyDescent="0.25">
      <c r="A632">
        <v>631</v>
      </c>
      <c r="B632">
        <v>2</v>
      </c>
      <c r="C632" t="str">
        <f>VLOOKUP(B632,'Cadastro Produtos'!A:E,2,2)</f>
        <v>Limonada Beta com Açúcar 500 ml</v>
      </c>
      <c r="D632">
        <v>6</v>
      </c>
      <c r="E632" t="str">
        <f>VLOOKUP(D632,'Cadatro Clientes'!A:O,2,2)</f>
        <v>Lemonade</v>
      </c>
      <c r="F632" t="str">
        <f>VLOOKUP(D632,'Cadatro Clientes'!A:O,9,2)</f>
        <v>Norte</v>
      </c>
      <c r="G632" s="15">
        <v>41885</v>
      </c>
      <c r="H632">
        <f t="shared" si="46"/>
        <v>4</v>
      </c>
      <c r="I632">
        <f t="shared" si="47"/>
        <v>3</v>
      </c>
      <c r="J632">
        <f t="shared" si="48"/>
        <v>9</v>
      </c>
      <c r="K632">
        <f t="shared" si="49"/>
        <v>2014</v>
      </c>
      <c r="M632">
        <v>3</v>
      </c>
      <c r="N632" t="str">
        <f>VLOOKUP(M632,'Cadastro Vendedores'!A:H,2,2)</f>
        <v>Antônia</v>
      </c>
      <c r="O632" s="2"/>
      <c r="P632" s="16">
        <v>6600</v>
      </c>
      <c r="Q632" s="2">
        <f>VLOOKUP(B632,'Cadastro Produtos'!A:F,5,2)</f>
        <v>6.5</v>
      </c>
      <c r="R632" s="14">
        <f t="shared" si="45"/>
        <v>42900</v>
      </c>
    </row>
    <row r="633" spans="1:18" x14ac:dyDescent="0.25">
      <c r="A633">
        <v>632</v>
      </c>
      <c r="B633">
        <v>9</v>
      </c>
      <c r="C633" t="str">
        <f>VLOOKUP(B633,'Cadastro Produtos'!A:E,2,2)</f>
        <v>Limonada Alfa com Hortelã e Açúcar 1 L</v>
      </c>
      <c r="D633">
        <v>1</v>
      </c>
      <c r="E633" t="str">
        <f>VLOOKUP(D633,'Cadatro Clientes'!A:O,2,2)</f>
        <v>Meu Suco de Limão</v>
      </c>
      <c r="F633" t="str">
        <f>VLOOKUP(D633,'Cadatro Clientes'!A:O,9,2)</f>
        <v>Norte</v>
      </c>
      <c r="G633" s="15">
        <v>41885</v>
      </c>
      <c r="H633">
        <f t="shared" si="46"/>
        <v>4</v>
      </c>
      <c r="I633">
        <f t="shared" si="47"/>
        <v>3</v>
      </c>
      <c r="J633">
        <f t="shared" si="48"/>
        <v>9</v>
      </c>
      <c r="K633">
        <f t="shared" si="49"/>
        <v>2014</v>
      </c>
      <c r="M633">
        <v>8</v>
      </c>
      <c r="N633" t="str">
        <f>VLOOKUP(M633,'Cadastro Vendedores'!A:H,2,2)</f>
        <v>Sérgio</v>
      </c>
      <c r="O633" s="2"/>
      <c r="P633" s="16">
        <v>2000</v>
      </c>
      <c r="Q633" s="2">
        <f>VLOOKUP(B633,'Cadastro Produtos'!A:F,5,2)</f>
        <v>17.5</v>
      </c>
      <c r="R633" s="14">
        <f t="shared" si="45"/>
        <v>35000</v>
      </c>
    </row>
    <row r="634" spans="1:18" x14ac:dyDescent="0.25">
      <c r="A634">
        <v>633</v>
      </c>
      <c r="B634">
        <v>2</v>
      </c>
      <c r="C634" t="str">
        <f>VLOOKUP(B634,'Cadastro Produtos'!A:E,2,2)</f>
        <v>Limonada Beta com Açúcar 500 ml</v>
      </c>
      <c r="D634">
        <v>4</v>
      </c>
      <c r="E634" t="str">
        <f>VLOOKUP(D634,'Cadatro Clientes'!A:O,2,2)</f>
        <v>Limão Carioca e Cia</v>
      </c>
      <c r="F634" t="str">
        <f>VLOOKUP(D634,'Cadatro Clientes'!A:O,9,2)</f>
        <v>Sudeste</v>
      </c>
      <c r="G634" s="15">
        <v>41886</v>
      </c>
      <c r="H634">
        <f t="shared" si="46"/>
        <v>5</v>
      </c>
      <c r="I634">
        <f t="shared" si="47"/>
        <v>4</v>
      </c>
      <c r="J634">
        <f t="shared" si="48"/>
        <v>9</v>
      </c>
      <c r="K634">
        <f t="shared" si="49"/>
        <v>2014</v>
      </c>
      <c r="M634">
        <v>2</v>
      </c>
      <c r="N634" t="str">
        <f>VLOOKUP(M634,'Cadastro Vendedores'!A:H,2,2)</f>
        <v>Luis</v>
      </c>
      <c r="O634" s="2"/>
      <c r="P634" s="16">
        <v>5900</v>
      </c>
      <c r="Q634" s="2">
        <f>VLOOKUP(B634,'Cadastro Produtos'!A:F,5,2)</f>
        <v>6.5</v>
      </c>
      <c r="R634" s="14">
        <f t="shared" si="45"/>
        <v>38350</v>
      </c>
    </row>
    <row r="635" spans="1:18" x14ac:dyDescent="0.25">
      <c r="A635">
        <v>634</v>
      </c>
      <c r="B635">
        <v>7</v>
      </c>
      <c r="C635" t="str">
        <f>VLOOKUP(B635,'Cadastro Produtos'!A:E,2,2)</f>
        <v>Limonada Alfa Zero 1 L</v>
      </c>
      <c r="D635">
        <v>8</v>
      </c>
      <c r="E635" t="str">
        <f>VLOOKUP(D635,'Cadatro Clientes'!A:O,2,2)</f>
        <v>Refresko</v>
      </c>
      <c r="F635" t="str">
        <f>VLOOKUP(D635,'Cadatro Clientes'!A:O,9,2)</f>
        <v>Sul</v>
      </c>
      <c r="G635" s="15">
        <v>41886</v>
      </c>
      <c r="H635">
        <f t="shared" si="46"/>
        <v>5</v>
      </c>
      <c r="I635">
        <f t="shared" si="47"/>
        <v>4</v>
      </c>
      <c r="J635">
        <f t="shared" si="48"/>
        <v>9</v>
      </c>
      <c r="K635">
        <f t="shared" si="49"/>
        <v>2014</v>
      </c>
      <c r="M635">
        <v>2</v>
      </c>
      <c r="N635" t="str">
        <f>VLOOKUP(M635,'Cadastro Vendedores'!A:H,2,2)</f>
        <v>Luis</v>
      </c>
      <c r="O635" s="2"/>
      <c r="P635" s="16">
        <v>1600</v>
      </c>
      <c r="Q635" s="2">
        <f>VLOOKUP(B635,'Cadastro Produtos'!A:F,5,2)</f>
        <v>15</v>
      </c>
      <c r="R635" s="14">
        <f t="shared" si="45"/>
        <v>24000</v>
      </c>
    </row>
    <row r="636" spans="1:18" x14ac:dyDescent="0.25">
      <c r="A636">
        <v>635</v>
      </c>
      <c r="B636">
        <v>10</v>
      </c>
      <c r="C636" t="str">
        <f>VLOOKUP(B636,'Cadastro Produtos'!A:E,2,2)</f>
        <v>Limonada Alfa com Hortelã Zero 1 L</v>
      </c>
      <c r="D636">
        <v>16</v>
      </c>
      <c r="E636" t="str">
        <f>VLOOKUP(D636,'Cadatro Clientes'!A:O,2,2)</f>
        <v>Norte Suco</v>
      </c>
      <c r="F636" t="str">
        <f>VLOOKUP(D636,'Cadatro Clientes'!A:O,9,2)</f>
        <v>Nordeste</v>
      </c>
      <c r="G636" s="15">
        <v>41887</v>
      </c>
      <c r="H636">
        <f t="shared" si="46"/>
        <v>6</v>
      </c>
      <c r="I636">
        <f t="shared" si="47"/>
        <v>5</v>
      </c>
      <c r="J636">
        <f t="shared" si="48"/>
        <v>9</v>
      </c>
      <c r="K636">
        <f t="shared" si="49"/>
        <v>2014</v>
      </c>
      <c r="M636">
        <v>4</v>
      </c>
      <c r="N636" t="str">
        <f>VLOOKUP(M636,'Cadastro Vendedores'!A:H,2,2)</f>
        <v>José</v>
      </c>
      <c r="O636" s="2"/>
      <c r="P636" s="16">
        <v>600</v>
      </c>
      <c r="Q636" s="2">
        <f>VLOOKUP(B636,'Cadastro Produtos'!A:F,5,2)</f>
        <v>21</v>
      </c>
      <c r="R636" s="14">
        <f t="shared" si="45"/>
        <v>12600</v>
      </c>
    </row>
    <row r="637" spans="1:18" x14ac:dyDescent="0.25">
      <c r="A637">
        <v>636</v>
      </c>
      <c r="B637">
        <v>8</v>
      </c>
      <c r="C637" t="str">
        <f>VLOOKUP(B637,'Cadastro Produtos'!A:E,2,2)</f>
        <v>Limonada Beta Zero 1 L</v>
      </c>
      <c r="D637">
        <v>7</v>
      </c>
      <c r="E637" t="str">
        <f>VLOOKUP(D637,'Cadatro Clientes'!A:O,2,2)</f>
        <v>Limo</v>
      </c>
      <c r="F637" t="str">
        <f>VLOOKUP(D637,'Cadatro Clientes'!A:O,9,2)</f>
        <v>Centro-Oeste</v>
      </c>
      <c r="G637" s="15">
        <v>41887</v>
      </c>
      <c r="H637">
        <f t="shared" si="46"/>
        <v>6</v>
      </c>
      <c r="I637">
        <f t="shared" si="47"/>
        <v>5</v>
      </c>
      <c r="J637">
        <f t="shared" si="48"/>
        <v>9</v>
      </c>
      <c r="K637">
        <f t="shared" si="49"/>
        <v>2014</v>
      </c>
      <c r="M637">
        <v>4</v>
      </c>
      <c r="N637" t="str">
        <f>VLOOKUP(M637,'Cadastro Vendedores'!A:H,2,2)</f>
        <v>José</v>
      </c>
      <c r="O637" s="2"/>
      <c r="P637" s="16">
        <v>2500</v>
      </c>
      <c r="Q637" s="2">
        <f>VLOOKUP(B637,'Cadastro Produtos'!A:F,5,2)</f>
        <v>12</v>
      </c>
      <c r="R637" s="14">
        <f t="shared" si="45"/>
        <v>30000</v>
      </c>
    </row>
    <row r="638" spans="1:18" x14ac:dyDescent="0.25">
      <c r="A638">
        <v>637</v>
      </c>
      <c r="B638">
        <v>4</v>
      </c>
      <c r="C638" t="str">
        <f>VLOOKUP(B638,'Cadastro Produtos'!A:E,2,2)</f>
        <v>Limonada Beta Zero 500 ml</v>
      </c>
      <c r="D638">
        <v>11</v>
      </c>
      <c r="E638" t="str">
        <f>VLOOKUP(D638,'Cadatro Clientes'!A:O,2,2)</f>
        <v>Red Lemon</v>
      </c>
      <c r="F638" t="str">
        <f>VLOOKUP(D638,'Cadatro Clientes'!A:O,9,2)</f>
        <v>Sul</v>
      </c>
      <c r="G638" s="15">
        <v>41887</v>
      </c>
      <c r="H638">
        <f t="shared" si="46"/>
        <v>6</v>
      </c>
      <c r="I638">
        <f t="shared" si="47"/>
        <v>5</v>
      </c>
      <c r="J638">
        <f t="shared" si="48"/>
        <v>9</v>
      </c>
      <c r="K638">
        <f t="shared" si="49"/>
        <v>2014</v>
      </c>
      <c r="M638">
        <v>4</v>
      </c>
      <c r="N638" t="str">
        <f>VLOOKUP(M638,'Cadastro Vendedores'!A:H,2,2)</f>
        <v>José</v>
      </c>
      <c r="O638" s="2"/>
      <c r="P638" s="16">
        <v>5900</v>
      </c>
      <c r="Q638" s="2">
        <f>VLOOKUP(B638,'Cadastro Produtos'!A:F,5,2)</f>
        <v>7</v>
      </c>
      <c r="R638" s="14">
        <f t="shared" si="45"/>
        <v>41300</v>
      </c>
    </row>
    <row r="639" spans="1:18" x14ac:dyDescent="0.25">
      <c r="A639">
        <v>638</v>
      </c>
      <c r="B639">
        <v>5</v>
      </c>
      <c r="C639" t="str">
        <f>VLOOKUP(B639,'Cadastro Produtos'!A:E,2,2)</f>
        <v>Limonada Alfa com Açúcar 1 L</v>
      </c>
      <c r="D639">
        <v>5</v>
      </c>
      <c r="E639" t="str">
        <f>VLOOKUP(D639,'Cadatro Clientes'!A:O,2,2)</f>
        <v>Axé com Limão</v>
      </c>
      <c r="F639" t="str">
        <f>VLOOKUP(D639,'Cadatro Clientes'!A:O,9,2)</f>
        <v>Nordeste</v>
      </c>
      <c r="G639" s="15">
        <v>41887</v>
      </c>
      <c r="H639">
        <f t="shared" si="46"/>
        <v>6</v>
      </c>
      <c r="I639">
        <f t="shared" si="47"/>
        <v>5</v>
      </c>
      <c r="J639">
        <f t="shared" si="48"/>
        <v>9</v>
      </c>
      <c r="K639">
        <f t="shared" si="49"/>
        <v>2014</v>
      </c>
      <c r="M639">
        <v>7</v>
      </c>
      <c r="N639" t="str">
        <f>VLOOKUP(M639,'Cadastro Vendedores'!A:H,2,2)</f>
        <v>Benedito</v>
      </c>
      <c r="O639" s="2"/>
      <c r="P639" s="16">
        <v>3100</v>
      </c>
      <c r="Q639" s="2">
        <f>VLOOKUP(B639,'Cadastro Produtos'!A:F,5,2)</f>
        <v>15</v>
      </c>
      <c r="R639" s="14">
        <f t="shared" si="45"/>
        <v>46500</v>
      </c>
    </row>
    <row r="640" spans="1:18" x14ac:dyDescent="0.25">
      <c r="A640">
        <v>639</v>
      </c>
      <c r="B640">
        <v>10</v>
      </c>
      <c r="C640" t="str">
        <f>VLOOKUP(B640,'Cadastro Produtos'!A:E,2,2)</f>
        <v>Limonada Alfa com Hortelã Zero 1 L</v>
      </c>
      <c r="D640">
        <v>5</v>
      </c>
      <c r="E640" t="str">
        <f>VLOOKUP(D640,'Cadatro Clientes'!A:O,2,2)</f>
        <v>Axé com Limão</v>
      </c>
      <c r="F640" t="str">
        <f>VLOOKUP(D640,'Cadatro Clientes'!A:O,9,2)</f>
        <v>Nordeste</v>
      </c>
      <c r="G640" s="15">
        <v>41887</v>
      </c>
      <c r="H640">
        <f t="shared" si="46"/>
        <v>6</v>
      </c>
      <c r="I640">
        <f t="shared" si="47"/>
        <v>5</v>
      </c>
      <c r="J640">
        <f t="shared" si="48"/>
        <v>9</v>
      </c>
      <c r="K640">
        <f t="shared" si="49"/>
        <v>2014</v>
      </c>
      <c r="M640">
        <v>12</v>
      </c>
      <c r="N640" t="str">
        <f>VLOOKUP(M640,'Cadastro Vendedores'!A:H,2,2)</f>
        <v>Paulo</v>
      </c>
      <c r="O640" s="2"/>
      <c r="P640" s="16">
        <v>1300</v>
      </c>
      <c r="Q640" s="2">
        <f>VLOOKUP(B640,'Cadastro Produtos'!A:F,5,2)</f>
        <v>21</v>
      </c>
      <c r="R640" s="14">
        <f t="shared" si="45"/>
        <v>27300</v>
      </c>
    </row>
    <row r="641" spans="1:18" x14ac:dyDescent="0.25">
      <c r="A641">
        <v>640</v>
      </c>
      <c r="B641">
        <v>5</v>
      </c>
      <c r="C641" t="str">
        <f>VLOOKUP(B641,'Cadastro Produtos'!A:E,2,2)</f>
        <v>Limonada Alfa com Açúcar 1 L</v>
      </c>
      <c r="D641">
        <v>11</v>
      </c>
      <c r="E641" t="str">
        <f>VLOOKUP(D641,'Cadatro Clientes'!A:O,2,2)</f>
        <v>Red Lemon</v>
      </c>
      <c r="F641" t="str">
        <f>VLOOKUP(D641,'Cadatro Clientes'!A:O,9,2)</f>
        <v>Sul</v>
      </c>
      <c r="G641" s="15">
        <v>41888</v>
      </c>
      <c r="H641">
        <f t="shared" si="46"/>
        <v>7</v>
      </c>
      <c r="I641">
        <f t="shared" si="47"/>
        <v>6</v>
      </c>
      <c r="J641">
        <f t="shared" si="48"/>
        <v>9</v>
      </c>
      <c r="K641">
        <f t="shared" si="49"/>
        <v>2014</v>
      </c>
      <c r="M641">
        <v>4</v>
      </c>
      <c r="N641" t="str">
        <f>VLOOKUP(M641,'Cadastro Vendedores'!A:H,2,2)</f>
        <v>José</v>
      </c>
      <c r="O641" s="2"/>
      <c r="P641" s="16">
        <v>2300</v>
      </c>
      <c r="Q641" s="2">
        <f>VLOOKUP(B641,'Cadastro Produtos'!A:F,5,2)</f>
        <v>15</v>
      </c>
      <c r="R641" s="14">
        <f t="shared" si="45"/>
        <v>34500</v>
      </c>
    </row>
    <row r="642" spans="1:18" x14ac:dyDescent="0.25">
      <c r="A642">
        <v>641</v>
      </c>
      <c r="B642">
        <v>5</v>
      </c>
      <c r="C642" t="str">
        <f>VLOOKUP(B642,'Cadastro Produtos'!A:E,2,2)</f>
        <v>Limonada Alfa com Açúcar 1 L</v>
      </c>
      <c r="D642">
        <v>11</v>
      </c>
      <c r="E642" t="str">
        <f>VLOOKUP(D642,'Cadatro Clientes'!A:O,2,2)</f>
        <v>Red Lemon</v>
      </c>
      <c r="F642" t="str">
        <f>VLOOKUP(D642,'Cadatro Clientes'!A:O,9,2)</f>
        <v>Sul</v>
      </c>
      <c r="G642" s="15">
        <v>41888</v>
      </c>
      <c r="H642">
        <f t="shared" si="46"/>
        <v>7</v>
      </c>
      <c r="I642">
        <f t="shared" si="47"/>
        <v>6</v>
      </c>
      <c r="J642">
        <f t="shared" si="48"/>
        <v>9</v>
      </c>
      <c r="K642">
        <f t="shared" si="49"/>
        <v>2014</v>
      </c>
      <c r="M642">
        <v>2</v>
      </c>
      <c r="N642" t="str">
        <f>VLOOKUP(M642,'Cadastro Vendedores'!A:H,2,2)</f>
        <v>Luis</v>
      </c>
      <c r="O642" s="2"/>
      <c r="P642" s="16">
        <v>2700</v>
      </c>
      <c r="Q642" s="2">
        <f>VLOOKUP(B642,'Cadastro Produtos'!A:F,5,2)</f>
        <v>15</v>
      </c>
      <c r="R642" s="14">
        <f t="shared" ref="R642:R705" si="50">Q642*P642</f>
        <v>40500</v>
      </c>
    </row>
    <row r="643" spans="1:18" x14ac:dyDescent="0.25">
      <c r="A643">
        <v>642</v>
      </c>
      <c r="B643">
        <v>3</v>
      </c>
      <c r="C643" t="str">
        <f>VLOOKUP(B643,'Cadastro Produtos'!A:E,2,2)</f>
        <v>Limonada Alfa Zero 500 ml</v>
      </c>
      <c r="D643">
        <v>5</v>
      </c>
      <c r="E643" t="str">
        <f>VLOOKUP(D643,'Cadatro Clientes'!A:O,2,2)</f>
        <v>Axé com Limão</v>
      </c>
      <c r="F643" t="str">
        <f>VLOOKUP(D643,'Cadatro Clientes'!A:O,9,2)</f>
        <v>Nordeste</v>
      </c>
      <c r="G643" s="15">
        <v>41888</v>
      </c>
      <c r="H643">
        <f t="shared" ref="H643:H706" si="51">WEEKDAY(G643)</f>
        <v>7</v>
      </c>
      <c r="I643">
        <f t="shared" ref="I643:I706" si="52">DAY(G643)</f>
        <v>6</v>
      </c>
      <c r="J643">
        <f t="shared" ref="J643:J706" si="53">MONTH(G643)</f>
        <v>9</v>
      </c>
      <c r="K643">
        <f t="shared" ref="K643:K706" si="54">YEAR(G643)</f>
        <v>2014</v>
      </c>
      <c r="M643">
        <v>2</v>
      </c>
      <c r="N643" t="str">
        <f>VLOOKUP(M643,'Cadastro Vendedores'!A:H,2,2)</f>
        <v>Luis</v>
      </c>
      <c r="O643" s="2"/>
      <c r="P643" s="16">
        <v>1700</v>
      </c>
      <c r="Q643" s="2">
        <f>VLOOKUP(B643,'Cadastro Produtos'!A:F,5,2)</f>
        <v>9</v>
      </c>
      <c r="R643" s="14">
        <f t="shared" si="50"/>
        <v>15300</v>
      </c>
    </row>
    <row r="644" spans="1:18" x14ac:dyDescent="0.25">
      <c r="A644">
        <v>643</v>
      </c>
      <c r="B644">
        <v>8</v>
      </c>
      <c r="C644" t="str">
        <f>VLOOKUP(B644,'Cadastro Produtos'!A:E,2,2)</f>
        <v>Limonada Beta Zero 1 L</v>
      </c>
      <c r="D644">
        <v>8</v>
      </c>
      <c r="E644" t="str">
        <f>VLOOKUP(D644,'Cadatro Clientes'!A:O,2,2)</f>
        <v>Refresko</v>
      </c>
      <c r="F644" t="str">
        <f>VLOOKUP(D644,'Cadatro Clientes'!A:O,9,2)</f>
        <v>Sul</v>
      </c>
      <c r="G644" s="15">
        <v>41889</v>
      </c>
      <c r="H644">
        <f t="shared" si="51"/>
        <v>1</v>
      </c>
      <c r="I644">
        <f t="shared" si="52"/>
        <v>7</v>
      </c>
      <c r="J644">
        <f t="shared" si="53"/>
        <v>9</v>
      </c>
      <c r="K644">
        <f t="shared" si="54"/>
        <v>2014</v>
      </c>
      <c r="M644">
        <v>3</v>
      </c>
      <c r="N644" t="str">
        <f>VLOOKUP(M644,'Cadastro Vendedores'!A:H,2,2)</f>
        <v>Antônia</v>
      </c>
      <c r="O644" s="2"/>
      <c r="P644" s="16">
        <v>2500</v>
      </c>
      <c r="Q644" s="2">
        <f>VLOOKUP(B644,'Cadastro Produtos'!A:F,5,2)</f>
        <v>12</v>
      </c>
      <c r="R644" s="14">
        <f t="shared" si="50"/>
        <v>30000</v>
      </c>
    </row>
    <row r="645" spans="1:18" x14ac:dyDescent="0.25">
      <c r="A645">
        <v>644</v>
      </c>
      <c r="B645">
        <v>3</v>
      </c>
      <c r="C645" t="str">
        <f>VLOOKUP(B645,'Cadastro Produtos'!A:E,2,2)</f>
        <v>Limonada Alfa Zero 500 ml</v>
      </c>
      <c r="D645">
        <v>16</v>
      </c>
      <c r="E645" t="str">
        <f>VLOOKUP(D645,'Cadatro Clientes'!A:O,2,2)</f>
        <v>Norte Suco</v>
      </c>
      <c r="F645" t="str">
        <f>VLOOKUP(D645,'Cadatro Clientes'!A:O,9,2)</f>
        <v>Nordeste</v>
      </c>
      <c r="G645" s="15">
        <v>41889</v>
      </c>
      <c r="H645">
        <f t="shared" si="51"/>
        <v>1</v>
      </c>
      <c r="I645">
        <f t="shared" si="52"/>
        <v>7</v>
      </c>
      <c r="J645">
        <f t="shared" si="53"/>
        <v>9</v>
      </c>
      <c r="K645">
        <f t="shared" si="54"/>
        <v>2014</v>
      </c>
      <c r="M645">
        <v>9</v>
      </c>
      <c r="N645" t="str">
        <f>VLOOKUP(M645,'Cadastro Vendedores'!A:H,2,2)</f>
        <v>Adriana</v>
      </c>
      <c r="O645" s="2"/>
      <c r="P645" s="16">
        <v>3100</v>
      </c>
      <c r="Q645" s="2">
        <f>VLOOKUP(B645,'Cadastro Produtos'!A:F,5,2)</f>
        <v>9</v>
      </c>
      <c r="R645" s="14">
        <f t="shared" si="50"/>
        <v>27900</v>
      </c>
    </row>
    <row r="646" spans="1:18" x14ac:dyDescent="0.25">
      <c r="A646">
        <v>645</v>
      </c>
      <c r="B646">
        <v>8</v>
      </c>
      <c r="C646" t="str">
        <f>VLOOKUP(B646,'Cadastro Produtos'!A:E,2,2)</f>
        <v>Limonada Beta Zero 1 L</v>
      </c>
      <c r="D646">
        <v>17</v>
      </c>
      <c r="E646" t="str">
        <f>VLOOKUP(D646,'Cadatro Clientes'!A:O,2,2)</f>
        <v>Aracasuco</v>
      </c>
      <c r="F646" t="str">
        <f>VLOOKUP(D646,'Cadatro Clientes'!A:O,9,2)</f>
        <v>Nordeste</v>
      </c>
      <c r="G646" s="15">
        <v>41890</v>
      </c>
      <c r="H646">
        <f t="shared" si="51"/>
        <v>2</v>
      </c>
      <c r="I646">
        <f t="shared" si="52"/>
        <v>8</v>
      </c>
      <c r="J646">
        <f t="shared" si="53"/>
        <v>9</v>
      </c>
      <c r="K646">
        <f t="shared" si="54"/>
        <v>2014</v>
      </c>
      <c r="M646">
        <v>9</v>
      </c>
      <c r="N646" t="str">
        <f>VLOOKUP(M646,'Cadastro Vendedores'!A:H,2,2)</f>
        <v>Adriana</v>
      </c>
      <c r="O646" s="2"/>
      <c r="P646" s="16">
        <v>1000</v>
      </c>
      <c r="Q646" s="2">
        <f>VLOOKUP(B646,'Cadastro Produtos'!A:F,5,2)</f>
        <v>12</v>
      </c>
      <c r="R646" s="14">
        <f t="shared" si="50"/>
        <v>12000</v>
      </c>
    </row>
    <row r="647" spans="1:18" x14ac:dyDescent="0.25">
      <c r="A647">
        <v>646</v>
      </c>
      <c r="B647">
        <v>4</v>
      </c>
      <c r="C647" t="str">
        <f>VLOOKUP(B647,'Cadastro Produtos'!A:E,2,2)</f>
        <v>Limonada Beta Zero 500 ml</v>
      </c>
      <c r="D647">
        <v>17</v>
      </c>
      <c r="E647" t="str">
        <f>VLOOKUP(D647,'Cadatro Clientes'!A:O,2,2)</f>
        <v>Aracasuco</v>
      </c>
      <c r="F647" t="str">
        <f>VLOOKUP(D647,'Cadatro Clientes'!A:O,9,2)</f>
        <v>Nordeste</v>
      </c>
      <c r="G647" s="15">
        <v>41890</v>
      </c>
      <c r="H647">
        <f t="shared" si="51"/>
        <v>2</v>
      </c>
      <c r="I647">
        <f t="shared" si="52"/>
        <v>8</v>
      </c>
      <c r="J647">
        <f t="shared" si="53"/>
        <v>9</v>
      </c>
      <c r="K647">
        <f t="shared" si="54"/>
        <v>2014</v>
      </c>
      <c r="M647">
        <v>7</v>
      </c>
      <c r="N647" t="str">
        <f>VLOOKUP(M647,'Cadastro Vendedores'!A:H,2,2)</f>
        <v>Benedito</v>
      </c>
      <c r="O647" s="2"/>
      <c r="P647" s="16">
        <v>6400</v>
      </c>
      <c r="Q647" s="2">
        <f>VLOOKUP(B647,'Cadastro Produtos'!A:F,5,2)</f>
        <v>7</v>
      </c>
      <c r="R647" s="14">
        <f t="shared" si="50"/>
        <v>44800</v>
      </c>
    </row>
    <row r="648" spans="1:18" x14ac:dyDescent="0.25">
      <c r="A648">
        <v>647</v>
      </c>
      <c r="B648">
        <v>5</v>
      </c>
      <c r="C648" t="str">
        <f>VLOOKUP(B648,'Cadastro Produtos'!A:E,2,2)</f>
        <v>Limonada Alfa com Açúcar 1 L</v>
      </c>
      <c r="D648">
        <v>5</v>
      </c>
      <c r="E648" t="str">
        <f>VLOOKUP(D648,'Cadatro Clientes'!A:O,2,2)</f>
        <v>Axé com Limão</v>
      </c>
      <c r="F648" t="str">
        <f>VLOOKUP(D648,'Cadatro Clientes'!A:O,9,2)</f>
        <v>Nordeste</v>
      </c>
      <c r="G648" s="15">
        <v>41890</v>
      </c>
      <c r="H648">
        <f t="shared" si="51"/>
        <v>2</v>
      </c>
      <c r="I648">
        <f t="shared" si="52"/>
        <v>8</v>
      </c>
      <c r="J648">
        <f t="shared" si="53"/>
        <v>9</v>
      </c>
      <c r="K648">
        <f t="shared" si="54"/>
        <v>2014</v>
      </c>
      <c r="M648">
        <v>3</v>
      </c>
      <c r="N648" t="str">
        <f>VLOOKUP(M648,'Cadastro Vendedores'!A:H,2,2)</f>
        <v>Antônia</v>
      </c>
      <c r="O648" s="2"/>
      <c r="P648" s="16">
        <v>1200</v>
      </c>
      <c r="Q648" s="2">
        <f>VLOOKUP(B648,'Cadastro Produtos'!A:F,5,2)</f>
        <v>15</v>
      </c>
      <c r="R648" s="14">
        <f t="shared" si="50"/>
        <v>18000</v>
      </c>
    </row>
    <row r="649" spans="1:18" x14ac:dyDescent="0.25">
      <c r="A649">
        <v>648</v>
      </c>
      <c r="B649">
        <v>3</v>
      </c>
      <c r="C649" t="str">
        <f>VLOOKUP(B649,'Cadastro Produtos'!A:E,2,2)</f>
        <v>Limonada Alfa Zero 500 ml</v>
      </c>
      <c r="D649">
        <v>16</v>
      </c>
      <c r="E649" t="str">
        <f>VLOOKUP(D649,'Cadatro Clientes'!A:O,2,2)</f>
        <v>Norte Suco</v>
      </c>
      <c r="F649" t="str">
        <f>VLOOKUP(D649,'Cadatro Clientes'!A:O,9,2)</f>
        <v>Nordeste</v>
      </c>
      <c r="G649" s="15">
        <v>41891</v>
      </c>
      <c r="H649">
        <f t="shared" si="51"/>
        <v>3</v>
      </c>
      <c r="I649">
        <f t="shared" si="52"/>
        <v>9</v>
      </c>
      <c r="J649">
        <f t="shared" si="53"/>
        <v>9</v>
      </c>
      <c r="K649">
        <f t="shared" si="54"/>
        <v>2014</v>
      </c>
      <c r="M649">
        <v>3</v>
      </c>
      <c r="N649" t="str">
        <f>VLOOKUP(M649,'Cadastro Vendedores'!A:H,2,2)</f>
        <v>Antônia</v>
      </c>
      <c r="O649" s="2"/>
      <c r="P649" s="16">
        <v>4000</v>
      </c>
      <c r="Q649" s="2">
        <f>VLOOKUP(B649,'Cadastro Produtos'!A:F,5,2)</f>
        <v>9</v>
      </c>
      <c r="R649" s="14">
        <f t="shared" si="50"/>
        <v>36000</v>
      </c>
    </row>
    <row r="650" spans="1:18" x14ac:dyDescent="0.25">
      <c r="A650">
        <v>649</v>
      </c>
      <c r="B650">
        <v>5</v>
      </c>
      <c r="C650" t="str">
        <f>VLOOKUP(B650,'Cadastro Produtos'!A:E,2,2)</f>
        <v>Limonada Alfa com Açúcar 1 L</v>
      </c>
      <c r="D650">
        <v>6</v>
      </c>
      <c r="E650" t="str">
        <f>VLOOKUP(D650,'Cadatro Clientes'!A:O,2,2)</f>
        <v>Lemonade</v>
      </c>
      <c r="F650" t="str">
        <f>VLOOKUP(D650,'Cadatro Clientes'!A:O,9,2)</f>
        <v>Norte</v>
      </c>
      <c r="G650" s="15">
        <v>41891</v>
      </c>
      <c r="H650">
        <f t="shared" si="51"/>
        <v>3</v>
      </c>
      <c r="I650">
        <f t="shared" si="52"/>
        <v>9</v>
      </c>
      <c r="J650">
        <f t="shared" si="53"/>
        <v>9</v>
      </c>
      <c r="K650">
        <f t="shared" si="54"/>
        <v>2014</v>
      </c>
      <c r="M650">
        <v>3</v>
      </c>
      <c r="N650" t="str">
        <f>VLOOKUP(M650,'Cadastro Vendedores'!A:H,2,2)</f>
        <v>Antônia</v>
      </c>
      <c r="O650" s="2"/>
      <c r="P650" s="16">
        <v>700</v>
      </c>
      <c r="Q650" s="2">
        <f>VLOOKUP(B650,'Cadastro Produtos'!A:F,5,2)</f>
        <v>15</v>
      </c>
      <c r="R650" s="14">
        <f t="shared" si="50"/>
        <v>10500</v>
      </c>
    </row>
    <row r="651" spans="1:18" x14ac:dyDescent="0.25">
      <c r="A651">
        <v>650</v>
      </c>
      <c r="B651">
        <v>9</v>
      </c>
      <c r="C651" t="str">
        <f>VLOOKUP(B651,'Cadastro Produtos'!A:E,2,2)</f>
        <v>Limonada Alfa com Hortelã e Açúcar 1 L</v>
      </c>
      <c r="D651">
        <v>5</v>
      </c>
      <c r="E651" t="str">
        <f>VLOOKUP(D651,'Cadatro Clientes'!A:O,2,2)</f>
        <v>Axé com Limão</v>
      </c>
      <c r="F651" t="str">
        <f>VLOOKUP(D651,'Cadatro Clientes'!A:O,9,2)</f>
        <v>Nordeste</v>
      </c>
      <c r="G651" s="15">
        <v>41892</v>
      </c>
      <c r="H651">
        <f t="shared" si="51"/>
        <v>4</v>
      </c>
      <c r="I651">
        <f t="shared" si="52"/>
        <v>10</v>
      </c>
      <c r="J651">
        <f t="shared" si="53"/>
        <v>9</v>
      </c>
      <c r="K651">
        <f t="shared" si="54"/>
        <v>2014</v>
      </c>
      <c r="M651">
        <v>2</v>
      </c>
      <c r="N651" t="str">
        <f>VLOOKUP(M651,'Cadastro Vendedores'!A:H,2,2)</f>
        <v>Luis</v>
      </c>
      <c r="O651" s="2"/>
      <c r="P651" s="16">
        <v>1100</v>
      </c>
      <c r="Q651" s="2">
        <f>VLOOKUP(B651,'Cadastro Produtos'!A:F,5,2)</f>
        <v>17.5</v>
      </c>
      <c r="R651" s="14">
        <f t="shared" si="50"/>
        <v>19250</v>
      </c>
    </row>
    <row r="652" spans="1:18" x14ac:dyDescent="0.25">
      <c r="A652">
        <v>651</v>
      </c>
      <c r="B652">
        <v>4</v>
      </c>
      <c r="C652" t="str">
        <f>VLOOKUP(B652,'Cadastro Produtos'!A:E,2,2)</f>
        <v>Limonada Beta Zero 500 ml</v>
      </c>
      <c r="D652">
        <v>8</v>
      </c>
      <c r="E652" t="str">
        <f>VLOOKUP(D652,'Cadatro Clientes'!A:O,2,2)</f>
        <v>Refresko</v>
      </c>
      <c r="F652" t="str">
        <f>VLOOKUP(D652,'Cadatro Clientes'!A:O,9,2)</f>
        <v>Sul</v>
      </c>
      <c r="G652" s="15">
        <v>41892</v>
      </c>
      <c r="H652">
        <f t="shared" si="51"/>
        <v>4</v>
      </c>
      <c r="I652">
        <f t="shared" si="52"/>
        <v>10</v>
      </c>
      <c r="J652">
        <f t="shared" si="53"/>
        <v>9</v>
      </c>
      <c r="K652">
        <f t="shared" si="54"/>
        <v>2014</v>
      </c>
      <c r="M652">
        <v>3</v>
      </c>
      <c r="N652" t="str">
        <f>VLOOKUP(M652,'Cadastro Vendedores'!A:H,2,2)</f>
        <v>Antônia</v>
      </c>
      <c r="O652" s="2"/>
      <c r="P652" s="16">
        <v>1900</v>
      </c>
      <c r="Q652" s="2">
        <f>VLOOKUP(B652,'Cadastro Produtos'!A:F,5,2)</f>
        <v>7</v>
      </c>
      <c r="R652" s="14">
        <f t="shared" si="50"/>
        <v>13300</v>
      </c>
    </row>
    <row r="653" spans="1:18" x14ac:dyDescent="0.25">
      <c r="A653">
        <v>652</v>
      </c>
      <c r="B653">
        <v>4</v>
      </c>
      <c r="C653" t="str">
        <f>VLOOKUP(B653,'Cadastro Produtos'!A:E,2,2)</f>
        <v>Limonada Beta Zero 500 ml</v>
      </c>
      <c r="D653">
        <v>13</v>
      </c>
      <c r="E653" t="str">
        <f>VLOOKUP(D653,'Cadatro Clientes'!A:O,2,2)</f>
        <v>Monster Lemon</v>
      </c>
      <c r="F653" t="str">
        <f>VLOOKUP(D653,'Cadatro Clientes'!A:O,9,2)</f>
        <v>Nordeste</v>
      </c>
      <c r="G653" s="15">
        <v>41892</v>
      </c>
      <c r="H653">
        <f t="shared" si="51"/>
        <v>4</v>
      </c>
      <c r="I653">
        <f t="shared" si="52"/>
        <v>10</v>
      </c>
      <c r="J653">
        <f t="shared" si="53"/>
        <v>9</v>
      </c>
      <c r="K653">
        <f t="shared" si="54"/>
        <v>2014</v>
      </c>
      <c r="M653">
        <v>2</v>
      </c>
      <c r="N653" t="str">
        <f>VLOOKUP(M653,'Cadastro Vendedores'!A:H,2,2)</f>
        <v>Luis</v>
      </c>
      <c r="O653" s="2"/>
      <c r="P653" s="16">
        <v>7000</v>
      </c>
      <c r="Q653" s="2">
        <f>VLOOKUP(B653,'Cadastro Produtos'!A:F,5,2)</f>
        <v>7</v>
      </c>
      <c r="R653" s="14">
        <f t="shared" si="50"/>
        <v>49000</v>
      </c>
    </row>
    <row r="654" spans="1:18" x14ac:dyDescent="0.25">
      <c r="A654">
        <v>653</v>
      </c>
      <c r="B654">
        <v>9</v>
      </c>
      <c r="C654" t="str">
        <f>VLOOKUP(B654,'Cadastro Produtos'!A:E,2,2)</f>
        <v>Limonada Alfa com Hortelã e Açúcar 1 L</v>
      </c>
      <c r="D654">
        <v>18</v>
      </c>
      <c r="E654" t="str">
        <f>VLOOKUP(D654,'Cadatro Clientes'!A:O,2,2)</f>
        <v>Rio Branco Limonada Ltda</v>
      </c>
      <c r="F654" t="str">
        <f>VLOOKUP(D654,'Cadatro Clientes'!A:O,9,2)</f>
        <v>Norte</v>
      </c>
      <c r="G654" s="15">
        <v>41892</v>
      </c>
      <c r="H654">
        <f t="shared" si="51"/>
        <v>4</v>
      </c>
      <c r="I654">
        <f t="shared" si="52"/>
        <v>10</v>
      </c>
      <c r="J654">
        <f t="shared" si="53"/>
        <v>9</v>
      </c>
      <c r="K654">
        <f t="shared" si="54"/>
        <v>2014</v>
      </c>
      <c r="M654">
        <v>3</v>
      </c>
      <c r="N654" t="str">
        <f>VLOOKUP(M654,'Cadastro Vendedores'!A:H,2,2)</f>
        <v>Antônia</v>
      </c>
      <c r="O654" s="2"/>
      <c r="P654" s="16">
        <v>2500</v>
      </c>
      <c r="Q654" s="2">
        <f>VLOOKUP(B654,'Cadastro Produtos'!A:F,5,2)</f>
        <v>17.5</v>
      </c>
      <c r="R654" s="14">
        <f t="shared" si="50"/>
        <v>43750</v>
      </c>
    </row>
    <row r="655" spans="1:18" x14ac:dyDescent="0.25">
      <c r="A655">
        <v>654</v>
      </c>
      <c r="B655">
        <v>10</v>
      </c>
      <c r="C655" t="str">
        <f>VLOOKUP(B655,'Cadastro Produtos'!A:E,2,2)</f>
        <v>Limonada Alfa com Hortelã Zero 1 L</v>
      </c>
      <c r="D655">
        <v>8</v>
      </c>
      <c r="E655" t="str">
        <f>VLOOKUP(D655,'Cadatro Clientes'!A:O,2,2)</f>
        <v>Refresko</v>
      </c>
      <c r="F655" t="str">
        <f>VLOOKUP(D655,'Cadatro Clientes'!A:O,9,2)</f>
        <v>Sul</v>
      </c>
      <c r="G655" s="15">
        <v>41893</v>
      </c>
      <c r="H655">
        <f t="shared" si="51"/>
        <v>5</v>
      </c>
      <c r="I655">
        <f t="shared" si="52"/>
        <v>11</v>
      </c>
      <c r="J655">
        <f t="shared" si="53"/>
        <v>9</v>
      </c>
      <c r="K655">
        <f t="shared" si="54"/>
        <v>2014</v>
      </c>
      <c r="M655">
        <v>8</v>
      </c>
      <c r="N655" t="str">
        <f>VLOOKUP(M655,'Cadastro Vendedores'!A:H,2,2)</f>
        <v>Sérgio</v>
      </c>
      <c r="O655" s="2"/>
      <c r="P655" s="16">
        <v>1600</v>
      </c>
      <c r="Q655" s="2">
        <f>VLOOKUP(B655,'Cadastro Produtos'!A:F,5,2)</f>
        <v>21</v>
      </c>
      <c r="R655" s="14">
        <f t="shared" si="50"/>
        <v>33600</v>
      </c>
    </row>
    <row r="656" spans="1:18" x14ac:dyDescent="0.25">
      <c r="A656">
        <v>655</v>
      </c>
      <c r="B656">
        <v>1</v>
      </c>
      <c r="C656" t="str">
        <f>VLOOKUP(B656,'Cadastro Produtos'!A:E,2,2)</f>
        <v>Limonada Alfa com Açúcar 500 ml</v>
      </c>
      <c r="D656">
        <v>8</v>
      </c>
      <c r="E656" t="str">
        <f>VLOOKUP(D656,'Cadatro Clientes'!A:O,2,2)</f>
        <v>Refresko</v>
      </c>
      <c r="F656" t="str">
        <f>VLOOKUP(D656,'Cadatro Clientes'!A:O,9,2)</f>
        <v>Sul</v>
      </c>
      <c r="G656" s="15">
        <v>41893</v>
      </c>
      <c r="H656">
        <f t="shared" si="51"/>
        <v>5</v>
      </c>
      <c r="I656">
        <f t="shared" si="52"/>
        <v>11</v>
      </c>
      <c r="J656">
        <f t="shared" si="53"/>
        <v>9</v>
      </c>
      <c r="K656">
        <f t="shared" si="54"/>
        <v>2014</v>
      </c>
      <c r="M656">
        <v>4</v>
      </c>
      <c r="N656" t="str">
        <f>VLOOKUP(M656,'Cadastro Vendedores'!A:H,2,2)</f>
        <v>José</v>
      </c>
      <c r="O656" s="2"/>
      <c r="P656" s="16">
        <v>5900</v>
      </c>
      <c r="Q656" s="2">
        <f>VLOOKUP(B656,'Cadastro Produtos'!A:F,5,2)</f>
        <v>8.5</v>
      </c>
      <c r="R656" s="14">
        <f t="shared" si="50"/>
        <v>50150</v>
      </c>
    </row>
    <row r="657" spans="1:18" x14ac:dyDescent="0.25">
      <c r="A657">
        <v>656</v>
      </c>
      <c r="B657">
        <v>1</v>
      </c>
      <c r="C657" t="str">
        <f>VLOOKUP(B657,'Cadastro Produtos'!A:E,2,2)</f>
        <v>Limonada Alfa com Açúcar 500 ml</v>
      </c>
      <c r="D657">
        <v>6</v>
      </c>
      <c r="E657" t="str">
        <f>VLOOKUP(D657,'Cadatro Clientes'!A:O,2,2)</f>
        <v>Lemonade</v>
      </c>
      <c r="F657" t="str">
        <f>VLOOKUP(D657,'Cadatro Clientes'!A:O,9,2)</f>
        <v>Norte</v>
      </c>
      <c r="G657" s="15">
        <v>41893</v>
      </c>
      <c r="H657">
        <f t="shared" si="51"/>
        <v>5</v>
      </c>
      <c r="I657">
        <f t="shared" si="52"/>
        <v>11</v>
      </c>
      <c r="J657">
        <f t="shared" si="53"/>
        <v>9</v>
      </c>
      <c r="K657">
        <f t="shared" si="54"/>
        <v>2014</v>
      </c>
      <c r="M657">
        <v>8</v>
      </c>
      <c r="N657" t="str">
        <f>VLOOKUP(M657,'Cadastro Vendedores'!A:H,2,2)</f>
        <v>Sérgio</v>
      </c>
      <c r="O657" s="2"/>
      <c r="P657" s="16">
        <v>3000</v>
      </c>
      <c r="Q657" s="2">
        <f>VLOOKUP(B657,'Cadastro Produtos'!A:F,5,2)</f>
        <v>8.5</v>
      </c>
      <c r="R657" s="14">
        <f t="shared" si="50"/>
        <v>25500</v>
      </c>
    </row>
    <row r="658" spans="1:18" x14ac:dyDescent="0.25">
      <c r="A658">
        <v>657</v>
      </c>
      <c r="B658">
        <v>3</v>
      </c>
      <c r="C658" t="str">
        <f>VLOOKUP(B658,'Cadastro Produtos'!A:E,2,2)</f>
        <v>Limonada Alfa Zero 500 ml</v>
      </c>
      <c r="D658">
        <v>2</v>
      </c>
      <c r="E658" t="str">
        <f>VLOOKUP(D658,'Cadatro Clientes'!A:O,2,2)</f>
        <v>Limão S/A</v>
      </c>
      <c r="F658" t="str">
        <f>VLOOKUP(D658,'Cadatro Clientes'!A:O,9,2)</f>
        <v>Centro-Oeste</v>
      </c>
      <c r="G658" s="15">
        <v>41893</v>
      </c>
      <c r="H658">
        <f t="shared" si="51"/>
        <v>5</v>
      </c>
      <c r="I658">
        <f t="shared" si="52"/>
        <v>11</v>
      </c>
      <c r="J658">
        <f t="shared" si="53"/>
        <v>9</v>
      </c>
      <c r="K658">
        <f t="shared" si="54"/>
        <v>2014</v>
      </c>
      <c r="M658">
        <v>2</v>
      </c>
      <c r="N658" t="str">
        <f>VLOOKUP(M658,'Cadastro Vendedores'!A:H,2,2)</f>
        <v>Luis</v>
      </c>
      <c r="O658" s="2"/>
      <c r="P658" s="16">
        <v>4300</v>
      </c>
      <c r="Q658" s="2">
        <f>VLOOKUP(B658,'Cadastro Produtos'!A:F,5,2)</f>
        <v>9</v>
      </c>
      <c r="R658" s="14">
        <f t="shared" si="50"/>
        <v>38700</v>
      </c>
    </row>
    <row r="659" spans="1:18" x14ac:dyDescent="0.25">
      <c r="A659">
        <v>658</v>
      </c>
      <c r="B659">
        <v>5</v>
      </c>
      <c r="C659" t="str">
        <f>VLOOKUP(B659,'Cadastro Produtos'!A:E,2,2)</f>
        <v>Limonada Alfa com Açúcar 1 L</v>
      </c>
      <c r="D659">
        <v>8</v>
      </c>
      <c r="E659" t="str">
        <f>VLOOKUP(D659,'Cadatro Clientes'!A:O,2,2)</f>
        <v>Refresko</v>
      </c>
      <c r="F659" t="str">
        <f>VLOOKUP(D659,'Cadatro Clientes'!A:O,9,2)</f>
        <v>Sul</v>
      </c>
      <c r="G659" s="15">
        <v>41893</v>
      </c>
      <c r="H659">
        <f t="shared" si="51"/>
        <v>5</v>
      </c>
      <c r="I659">
        <f t="shared" si="52"/>
        <v>11</v>
      </c>
      <c r="J659">
        <f t="shared" si="53"/>
        <v>9</v>
      </c>
      <c r="K659">
        <f t="shared" si="54"/>
        <v>2014</v>
      </c>
      <c r="M659">
        <v>12</v>
      </c>
      <c r="N659" t="str">
        <f>VLOOKUP(M659,'Cadastro Vendedores'!A:H,2,2)</f>
        <v>Paulo</v>
      </c>
      <c r="O659" s="2"/>
      <c r="P659" s="16">
        <v>1800</v>
      </c>
      <c r="Q659" s="2">
        <f>VLOOKUP(B659,'Cadastro Produtos'!A:F,5,2)</f>
        <v>15</v>
      </c>
      <c r="R659" s="14">
        <f t="shared" si="50"/>
        <v>27000</v>
      </c>
    </row>
    <row r="660" spans="1:18" x14ac:dyDescent="0.25">
      <c r="A660">
        <v>659</v>
      </c>
      <c r="B660">
        <v>3</v>
      </c>
      <c r="C660" t="str">
        <f>VLOOKUP(B660,'Cadastro Produtos'!A:E,2,2)</f>
        <v>Limonada Alfa Zero 500 ml</v>
      </c>
      <c r="D660">
        <v>4</v>
      </c>
      <c r="E660" t="str">
        <f>VLOOKUP(D660,'Cadatro Clientes'!A:O,2,2)</f>
        <v>Limão Carioca e Cia</v>
      </c>
      <c r="F660" t="str">
        <f>VLOOKUP(D660,'Cadatro Clientes'!A:O,9,2)</f>
        <v>Sudeste</v>
      </c>
      <c r="G660" s="15">
        <v>41894</v>
      </c>
      <c r="H660">
        <f t="shared" si="51"/>
        <v>6</v>
      </c>
      <c r="I660">
        <f t="shared" si="52"/>
        <v>12</v>
      </c>
      <c r="J660">
        <f t="shared" si="53"/>
        <v>9</v>
      </c>
      <c r="K660">
        <f t="shared" si="54"/>
        <v>2014</v>
      </c>
      <c r="M660">
        <v>6</v>
      </c>
      <c r="N660" t="str">
        <f>VLOOKUP(M660,'Cadastro Vendedores'!A:H,2,2)</f>
        <v>Antônia</v>
      </c>
      <c r="O660" s="2"/>
      <c r="P660" s="16">
        <v>2900</v>
      </c>
      <c r="Q660" s="2">
        <f>VLOOKUP(B660,'Cadastro Produtos'!A:F,5,2)</f>
        <v>9</v>
      </c>
      <c r="R660" s="14">
        <f t="shared" si="50"/>
        <v>26100</v>
      </c>
    </row>
    <row r="661" spans="1:18" x14ac:dyDescent="0.25">
      <c r="A661">
        <v>660</v>
      </c>
      <c r="B661">
        <v>1</v>
      </c>
      <c r="C661" t="str">
        <f>VLOOKUP(B661,'Cadastro Produtos'!A:E,2,2)</f>
        <v>Limonada Alfa com Açúcar 500 ml</v>
      </c>
      <c r="D661">
        <v>19</v>
      </c>
      <c r="E661" t="str">
        <f>VLOOKUP(D661,'Cadatro Clientes'!A:O,2,2)</f>
        <v>Lima Limão</v>
      </c>
      <c r="F661" t="str">
        <f>VLOOKUP(D661,'Cadatro Clientes'!A:O,9,2)</f>
        <v>Sudeste</v>
      </c>
      <c r="G661" s="15">
        <v>41894</v>
      </c>
      <c r="H661">
        <f t="shared" si="51"/>
        <v>6</v>
      </c>
      <c r="I661">
        <f t="shared" si="52"/>
        <v>12</v>
      </c>
      <c r="J661">
        <f t="shared" si="53"/>
        <v>9</v>
      </c>
      <c r="K661">
        <f t="shared" si="54"/>
        <v>2014</v>
      </c>
      <c r="M661">
        <v>4</v>
      </c>
      <c r="N661" t="str">
        <f>VLOOKUP(M661,'Cadastro Vendedores'!A:H,2,2)</f>
        <v>José</v>
      </c>
      <c r="O661" s="2"/>
      <c r="P661" s="16">
        <v>5000</v>
      </c>
      <c r="Q661" s="2">
        <f>VLOOKUP(B661,'Cadastro Produtos'!A:F,5,2)</f>
        <v>8.5</v>
      </c>
      <c r="R661" s="14">
        <f t="shared" si="50"/>
        <v>42500</v>
      </c>
    </row>
    <row r="662" spans="1:18" x14ac:dyDescent="0.25">
      <c r="A662">
        <v>661</v>
      </c>
      <c r="B662">
        <v>8</v>
      </c>
      <c r="C662" t="str">
        <f>VLOOKUP(B662,'Cadastro Produtos'!A:E,2,2)</f>
        <v>Limonada Beta Zero 1 L</v>
      </c>
      <c r="D662">
        <v>17</v>
      </c>
      <c r="E662" t="str">
        <f>VLOOKUP(D662,'Cadatro Clientes'!A:O,2,2)</f>
        <v>Aracasuco</v>
      </c>
      <c r="F662" t="str">
        <f>VLOOKUP(D662,'Cadatro Clientes'!A:O,9,2)</f>
        <v>Nordeste</v>
      </c>
      <c r="G662" s="15">
        <v>41895</v>
      </c>
      <c r="H662">
        <f t="shared" si="51"/>
        <v>7</v>
      </c>
      <c r="I662">
        <f t="shared" si="52"/>
        <v>13</v>
      </c>
      <c r="J662">
        <f t="shared" si="53"/>
        <v>9</v>
      </c>
      <c r="K662">
        <f t="shared" si="54"/>
        <v>2014</v>
      </c>
      <c r="M662">
        <v>8</v>
      </c>
      <c r="N662" t="str">
        <f>VLOOKUP(M662,'Cadastro Vendedores'!A:H,2,2)</f>
        <v>Sérgio</v>
      </c>
      <c r="O662" s="2"/>
      <c r="P662" s="16">
        <v>1600</v>
      </c>
      <c r="Q662" s="2">
        <f>VLOOKUP(B662,'Cadastro Produtos'!A:F,5,2)</f>
        <v>12</v>
      </c>
      <c r="R662" s="14">
        <f t="shared" si="50"/>
        <v>19200</v>
      </c>
    </row>
    <row r="663" spans="1:18" x14ac:dyDescent="0.25">
      <c r="A663">
        <v>662</v>
      </c>
      <c r="B663">
        <v>10</v>
      </c>
      <c r="C663" t="str">
        <f>VLOOKUP(B663,'Cadastro Produtos'!A:E,2,2)</f>
        <v>Limonada Alfa com Hortelã Zero 1 L</v>
      </c>
      <c r="D663">
        <v>4</v>
      </c>
      <c r="E663" t="str">
        <f>VLOOKUP(D663,'Cadatro Clientes'!A:O,2,2)</f>
        <v>Limão Carioca e Cia</v>
      </c>
      <c r="F663" t="str">
        <f>VLOOKUP(D663,'Cadatro Clientes'!A:O,9,2)</f>
        <v>Sudeste</v>
      </c>
      <c r="G663" s="15">
        <v>41895</v>
      </c>
      <c r="H663">
        <f t="shared" si="51"/>
        <v>7</v>
      </c>
      <c r="I663">
        <f t="shared" si="52"/>
        <v>13</v>
      </c>
      <c r="J663">
        <f t="shared" si="53"/>
        <v>9</v>
      </c>
      <c r="K663">
        <f t="shared" si="54"/>
        <v>2014</v>
      </c>
      <c r="M663">
        <v>3</v>
      </c>
      <c r="N663" t="str">
        <f>VLOOKUP(M663,'Cadastro Vendedores'!A:H,2,2)</f>
        <v>Antônia</v>
      </c>
      <c r="O663" s="2"/>
      <c r="P663" s="16">
        <v>1300</v>
      </c>
      <c r="Q663" s="2">
        <f>VLOOKUP(B663,'Cadastro Produtos'!A:F,5,2)</f>
        <v>21</v>
      </c>
      <c r="R663" s="14">
        <f t="shared" si="50"/>
        <v>27300</v>
      </c>
    </row>
    <row r="664" spans="1:18" x14ac:dyDescent="0.25">
      <c r="A664">
        <v>663</v>
      </c>
      <c r="B664">
        <v>5</v>
      </c>
      <c r="C664" t="str">
        <f>VLOOKUP(B664,'Cadastro Produtos'!A:E,2,2)</f>
        <v>Limonada Alfa com Açúcar 1 L</v>
      </c>
      <c r="D664">
        <v>2</v>
      </c>
      <c r="E664" t="str">
        <f>VLOOKUP(D664,'Cadatro Clientes'!A:O,2,2)</f>
        <v>Limão S/A</v>
      </c>
      <c r="F664" t="str">
        <f>VLOOKUP(D664,'Cadatro Clientes'!A:O,9,2)</f>
        <v>Centro-Oeste</v>
      </c>
      <c r="G664" s="15">
        <v>41895</v>
      </c>
      <c r="H664">
        <f t="shared" si="51"/>
        <v>7</v>
      </c>
      <c r="I664">
        <f t="shared" si="52"/>
        <v>13</v>
      </c>
      <c r="J664">
        <f t="shared" si="53"/>
        <v>9</v>
      </c>
      <c r="K664">
        <f t="shared" si="54"/>
        <v>2014</v>
      </c>
      <c r="M664">
        <v>2</v>
      </c>
      <c r="N664" t="str">
        <f>VLOOKUP(M664,'Cadastro Vendedores'!A:H,2,2)</f>
        <v>Luis</v>
      </c>
      <c r="O664" s="2"/>
      <c r="P664" s="16">
        <v>1900</v>
      </c>
      <c r="Q664" s="2">
        <f>VLOOKUP(B664,'Cadastro Produtos'!A:F,5,2)</f>
        <v>15</v>
      </c>
      <c r="R664" s="14">
        <f t="shared" si="50"/>
        <v>28500</v>
      </c>
    </row>
    <row r="665" spans="1:18" x14ac:dyDescent="0.25">
      <c r="A665">
        <v>664</v>
      </c>
      <c r="B665">
        <v>10</v>
      </c>
      <c r="C665" t="str">
        <f>VLOOKUP(B665,'Cadastro Produtos'!A:E,2,2)</f>
        <v>Limonada Alfa com Hortelã Zero 1 L</v>
      </c>
      <c r="D665">
        <v>14</v>
      </c>
      <c r="E665" t="str">
        <f>VLOOKUP(D665,'Cadatro Clientes'!A:O,2,2)</f>
        <v>Sprite</v>
      </c>
      <c r="F665" t="str">
        <f>VLOOKUP(D665,'Cadatro Clientes'!A:O,9,2)</f>
        <v>Norte</v>
      </c>
      <c r="G665" s="15">
        <v>41896</v>
      </c>
      <c r="H665">
        <f t="shared" si="51"/>
        <v>1</v>
      </c>
      <c r="I665">
        <f t="shared" si="52"/>
        <v>14</v>
      </c>
      <c r="J665">
        <f t="shared" si="53"/>
        <v>9</v>
      </c>
      <c r="K665">
        <f t="shared" si="54"/>
        <v>2014</v>
      </c>
      <c r="M665">
        <v>2</v>
      </c>
      <c r="N665" t="str">
        <f>VLOOKUP(M665,'Cadastro Vendedores'!A:H,2,2)</f>
        <v>Luis</v>
      </c>
      <c r="O665" s="2"/>
      <c r="P665" s="16">
        <v>2500</v>
      </c>
      <c r="Q665" s="2">
        <f>VLOOKUP(B665,'Cadastro Produtos'!A:F,5,2)</f>
        <v>21</v>
      </c>
      <c r="R665" s="14">
        <f t="shared" si="50"/>
        <v>52500</v>
      </c>
    </row>
    <row r="666" spans="1:18" x14ac:dyDescent="0.25">
      <c r="A666">
        <v>665</v>
      </c>
      <c r="B666">
        <v>3</v>
      </c>
      <c r="C666" t="str">
        <f>VLOOKUP(B666,'Cadastro Produtos'!A:E,2,2)</f>
        <v>Limonada Alfa Zero 500 ml</v>
      </c>
      <c r="D666">
        <v>8</v>
      </c>
      <c r="E666" t="str">
        <f>VLOOKUP(D666,'Cadatro Clientes'!A:O,2,2)</f>
        <v>Refresko</v>
      </c>
      <c r="F666" t="str">
        <f>VLOOKUP(D666,'Cadatro Clientes'!A:O,9,2)</f>
        <v>Sul</v>
      </c>
      <c r="G666" s="15">
        <v>41896</v>
      </c>
      <c r="H666">
        <f t="shared" si="51"/>
        <v>1</v>
      </c>
      <c r="I666">
        <f t="shared" si="52"/>
        <v>14</v>
      </c>
      <c r="J666">
        <f t="shared" si="53"/>
        <v>9</v>
      </c>
      <c r="K666">
        <f t="shared" si="54"/>
        <v>2014</v>
      </c>
      <c r="M666">
        <v>4</v>
      </c>
      <c r="N666" t="str">
        <f>VLOOKUP(M666,'Cadastro Vendedores'!A:H,2,2)</f>
        <v>José</v>
      </c>
      <c r="O666" s="2"/>
      <c r="P666" s="16">
        <v>1600</v>
      </c>
      <c r="Q666" s="2">
        <f>VLOOKUP(B666,'Cadastro Produtos'!A:F,5,2)</f>
        <v>9</v>
      </c>
      <c r="R666" s="14">
        <f t="shared" si="50"/>
        <v>14400</v>
      </c>
    </row>
    <row r="667" spans="1:18" x14ac:dyDescent="0.25">
      <c r="A667">
        <v>666</v>
      </c>
      <c r="B667">
        <v>5</v>
      </c>
      <c r="C667" t="str">
        <f>VLOOKUP(B667,'Cadastro Produtos'!A:E,2,2)</f>
        <v>Limonada Alfa com Açúcar 1 L</v>
      </c>
      <c r="D667">
        <v>7</v>
      </c>
      <c r="E667" t="str">
        <f>VLOOKUP(D667,'Cadatro Clientes'!A:O,2,2)</f>
        <v>Limo</v>
      </c>
      <c r="F667" t="str">
        <f>VLOOKUP(D667,'Cadatro Clientes'!A:O,9,2)</f>
        <v>Centro-Oeste</v>
      </c>
      <c r="G667" s="15">
        <v>41897</v>
      </c>
      <c r="H667">
        <f t="shared" si="51"/>
        <v>2</v>
      </c>
      <c r="I667">
        <f t="shared" si="52"/>
        <v>15</v>
      </c>
      <c r="J667">
        <f t="shared" si="53"/>
        <v>9</v>
      </c>
      <c r="K667">
        <f t="shared" si="54"/>
        <v>2014</v>
      </c>
      <c r="M667">
        <v>4</v>
      </c>
      <c r="N667" t="str">
        <f>VLOOKUP(M667,'Cadastro Vendedores'!A:H,2,2)</f>
        <v>José</v>
      </c>
      <c r="O667" s="2"/>
      <c r="P667" s="16">
        <v>1500</v>
      </c>
      <c r="Q667" s="2">
        <f>VLOOKUP(B667,'Cadastro Produtos'!A:F,5,2)</f>
        <v>15</v>
      </c>
      <c r="R667" s="14">
        <f t="shared" si="50"/>
        <v>22500</v>
      </c>
    </row>
    <row r="668" spans="1:18" x14ac:dyDescent="0.25">
      <c r="A668">
        <v>667</v>
      </c>
      <c r="B668">
        <v>2</v>
      </c>
      <c r="C668" t="str">
        <f>VLOOKUP(B668,'Cadastro Produtos'!A:E,2,2)</f>
        <v>Limonada Beta com Açúcar 500 ml</v>
      </c>
      <c r="D668">
        <v>11</v>
      </c>
      <c r="E668" t="str">
        <f>VLOOKUP(D668,'Cadatro Clientes'!A:O,2,2)</f>
        <v>Red Lemon</v>
      </c>
      <c r="F668" t="str">
        <f>VLOOKUP(D668,'Cadatro Clientes'!A:O,9,2)</f>
        <v>Sul</v>
      </c>
      <c r="G668" s="15">
        <v>41897</v>
      </c>
      <c r="H668">
        <f t="shared" si="51"/>
        <v>2</v>
      </c>
      <c r="I668">
        <f t="shared" si="52"/>
        <v>15</v>
      </c>
      <c r="J668">
        <f t="shared" si="53"/>
        <v>9</v>
      </c>
      <c r="K668">
        <f t="shared" si="54"/>
        <v>2014</v>
      </c>
      <c r="M668">
        <v>7</v>
      </c>
      <c r="N668" t="str">
        <f>VLOOKUP(M668,'Cadastro Vendedores'!A:H,2,2)</f>
        <v>Benedito</v>
      </c>
      <c r="O668" s="2"/>
      <c r="P668" s="16">
        <v>6300</v>
      </c>
      <c r="Q668" s="2">
        <f>VLOOKUP(B668,'Cadastro Produtos'!A:F,5,2)</f>
        <v>6.5</v>
      </c>
      <c r="R668" s="14">
        <f t="shared" si="50"/>
        <v>40950</v>
      </c>
    </row>
    <row r="669" spans="1:18" x14ac:dyDescent="0.25">
      <c r="A669">
        <v>668</v>
      </c>
      <c r="B669">
        <v>4</v>
      </c>
      <c r="C669" t="str">
        <f>VLOOKUP(B669,'Cadastro Produtos'!A:E,2,2)</f>
        <v>Limonada Beta Zero 500 ml</v>
      </c>
      <c r="D669">
        <v>1</v>
      </c>
      <c r="E669" t="str">
        <f>VLOOKUP(D669,'Cadatro Clientes'!A:O,2,2)</f>
        <v>Meu Suco de Limão</v>
      </c>
      <c r="F669" t="str">
        <f>VLOOKUP(D669,'Cadatro Clientes'!A:O,9,2)</f>
        <v>Norte</v>
      </c>
      <c r="G669" s="15">
        <v>41897</v>
      </c>
      <c r="H669">
        <f t="shared" si="51"/>
        <v>2</v>
      </c>
      <c r="I669">
        <f t="shared" si="52"/>
        <v>15</v>
      </c>
      <c r="J669">
        <f t="shared" si="53"/>
        <v>9</v>
      </c>
      <c r="K669">
        <f t="shared" si="54"/>
        <v>2014</v>
      </c>
      <c r="M669">
        <v>3</v>
      </c>
      <c r="N669" t="str">
        <f>VLOOKUP(M669,'Cadastro Vendedores'!A:H,2,2)</f>
        <v>Antônia</v>
      </c>
      <c r="O669" s="2"/>
      <c r="P669" s="16">
        <v>4300</v>
      </c>
      <c r="Q669" s="2">
        <f>VLOOKUP(B669,'Cadastro Produtos'!A:F,5,2)</f>
        <v>7</v>
      </c>
      <c r="R669" s="14">
        <f t="shared" si="50"/>
        <v>30100</v>
      </c>
    </row>
    <row r="670" spans="1:18" x14ac:dyDescent="0.25">
      <c r="A670">
        <v>669</v>
      </c>
      <c r="B670">
        <v>6</v>
      </c>
      <c r="C670" t="str">
        <f>VLOOKUP(B670,'Cadastro Produtos'!A:E,2,2)</f>
        <v>Limonada Beta com Açúcar 1 L</v>
      </c>
      <c r="D670">
        <v>11</v>
      </c>
      <c r="E670" t="str">
        <f>VLOOKUP(D670,'Cadatro Clientes'!A:O,2,2)</f>
        <v>Red Lemon</v>
      </c>
      <c r="F670" t="str">
        <f>VLOOKUP(D670,'Cadatro Clientes'!A:O,9,2)</f>
        <v>Sul</v>
      </c>
      <c r="G670" s="15">
        <v>41898</v>
      </c>
      <c r="H670">
        <f t="shared" si="51"/>
        <v>3</v>
      </c>
      <c r="I670">
        <f t="shared" si="52"/>
        <v>16</v>
      </c>
      <c r="J670">
        <f t="shared" si="53"/>
        <v>9</v>
      </c>
      <c r="K670">
        <f t="shared" si="54"/>
        <v>2014</v>
      </c>
      <c r="M670">
        <v>4</v>
      </c>
      <c r="N670" t="str">
        <f>VLOOKUP(M670,'Cadastro Vendedores'!A:H,2,2)</f>
        <v>José</v>
      </c>
      <c r="O670" s="2"/>
      <c r="P670" s="16">
        <v>3600</v>
      </c>
      <c r="Q670" s="2">
        <f>VLOOKUP(B670,'Cadastro Produtos'!A:F,5,2)</f>
        <v>12</v>
      </c>
      <c r="R670" s="14">
        <f t="shared" si="50"/>
        <v>43200</v>
      </c>
    </row>
    <row r="671" spans="1:18" x14ac:dyDescent="0.25">
      <c r="A671">
        <v>670</v>
      </c>
      <c r="B671">
        <v>6</v>
      </c>
      <c r="C671" t="str">
        <f>VLOOKUP(B671,'Cadastro Produtos'!A:E,2,2)</f>
        <v>Limonada Beta com Açúcar 1 L</v>
      </c>
      <c r="D671">
        <v>6</v>
      </c>
      <c r="E671" t="str">
        <f>VLOOKUP(D671,'Cadatro Clientes'!A:O,2,2)</f>
        <v>Lemonade</v>
      </c>
      <c r="F671" t="str">
        <f>VLOOKUP(D671,'Cadatro Clientes'!A:O,9,2)</f>
        <v>Norte</v>
      </c>
      <c r="G671" s="15">
        <v>41898</v>
      </c>
      <c r="H671">
        <f t="shared" si="51"/>
        <v>3</v>
      </c>
      <c r="I671">
        <f t="shared" si="52"/>
        <v>16</v>
      </c>
      <c r="J671">
        <f t="shared" si="53"/>
        <v>9</v>
      </c>
      <c r="K671">
        <f t="shared" si="54"/>
        <v>2014</v>
      </c>
      <c r="M671">
        <v>8</v>
      </c>
      <c r="N671" t="str">
        <f>VLOOKUP(M671,'Cadastro Vendedores'!A:H,2,2)</f>
        <v>Sérgio</v>
      </c>
      <c r="O671" s="2"/>
      <c r="P671" s="16">
        <v>2700</v>
      </c>
      <c r="Q671" s="2">
        <f>VLOOKUP(B671,'Cadastro Produtos'!A:F,5,2)</f>
        <v>12</v>
      </c>
      <c r="R671" s="14">
        <f t="shared" si="50"/>
        <v>32400</v>
      </c>
    </row>
    <row r="672" spans="1:18" x14ac:dyDescent="0.25">
      <c r="A672">
        <v>671</v>
      </c>
      <c r="B672">
        <v>2</v>
      </c>
      <c r="C672" t="str">
        <f>VLOOKUP(B672,'Cadastro Produtos'!A:E,2,2)</f>
        <v>Limonada Beta com Açúcar 500 ml</v>
      </c>
      <c r="D672">
        <v>17</v>
      </c>
      <c r="E672" t="str">
        <f>VLOOKUP(D672,'Cadatro Clientes'!A:O,2,2)</f>
        <v>Aracasuco</v>
      </c>
      <c r="F672" t="str">
        <f>VLOOKUP(D672,'Cadatro Clientes'!A:O,9,2)</f>
        <v>Nordeste</v>
      </c>
      <c r="G672" s="15">
        <v>41899</v>
      </c>
      <c r="H672">
        <f t="shared" si="51"/>
        <v>4</v>
      </c>
      <c r="I672">
        <f t="shared" si="52"/>
        <v>17</v>
      </c>
      <c r="J672">
        <f t="shared" si="53"/>
        <v>9</v>
      </c>
      <c r="K672">
        <f t="shared" si="54"/>
        <v>2014</v>
      </c>
      <c r="M672">
        <v>3</v>
      </c>
      <c r="N672" t="str">
        <f>VLOOKUP(M672,'Cadastro Vendedores'!A:H,2,2)</f>
        <v>Antônia</v>
      </c>
      <c r="O672" s="2"/>
      <c r="P672" s="16">
        <v>3300</v>
      </c>
      <c r="Q672" s="2">
        <f>VLOOKUP(B672,'Cadastro Produtos'!A:F,5,2)</f>
        <v>6.5</v>
      </c>
      <c r="R672" s="14">
        <f t="shared" si="50"/>
        <v>21450</v>
      </c>
    </row>
    <row r="673" spans="1:18" x14ac:dyDescent="0.25">
      <c r="A673">
        <v>672</v>
      </c>
      <c r="B673">
        <v>2</v>
      </c>
      <c r="C673" t="str">
        <f>VLOOKUP(B673,'Cadastro Produtos'!A:E,2,2)</f>
        <v>Limonada Beta com Açúcar 500 ml</v>
      </c>
      <c r="D673">
        <v>4</v>
      </c>
      <c r="E673" t="str">
        <f>VLOOKUP(D673,'Cadatro Clientes'!A:O,2,2)</f>
        <v>Limão Carioca e Cia</v>
      </c>
      <c r="F673" t="str">
        <f>VLOOKUP(D673,'Cadatro Clientes'!A:O,9,2)</f>
        <v>Sudeste</v>
      </c>
      <c r="G673" s="15">
        <v>41899</v>
      </c>
      <c r="H673">
        <f t="shared" si="51"/>
        <v>4</v>
      </c>
      <c r="I673">
        <f t="shared" si="52"/>
        <v>17</v>
      </c>
      <c r="J673">
        <f t="shared" si="53"/>
        <v>9</v>
      </c>
      <c r="K673">
        <f t="shared" si="54"/>
        <v>2014</v>
      </c>
      <c r="M673">
        <v>4</v>
      </c>
      <c r="N673" t="str">
        <f>VLOOKUP(M673,'Cadastro Vendedores'!A:H,2,2)</f>
        <v>José</v>
      </c>
      <c r="O673" s="2"/>
      <c r="P673" s="16">
        <v>6800</v>
      </c>
      <c r="Q673" s="2">
        <f>VLOOKUP(B673,'Cadastro Produtos'!A:F,5,2)</f>
        <v>6.5</v>
      </c>
      <c r="R673" s="14">
        <f t="shared" si="50"/>
        <v>44200</v>
      </c>
    </row>
    <row r="674" spans="1:18" x14ac:dyDescent="0.25">
      <c r="A674">
        <v>673</v>
      </c>
      <c r="B674">
        <v>5</v>
      </c>
      <c r="C674" t="str">
        <f>VLOOKUP(B674,'Cadastro Produtos'!A:E,2,2)</f>
        <v>Limonada Alfa com Açúcar 1 L</v>
      </c>
      <c r="D674">
        <v>16</v>
      </c>
      <c r="E674" t="str">
        <f>VLOOKUP(D674,'Cadatro Clientes'!A:O,2,2)</f>
        <v>Norte Suco</v>
      </c>
      <c r="F674" t="str">
        <f>VLOOKUP(D674,'Cadatro Clientes'!A:O,9,2)</f>
        <v>Nordeste</v>
      </c>
      <c r="G674" s="15">
        <v>41899</v>
      </c>
      <c r="H674">
        <f t="shared" si="51"/>
        <v>4</v>
      </c>
      <c r="I674">
        <f t="shared" si="52"/>
        <v>17</v>
      </c>
      <c r="J674">
        <f t="shared" si="53"/>
        <v>9</v>
      </c>
      <c r="K674">
        <f t="shared" si="54"/>
        <v>2014</v>
      </c>
      <c r="M674">
        <v>3</v>
      </c>
      <c r="N674" t="str">
        <f>VLOOKUP(M674,'Cadastro Vendedores'!A:H,2,2)</f>
        <v>Antônia</v>
      </c>
      <c r="O674" s="2"/>
      <c r="P674" s="16">
        <v>3500</v>
      </c>
      <c r="Q674" s="2">
        <f>VLOOKUP(B674,'Cadastro Produtos'!A:F,5,2)</f>
        <v>15</v>
      </c>
      <c r="R674" s="14">
        <f t="shared" si="50"/>
        <v>52500</v>
      </c>
    </row>
    <row r="675" spans="1:18" x14ac:dyDescent="0.25">
      <c r="A675">
        <v>674</v>
      </c>
      <c r="B675">
        <v>8</v>
      </c>
      <c r="C675" t="str">
        <f>VLOOKUP(B675,'Cadastro Produtos'!A:E,2,2)</f>
        <v>Limonada Beta Zero 1 L</v>
      </c>
      <c r="D675">
        <v>1</v>
      </c>
      <c r="E675" t="str">
        <f>VLOOKUP(D675,'Cadatro Clientes'!A:O,2,2)</f>
        <v>Meu Suco de Limão</v>
      </c>
      <c r="F675" t="str">
        <f>VLOOKUP(D675,'Cadatro Clientes'!A:O,9,2)</f>
        <v>Norte</v>
      </c>
      <c r="G675" s="15">
        <v>41900</v>
      </c>
      <c r="H675">
        <f t="shared" si="51"/>
        <v>5</v>
      </c>
      <c r="I675">
        <f t="shared" si="52"/>
        <v>18</v>
      </c>
      <c r="J675">
        <f t="shared" si="53"/>
        <v>9</v>
      </c>
      <c r="K675">
        <f t="shared" si="54"/>
        <v>2014</v>
      </c>
      <c r="M675">
        <v>7</v>
      </c>
      <c r="N675" t="str">
        <f>VLOOKUP(M675,'Cadastro Vendedores'!A:H,2,2)</f>
        <v>Benedito</v>
      </c>
      <c r="O675" s="2"/>
      <c r="P675" s="16">
        <v>1100</v>
      </c>
      <c r="Q675" s="2">
        <f>VLOOKUP(B675,'Cadastro Produtos'!A:F,5,2)</f>
        <v>12</v>
      </c>
      <c r="R675" s="14">
        <f t="shared" si="50"/>
        <v>13200</v>
      </c>
    </row>
    <row r="676" spans="1:18" x14ac:dyDescent="0.25">
      <c r="A676">
        <v>675</v>
      </c>
      <c r="B676">
        <v>9</v>
      </c>
      <c r="C676" t="str">
        <f>VLOOKUP(B676,'Cadastro Produtos'!A:E,2,2)</f>
        <v>Limonada Alfa com Hortelã e Açúcar 1 L</v>
      </c>
      <c r="D676">
        <v>20</v>
      </c>
      <c r="E676" t="str">
        <f>VLOOKUP(D676,'Cadatro Clientes'!A:O,2,2)</f>
        <v>Brasil Saúde</v>
      </c>
      <c r="F676" t="str">
        <f>VLOOKUP(D676,'Cadatro Clientes'!A:O,9,2)</f>
        <v>Nordeste</v>
      </c>
      <c r="G676" s="15">
        <v>41900</v>
      </c>
      <c r="H676">
        <f t="shared" si="51"/>
        <v>5</v>
      </c>
      <c r="I676">
        <f t="shared" si="52"/>
        <v>18</v>
      </c>
      <c r="J676">
        <f t="shared" si="53"/>
        <v>9</v>
      </c>
      <c r="K676">
        <f t="shared" si="54"/>
        <v>2014</v>
      </c>
      <c r="M676">
        <v>8</v>
      </c>
      <c r="N676" t="str">
        <f>VLOOKUP(M676,'Cadastro Vendedores'!A:H,2,2)</f>
        <v>Sérgio</v>
      </c>
      <c r="O676" s="2"/>
      <c r="P676" s="16">
        <v>2100</v>
      </c>
      <c r="Q676" s="2">
        <f>VLOOKUP(B676,'Cadastro Produtos'!A:F,5,2)</f>
        <v>17.5</v>
      </c>
      <c r="R676" s="14">
        <f t="shared" si="50"/>
        <v>36750</v>
      </c>
    </row>
    <row r="677" spans="1:18" x14ac:dyDescent="0.25">
      <c r="A677">
        <v>676</v>
      </c>
      <c r="B677">
        <v>7</v>
      </c>
      <c r="C677" t="str">
        <f>VLOOKUP(B677,'Cadastro Produtos'!A:E,2,2)</f>
        <v>Limonada Alfa Zero 1 L</v>
      </c>
      <c r="D677">
        <v>1</v>
      </c>
      <c r="E677" t="str">
        <f>VLOOKUP(D677,'Cadatro Clientes'!A:O,2,2)</f>
        <v>Meu Suco de Limão</v>
      </c>
      <c r="F677" t="str">
        <f>VLOOKUP(D677,'Cadatro Clientes'!A:O,9,2)</f>
        <v>Norte</v>
      </c>
      <c r="G677" s="15">
        <v>41901</v>
      </c>
      <c r="H677">
        <f t="shared" si="51"/>
        <v>6</v>
      </c>
      <c r="I677">
        <f t="shared" si="52"/>
        <v>19</v>
      </c>
      <c r="J677">
        <f t="shared" si="53"/>
        <v>9</v>
      </c>
      <c r="K677">
        <f t="shared" si="54"/>
        <v>2014</v>
      </c>
      <c r="M677">
        <v>8</v>
      </c>
      <c r="N677" t="str">
        <f>VLOOKUP(M677,'Cadastro Vendedores'!A:H,2,2)</f>
        <v>Sérgio</v>
      </c>
      <c r="O677" s="2"/>
      <c r="P677" s="16">
        <v>1800</v>
      </c>
      <c r="Q677" s="2">
        <f>VLOOKUP(B677,'Cadastro Produtos'!A:F,5,2)</f>
        <v>15</v>
      </c>
      <c r="R677" s="14">
        <f t="shared" si="50"/>
        <v>27000</v>
      </c>
    </row>
    <row r="678" spans="1:18" x14ac:dyDescent="0.25">
      <c r="A678">
        <v>677</v>
      </c>
      <c r="B678">
        <v>3</v>
      </c>
      <c r="C678" t="str">
        <f>VLOOKUP(B678,'Cadastro Produtos'!A:E,2,2)</f>
        <v>Limonada Alfa Zero 500 ml</v>
      </c>
      <c r="D678">
        <v>8</v>
      </c>
      <c r="E678" t="str">
        <f>VLOOKUP(D678,'Cadatro Clientes'!A:O,2,2)</f>
        <v>Refresko</v>
      </c>
      <c r="F678" t="str">
        <f>VLOOKUP(D678,'Cadatro Clientes'!A:O,9,2)</f>
        <v>Sul</v>
      </c>
      <c r="G678" s="15">
        <v>41901</v>
      </c>
      <c r="H678">
        <f t="shared" si="51"/>
        <v>6</v>
      </c>
      <c r="I678">
        <f t="shared" si="52"/>
        <v>19</v>
      </c>
      <c r="J678">
        <f t="shared" si="53"/>
        <v>9</v>
      </c>
      <c r="K678">
        <f t="shared" si="54"/>
        <v>2014</v>
      </c>
      <c r="M678">
        <v>6</v>
      </c>
      <c r="N678" t="str">
        <f>VLOOKUP(M678,'Cadastro Vendedores'!A:H,2,2)</f>
        <v>Antônia</v>
      </c>
      <c r="O678" s="2"/>
      <c r="P678" s="16">
        <v>2900</v>
      </c>
      <c r="Q678" s="2">
        <f>VLOOKUP(B678,'Cadastro Produtos'!A:F,5,2)</f>
        <v>9</v>
      </c>
      <c r="R678" s="14">
        <f t="shared" si="50"/>
        <v>26100</v>
      </c>
    </row>
    <row r="679" spans="1:18" x14ac:dyDescent="0.25">
      <c r="A679">
        <v>678</v>
      </c>
      <c r="B679">
        <v>3</v>
      </c>
      <c r="C679" t="str">
        <f>VLOOKUP(B679,'Cadastro Produtos'!A:E,2,2)</f>
        <v>Limonada Alfa Zero 500 ml</v>
      </c>
      <c r="D679">
        <v>2</v>
      </c>
      <c r="E679" t="str">
        <f>VLOOKUP(D679,'Cadatro Clientes'!A:O,2,2)</f>
        <v>Limão S/A</v>
      </c>
      <c r="F679" t="str">
        <f>VLOOKUP(D679,'Cadatro Clientes'!A:O,9,2)</f>
        <v>Centro-Oeste</v>
      </c>
      <c r="G679" s="15">
        <v>41901</v>
      </c>
      <c r="H679">
        <f t="shared" si="51"/>
        <v>6</v>
      </c>
      <c r="I679">
        <f t="shared" si="52"/>
        <v>19</v>
      </c>
      <c r="J679">
        <f t="shared" si="53"/>
        <v>9</v>
      </c>
      <c r="K679">
        <f t="shared" si="54"/>
        <v>2014</v>
      </c>
      <c r="M679">
        <v>8</v>
      </c>
      <c r="N679" t="str">
        <f>VLOOKUP(M679,'Cadastro Vendedores'!A:H,2,2)</f>
        <v>Sérgio</v>
      </c>
      <c r="O679" s="2"/>
      <c r="P679" s="16">
        <v>5300</v>
      </c>
      <c r="Q679" s="2">
        <f>VLOOKUP(B679,'Cadastro Produtos'!A:F,5,2)</f>
        <v>9</v>
      </c>
      <c r="R679" s="14">
        <f t="shared" si="50"/>
        <v>47700</v>
      </c>
    </row>
    <row r="680" spans="1:18" x14ac:dyDescent="0.25">
      <c r="A680">
        <v>679</v>
      </c>
      <c r="B680">
        <v>1</v>
      </c>
      <c r="C680" t="str">
        <f>VLOOKUP(B680,'Cadastro Produtos'!A:E,2,2)</f>
        <v>Limonada Alfa com Açúcar 500 ml</v>
      </c>
      <c r="D680">
        <v>13</v>
      </c>
      <c r="E680" t="str">
        <f>VLOOKUP(D680,'Cadatro Clientes'!A:O,2,2)</f>
        <v>Monster Lemon</v>
      </c>
      <c r="F680" t="str">
        <f>VLOOKUP(D680,'Cadatro Clientes'!A:O,9,2)</f>
        <v>Nordeste</v>
      </c>
      <c r="G680" s="15">
        <v>41902</v>
      </c>
      <c r="H680">
        <f t="shared" si="51"/>
        <v>7</v>
      </c>
      <c r="I680">
        <f t="shared" si="52"/>
        <v>20</v>
      </c>
      <c r="J680">
        <f t="shared" si="53"/>
        <v>9</v>
      </c>
      <c r="K680">
        <f t="shared" si="54"/>
        <v>2014</v>
      </c>
      <c r="M680">
        <v>4</v>
      </c>
      <c r="N680" t="str">
        <f>VLOOKUP(M680,'Cadastro Vendedores'!A:H,2,2)</f>
        <v>José</v>
      </c>
      <c r="O680" s="2"/>
      <c r="P680" s="16">
        <v>5200</v>
      </c>
      <c r="Q680" s="2">
        <f>VLOOKUP(B680,'Cadastro Produtos'!A:F,5,2)</f>
        <v>8.5</v>
      </c>
      <c r="R680" s="14">
        <f t="shared" si="50"/>
        <v>44200</v>
      </c>
    </row>
    <row r="681" spans="1:18" x14ac:dyDescent="0.25">
      <c r="A681">
        <v>680</v>
      </c>
      <c r="B681">
        <v>8</v>
      </c>
      <c r="C681" t="str">
        <f>VLOOKUP(B681,'Cadastro Produtos'!A:E,2,2)</f>
        <v>Limonada Beta Zero 1 L</v>
      </c>
      <c r="D681">
        <v>5</v>
      </c>
      <c r="E681" t="str">
        <f>VLOOKUP(D681,'Cadatro Clientes'!A:O,2,2)</f>
        <v>Axé com Limão</v>
      </c>
      <c r="F681" t="str">
        <f>VLOOKUP(D681,'Cadatro Clientes'!A:O,9,2)</f>
        <v>Nordeste</v>
      </c>
      <c r="G681" s="15">
        <v>41902</v>
      </c>
      <c r="H681">
        <f t="shared" si="51"/>
        <v>7</v>
      </c>
      <c r="I681">
        <f t="shared" si="52"/>
        <v>20</v>
      </c>
      <c r="J681">
        <f t="shared" si="53"/>
        <v>9</v>
      </c>
      <c r="K681">
        <f t="shared" si="54"/>
        <v>2014</v>
      </c>
      <c r="M681">
        <v>9</v>
      </c>
      <c r="N681" t="str">
        <f>VLOOKUP(M681,'Cadastro Vendedores'!A:H,2,2)</f>
        <v>Adriana</v>
      </c>
      <c r="O681" s="2"/>
      <c r="P681" s="16">
        <v>2100</v>
      </c>
      <c r="Q681" s="2">
        <f>VLOOKUP(B681,'Cadastro Produtos'!A:F,5,2)</f>
        <v>12</v>
      </c>
      <c r="R681" s="14">
        <f t="shared" si="50"/>
        <v>25200</v>
      </c>
    </row>
    <row r="682" spans="1:18" x14ac:dyDescent="0.25">
      <c r="A682">
        <v>681</v>
      </c>
      <c r="B682">
        <v>5</v>
      </c>
      <c r="C682" t="str">
        <f>VLOOKUP(B682,'Cadastro Produtos'!A:E,2,2)</f>
        <v>Limonada Alfa com Açúcar 1 L</v>
      </c>
      <c r="D682">
        <v>1</v>
      </c>
      <c r="E682" t="str">
        <f>VLOOKUP(D682,'Cadatro Clientes'!A:O,2,2)</f>
        <v>Meu Suco de Limão</v>
      </c>
      <c r="F682" t="str">
        <f>VLOOKUP(D682,'Cadatro Clientes'!A:O,9,2)</f>
        <v>Norte</v>
      </c>
      <c r="G682" s="15">
        <v>41902</v>
      </c>
      <c r="H682">
        <f t="shared" si="51"/>
        <v>7</v>
      </c>
      <c r="I682">
        <f t="shared" si="52"/>
        <v>20</v>
      </c>
      <c r="J682">
        <f t="shared" si="53"/>
        <v>9</v>
      </c>
      <c r="K682">
        <f t="shared" si="54"/>
        <v>2014</v>
      </c>
      <c r="M682">
        <v>4</v>
      </c>
      <c r="N682" t="str">
        <f>VLOOKUP(M682,'Cadastro Vendedores'!A:H,2,2)</f>
        <v>José</v>
      </c>
      <c r="O682" s="2"/>
      <c r="P682" s="16">
        <v>2100</v>
      </c>
      <c r="Q682" s="2">
        <f>VLOOKUP(B682,'Cadastro Produtos'!A:F,5,2)</f>
        <v>15</v>
      </c>
      <c r="R682" s="14">
        <f t="shared" si="50"/>
        <v>31500</v>
      </c>
    </row>
    <row r="683" spans="1:18" x14ac:dyDescent="0.25">
      <c r="A683">
        <v>682</v>
      </c>
      <c r="B683">
        <v>3</v>
      </c>
      <c r="C683" t="str">
        <f>VLOOKUP(B683,'Cadastro Produtos'!A:E,2,2)</f>
        <v>Limonada Alfa Zero 500 ml</v>
      </c>
      <c r="D683">
        <v>16</v>
      </c>
      <c r="E683" t="str">
        <f>VLOOKUP(D683,'Cadatro Clientes'!A:O,2,2)</f>
        <v>Norte Suco</v>
      </c>
      <c r="F683" t="str">
        <f>VLOOKUP(D683,'Cadatro Clientes'!A:O,9,2)</f>
        <v>Nordeste</v>
      </c>
      <c r="G683" s="15">
        <v>41903</v>
      </c>
      <c r="H683">
        <f t="shared" si="51"/>
        <v>1</v>
      </c>
      <c r="I683">
        <f t="shared" si="52"/>
        <v>21</v>
      </c>
      <c r="J683">
        <f t="shared" si="53"/>
        <v>9</v>
      </c>
      <c r="K683">
        <f t="shared" si="54"/>
        <v>2014</v>
      </c>
      <c r="M683">
        <v>2</v>
      </c>
      <c r="N683" t="str">
        <f>VLOOKUP(M683,'Cadastro Vendedores'!A:H,2,2)</f>
        <v>Luis</v>
      </c>
      <c r="O683" s="2"/>
      <c r="P683" s="16">
        <v>4300</v>
      </c>
      <c r="Q683" s="2">
        <f>VLOOKUP(B683,'Cadastro Produtos'!A:F,5,2)</f>
        <v>9</v>
      </c>
      <c r="R683" s="14">
        <f t="shared" si="50"/>
        <v>38700</v>
      </c>
    </row>
    <row r="684" spans="1:18" x14ac:dyDescent="0.25">
      <c r="A684">
        <v>683</v>
      </c>
      <c r="B684">
        <v>8</v>
      </c>
      <c r="C684" t="str">
        <f>VLOOKUP(B684,'Cadastro Produtos'!A:E,2,2)</f>
        <v>Limonada Beta Zero 1 L</v>
      </c>
      <c r="D684">
        <v>2</v>
      </c>
      <c r="E684" t="str">
        <f>VLOOKUP(D684,'Cadatro Clientes'!A:O,2,2)</f>
        <v>Limão S/A</v>
      </c>
      <c r="F684" t="str">
        <f>VLOOKUP(D684,'Cadatro Clientes'!A:O,9,2)</f>
        <v>Centro-Oeste</v>
      </c>
      <c r="G684" s="15">
        <v>41903</v>
      </c>
      <c r="H684">
        <f t="shared" si="51"/>
        <v>1</v>
      </c>
      <c r="I684">
        <f t="shared" si="52"/>
        <v>21</v>
      </c>
      <c r="J684">
        <f t="shared" si="53"/>
        <v>9</v>
      </c>
      <c r="K684">
        <f t="shared" si="54"/>
        <v>2014</v>
      </c>
      <c r="M684">
        <v>4</v>
      </c>
      <c r="N684" t="str">
        <f>VLOOKUP(M684,'Cadastro Vendedores'!A:H,2,2)</f>
        <v>José</v>
      </c>
      <c r="O684" s="2"/>
      <c r="P684" s="16">
        <v>3200</v>
      </c>
      <c r="Q684" s="2">
        <f>VLOOKUP(B684,'Cadastro Produtos'!A:F,5,2)</f>
        <v>12</v>
      </c>
      <c r="R684" s="14">
        <f t="shared" si="50"/>
        <v>38400</v>
      </c>
    </row>
    <row r="685" spans="1:18" x14ac:dyDescent="0.25">
      <c r="A685">
        <v>684</v>
      </c>
      <c r="B685">
        <v>9</v>
      </c>
      <c r="C685" t="str">
        <f>VLOOKUP(B685,'Cadastro Produtos'!A:E,2,2)</f>
        <v>Limonada Alfa com Hortelã e Açúcar 1 L</v>
      </c>
      <c r="D685">
        <v>6</v>
      </c>
      <c r="E685" t="str">
        <f>VLOOKUP(D685,'Cadatro Clientes'!A:O,2,2)</f>
        <v>Lemonade</v>
      </c>
      <c r="F685" t="str">
        <f>VLOOKUP(D685,'Cadatro Clientes'!A:O,9,2)</f>
        <v>Norte</v>
      </c>
      <c r="G685" s="15">
        <v>41903</v>
      </c>
      <c r="H685">
        <f t="shared" si="51"/>
        <v>1</v>
      </c>
      <c r="I685">
        <f t="shared" si="52"/>
        <v>21</v>
      </c>
      <c r="J685">
        <f t="shared" si="53"/>
        <v>9</v>
      </c>
      <c r="K685">
        <f t="shared" si="54"/>
        <v>2014</v>
      </c>
      <c r="M685">
        <v>6</v>
      </c>
      <c r="N685" t="str">
        <f>VLOOKUP(M685,'Cadastro Vendedores'!A:H,2,2)</f>
        <v>Antônia</v>
      </c>
      <c r="O685" s="2"/>
      <c r="P685" s="16">
        <v>2500</v>
      </c>
      <c r="Q685" s="2">
        <f>VLOOKUP(B685,'Cadastro Produtos'!A:F,5,2)</f>
        <v>17.5</v>
      </c>
      <c r="R685" s="14">
        <f t="shared" si="50"/>
        <v>43750</v>
      </c>
    </row>
    <row r="686" spans="1:18" x14ac:dyDescent="0.25">
      <c r="A686">
        <v>685</v>
      </c>
      <c r="B686">
        <v>7</v>
      </c>
      <c r="C686" t="str">
        <f>VLOOKUP(B686,'Cadastro Produtos'!A:E,2,2)</f>
        <v>Limonada Alfa Zero 1 L</v>
      </c>
      <c r="D686">
        <v>16</v>
      </c>
      <c r="E686" t="str">
        <f>VLOOKUP(D686,'Cadatro Clientes'!A:O,2,2)</f>
        <v>Norte Suco</v>
      </c>
      <c r="F686" t="str">
        <f>VLOOKUP(D686,'Cadatro Clientes'!A:O,9,2)</f>
        <v>Nordeste</v>
      </c>
      <c r="G686" s="15">
        <v>41903</v>
      </c>
      <c r="H686">
        <f t="shared" si="51"/>
        <v>1</v>
      </c>
      <c r="I686">
        <f t="shared" si="52"/>
        <v>21</v>
      </c>
      <c r="J686">
        <f t="shared" si="53"/>
        <v>9</v>
      </c>
      <c r="K686">
        <f t="shared" si="54"/>
        <v>2014</v>
      </c>
      <c r="M686">
        <v>6</v>
      </c>
      <c r="N686" t="str">
        <f>VLOOKUP(M686,'Cadastro Vendedores'!A:H,2,2)</f>
        <v>Antônia</v>
      </c>
      <c r="O686" s="2"/>
      <c r="P686" s="16">
        <v>2300</v>
      </c>
      <c r="Q686" s="2">
        <f>VLOOKUP(B686,'Cadastro Produtos'!A:F,5,2)</f>
        <v>15</v>
      </c>
      <c r="R686" s="14">
        <f t="shared" si="50"/>
        <v>34500</v>
      </c>
    </row>
    <row r="687" spans="1:18" x14ac:dyDescent="0.25">
      <c r="A687">
        <v>686</v>
      </c>
      <c r="B687">
        <v>2</v>
      </c>
      <c r="C687" t="str">
        <f>VLOOKUP(B687,'Cadastro Produtos'!A:E,2,2)</f>
        <v>Limonada Beta com Açúcar 500 ml</v>
      </c>
      <c r="D687">
        <v>1</v>
      </c>
      <c r="E687" t="str">
        <f>VLOOKUP(D687,'Cadatro Clientes'!A:O,2,2)</f>
        <v>Meu Suco de Limão</v>
      </c>
      <c r="F687" t="str">
        <f>VLOOKUP(D687,'Cadatro Clientes'!A:O,9,2)</f>
        <v>Norte</v>
      </c>
      <c r="G687" s="15">
        <v>41904</v>
      </c>
      <c r="H687">
        <f t="shared" si="51"/>
        <v>2</v>
      </c>
      <c r="I687">
        <f t="shared" si="52"/>
        <v>22</v>
      </c>
      <c r="J687">
        <f t="shared" si="53"/>
        <v>9</v>
      </c>
      <c r="K687">
        <f t="shared" si="54"/>
        <v>2014</v>
      </c>
      <c r="M687">
        <v>3</v>
      </c>
      <c r="N687" t="str">
        <f>VLOOKUP(M687,'Cadastro Vendedores'!A:H,2,2)</f>
        <v>Antônia</v>
      </c>
      <c r="O687" s="2"/>
      <c r="P687" s="16">
        <v>5200</v>
      </c>
      <c r="Q687" s="2">
        <f>VLOOKUP(B687,'Cadastro Produtos'!A:F,5,2)</f>
        <v>6.5</v>
      </c>
      <c r="R687" s="14">
        <f t="shared" si="50"/>
        <v>33800</v>
      </c>
    </row>
    <row r="688" spans="1:18" x14ac:dyDescent="0.25">
      <c r="A688">
        <v>687</v>
      </c>
      <c r="B688">
        <v>2</v>
      </c>
      <c r="C688" t="str">
        <f>VLOOKUP(B688,'Cadastro Produtos'!A:E,2,2)</f>
        <v>Limonada Beta com Açúcar 500 ml</v>
      </c>
      <c r="D688">
        <v>19</v>
      </c>
      <c r="E688" t="str">
        <f>VLOOKUP(D688,'Cadatro Clientes'!A:O,2,2)</f>
        <v>Lima Limão</v>
      </c>
      <c r="F688" t="str">
        <f>VLOOKUP(D688,'Cadatro Clientes'!A:O,9,2)</f>
        <v>Sudeste</v>
      </c>
      <c r="G688" s="15">
        <v>41904</v>
      </c>
      <c r="H688">
        <f t="shared" si="51"/>
        <v>2</v>
      </c>
      <c r="I688">
        <f t="shared" si="52"/>
        <v>22</v>
      </c>
      <c r="J688">
        <f t="shared" si="53"/>
        <v>9</v>
      </c>
      <c r="K688">
        <f t="shared" si="54"/>
        <v>2014</v>
      </c>
      <c r="M688">
        <v>8</v>
      </c>
      <c r="N688" t="str">
        <f>VLOOKUP(M688,'Cadastro Vendedores'!A:H,2,2)</f>
        <v>Sérgio</v>
      </c>
      <c r="O688" s="2"/>
      <c r="P688" s="16">
        <v>6000</v>
      </c>
      <c r="Q688" s="2">
        <f>VLOOKUP(B688,'Cadastro Produtos'!A:F,5,2)</f>
        <v>6.5</v>
      </c>
      <c r="R688" s="14">
        <f t="shared" si="50"/>
        <v>39000</v>
      </c>
    </row>
    <row r="689" spans="1:18" x14ac:dyDescent="0.25">
      <c r="A689">
        <v>688</v>
      </c>
      <c r="B689">
        <v>6</v>
      </c>
      <c r="C689" t="str">
        <f>VLOOKUP(B689,'Cadastro Produtos'!A:E,2,2)</f>
        <v>Limonada Beta com Açúcar 1 L</v>
      </c>
      <c r="D689">
        <v>9</v>
      </c>
      <c r="E689" t="str">
        <f>VLOOKUP(D689,'Cadatro Clientes'!A:O,2,2)</f>
        <v>Fresh Lemon</v>
      </c>
      <c r="F689" t="str">
        <f>VLOOKUP(D689,'Cadatro Clientes'!A:O,9,2)</f>
        <v>Sudeste</v>
      </c>
      <c r="G689" s="15">
        <v>41904</v>
      </c>
      <c r="H689">
        <f t="shared" si="51"/>
        <v>2</v>
      </c>
      <c r="I689">
        <f t="shared" si="52"/>
        <v>22</v>
      </c>
      <c r="J689">
        <f t="shared" si="53"/>
        <v>9</v>
      </c>
      <c r="K689">
        <f t="shared" si="54"/>
        <v>2014</v>
      </c>
      <c r="M689">
        <v>2</v>
      </c>
      <c r="N689" t="str">
        <f>VLOOKUP(M689,'Cadastro Vendedores'!A:H,2,2)</f>
        <v>Luis</v>
      </c>
      <c r="O689" s="2"/>
      <c r="P689" s="16">
        <v>2700</v>
      </c>
      <c r="Q689" s="2">
        <f>VLOOKUP(B689,'Cadastro Produtos'!A:F,5,2)</f>
        <v>12</v>
      </c>
      <c r="R689" s="14">
        <f t="shared" si="50"/>
        <v>32400</v>
      </c>
    </row>
    <row r="690" spans="1:18" x14ac:dyDescent="0.25">
      <c r="A690">
        <v>689</v>
      </c>
      <c r="B690">
        <v>7</v>
      </c>
      <c r="C690" t="str">
        <f>VLOOKUP(B690,'Cadastro Produtos'!A:E,2,2)</f>
        <v>Limonada Alfa Zero 1 L</v>
      </c>
      <c r="D690">
        <v>20</v>
      </c>
      <c r="E690" t="str">
        <f>VLOOKUP(D690,'Cadatro Clientes'!A:O,2,2)</f>
        <v>Brasil Saúde</v>
      </c>
      <c r="F690" t="str">
        <f>VLOOKUP(D690,'Cadatro Clientes'!A:O,9,2)</f>
        <v>Nordeste</v>
      </c>
      <c r="G690" s="15">
        <v>41904</v>
      </c>
      <c r="H690">
        <f t="shared" si="51"/>
        <v>2</v>
      </c>
      <c r="I690">
        <f t="shared" si="52"/>
        <v>22</v>
      </c>
      <c r="J690">
        <f t="shared" si="53"/>
        <v>9</v>
      </c>
      <c r="K690">
        <f t="shared" si="54"/>
        <v>2014</v>
      </c>
      <c r="M690">
        <v>4</v>
      </c>
      <c r="N690" t="str">
        <f>VLOOKUP(M690,'Cadastro Vendedores'!A:H,2,2)</f>
        <v>José</v>
      </c>
      <c r="O690" s="2"/>
      <c r="P690" s="16">
        <v>2600</v>
      </c>
      <c r="Q690" s="2">
        <f>VLOOKUP(B690,'Cadastro Produtos'!A:F,5,2)</f>
        <v>15</v>
      </c>
      <c r="R690" s="14">
        <f t="shared" si="50"/>
        <v>39000</v>
      </c>
    </row>
    <row r="691" spans="1:18" x14ac:dyDescent="0.25">
      <c r="A691">
        <v>690</v>
      </c>
      <c r="B691">
        <v>1</v>
      </c>
      <c r="C691" t="str">
        <f>VLOOKUP(B691,'Cadastro Produtos'!A:E,2,2)</f>
        <v>Limonada Alfa com Açúcar 500 ml</v>
      </c>
      <c r="D691">
        <v>17</v>
      </c>
      <c r="E691" t="str">
        <f>VLOOKUP(D691,'Cadatro Clientes'!A:O,2,2)</f>
        <v>Aracasuco</v>
      </c>
      <c r="F691" t="str">
        <f>VLOOKUP(D691,'Cadatro Clientes'!A:O,9,2)</f>
        <v>Nordeste</v>
      </c>
      <c r="G691" s="15">
        <v>41904</v>
      </c>
      <c r="H691">
        <f t="shared" si="51"/>
        <v>2</v>
      </c>
      <c r="I691">
        <f t="shared" si="52"/>
        <v>22</v>
      </c>
      <c r="J691">
        <f t="shared" si="53"/>
        <v>9</v>
      </c>
      <c r="K691">
        <f t="shared" si="54"/>
        <v>2014</v>
      </c>
      <c r="M691">
        <v>2</v>
      </c>
      <c r="N691" t="str">
        <f>VLOOKUP(M691,'Cadastro Vendedores'!A:H,2,2)</f>
        <v>Luis</v>
      </c>
      <c r="O691" s="2"/>
      <c r="P691" s="16">
        <v>5400</v>
      </c>
      <c r="Q691" s="2">
        <f>VLOOKUP(B691,'Cadastro Produtos'!A:F,5,2)</f>
        <v>8.5</v>
      </c>
      <c r="R691" s="14">
        <f t="shared" si="50"/>
        <v>45900</v>
      </c>
    </row>
    <row r="692" spans="1:18" x14ac:dyDescent="0.25">
      <c r="A692">
        <v>691</v>
      </c>
      <c r="B692">
        <v>5</v>
      </c>
      <c r="C692" t="str">
        <f>VLOOKUP(B692,'Cadastro Produtos'!A:E,2,2)</f>
        <v>Limonada Alfa com Açúcar 1 L</v>
      </c>
      <c r="D692">
        <v>1</v>
      </c>
      <c r="E692" t="str">
        <f>VLOOKUP(D692,'Cadatro Clientes'!A:O,2,2)</f>
        <v>Meu Suco de Limão</v>
      </c>
      <c r="F692" t="str">
        <f>VLOOKUP(D692,'Cadatro Clientes'!A:O,9,2)</f>
        <v>Norte</v>
      </c>
      <c r="G692" s="15">
        <v>41906</v>
      </c>
      <c r="H692">
        <f t="shared" si="51"/>
        <v>4</v>
      </c>
      <c r="I692">
        <f t="shared" si="52"/>
        <v>24</v>
      </c>
      <c r="J692">
        <f t="shared" si="53"/>
        <v>9</v>
      </c>
      <c r="K692">
        <f t="shared" si="54"/>
        <v>2014</v>
      </c>
      <c r="M692">
        <v>7</v>
      </c>
      <c r="N692" t="str">
        <f>VLOOKUP(M692,'Cadastro Vendedores'!A:H,2,2)</f>
        <v>Benedito</v>
      </c>
      <c r="O692" s="2"/>
      <c r="P692" s="16">
        <v>2700</v>
      </c>
      <c r="Q692" s="2">
        <f>VLOOKUP(B692,'Cadastro Produtos'!A:F,5,2)</f>
        <v>15</v>
      </c>
      <c r="R692" s="14">
        <f t="shared" si="50"/>
        <v>40500</v>
      </c>
    </row>
    <row r="693" spans="1:18" x14ac:dyDescent="0.25">
      <c r="A693">
        <v>692</v>
      </c>
      <c r="B693">
        <v>10</v>
      </c>
      <c r="C693" t="str">
        <f>VLOOKUP(B693,'Cadastro Produtos'!A:E,2,2)</f>
        <v>Limonada Alfa com Hortelã Zero 1 L</v>
      </c>
      <c r="D693">
        <v>1</v>
      </c>
      <c r="E693" t="str">
        <f>VLOOKUP(D693,'Cadatro Clientes'!A:O,2,2)</f>
        <v>Meu Suco de Limão</v>
      </c>
      <c r="F693" t="str">
        <f>VLOOKUP(D693,'Cadatro Clientes'!A:O,9,2)</f>
        <v>Norte</v>
      </c>
      <c r="G693" s="15">
        <v>41906</v>
      </c>
      <c r="H693">
        <f t="shared" si="51"/>
        <v>4</v>
      </c>
      <c r="I693">
        <f t="shared" si="52"/>
        <v>24</v>
      </c>
      <c r="J693">
        <f t="shared" si="53"/>
        <v>9</v>
      </c>
      <c r="K693">
        <f t="shared" si="54"/>
        <v>2014</v>
      </c>
      <c r="M693">
        <v>12</v>
      </c>
      <c r="N693" t="str">
        <f>VLOOKUP(M693,'Cadastro Vendedores'!A:H,2,2)</f>
        <v>Paulo</v>
      </c>
      <c r="O693" s="2"/>
      <c r="P693" s="16">
        <v>2100</v>
      </c>
      <c r="Q693" s="2">
        <f>VLOOKUP(B693,'Cadastro Produtos'!A:F,5,2)</f>
        <v>21</v>
      </c>
      <c r="R693" s="14">
        <f t="shared" si="50"/>
        <v>44100</v>
      </c>
    </row>
    <row r="694" spans="1:18" x14ac:dyDescent="0.25">
      <c r="A694">
        <v>693</v>
      </c>
      <c r="B694">
        <v>6</v>
      </c>
      <c r="C694" t="str">
        <f>VLOOKUP(B694,'Cadastro Produtos'!A:E,2,2)</f>
        <v>Limonada Beta com Açúcar 1 L</v>
      </c>
      <c r="D694">
        <v>4</v>
      </c>
      <c r="E694" t="str">
        <f>VLOOKUP(D694,'Cadatro Clientes'!A:O,2,2)</f>
        <v>Limão Carioca e Cia</v>
      </c>
      <c r="F694" t="str">
        <f>VLOOKUP(D694,'Cadatro Clientes'!A:O,9,2)</f>
        <v>Sudeste</v>
      </c>
      <c r="G694" s="15">
        <v>41907</v>
      </c>
      <c r="H694">
        <f t="shared" si="51"/>
        <v>5</v>
      </c>
      <c r="I694">
        <f t="shared" si="52"/>
        <v>25</v>
      </c>
      <c r="J694">
        <f t="shared" si="53"/>
        <v>9</v>
      </c>
      <c r="K694">
        <f t="shared" si="54"/>
        <v>2014</v>
      </c>
      <c r="M694">
        <v>3</v>
      </c>
      <c r="N694" t="str">
        <f>VLOOKUP(M694,'Cadastro Vendedores'!A:H,2,2)</f>
        <v>Antônia</v>
      </c>
      <c r="O694" s="2"/>
      <c r="P694" s="16">
        <v>2700</v>
      </c>
      <c r="Q694" s="2">
        <f>VLOOKUP(B694,'Cadastro Produtos'!A:F,5,2)</f>
        <v>12</v>
      </c>
      <c r="R694" s="14">
        <f t="shared" si="50"/>
        <v>32400</v>
      </c>
    </row>
    <row r="695" spans="1:18" x14ac:dyDescent="0.25">
      <c r="A695">
        <v>694</v>
      </c>
      <c r="B695">
        <v>1</v>
      </c>
      <c r="C695" t="str">
        <f>VLOOKUP(B695,'Cadastro Produtos'!A:E,2,2)</f>
        <v>Limonada Alfa com Açúcar 500 ml</v>
      </c>
      <c r="D695">
        <v>20</v>
      </c>
      <c r="E695" t="str">
        <f>VLOOKUP(D695,'Cadatro Clientes'!A:O,2,2)</f>
        <v>Brasil Saúde</v>
      </c>
      <c r="F695" t="str">
        <f>VLOOKUP(D695,'Cadatro Clientes'!A:O,9,2)</f>
        <v>Nordeste</v>
      </c>
      <c r="G695" s="15">
        <v>41907</v>
      </c>
      <c r="H695">
        <f t="shared" si="51"/>
        <v>5</v>
      </c>
      <c r="I695">
        <f t="shared" si="52"/>
        <v>25</v>
      </c>
      <c r="J695">
        <f t="shared" si="53"/>
        <v>9</v>
      </c>
      <c r="K695">
        <f t="shared" si="54"/>
        <v>2014</v>
      </c>
      <c r="M695">
        <v>4</v>
      </c>
      <c r="N695" t="str">
        <f>VLOOKUP(M695,'Cadastro Vendedores'!A:H,2,2)</f>
        <v>José</v>
      </c>
      <c r="O695" s="2"/>
      <c r="P695" s="16">
        <v>2800</v>
      </c>
      <c r="Q695" s="2">
        <f>VLOOKUP(B695,'Cadastro Produtos'!A:F,5,2)</f>
        <v>8.5</v>
      </c>
      <c r="R695" s="14">
        <f t="shared" si="50"/>
        <v>23800</v>
      </c>
    </row>
    <row r="696" spans="1:18" x14ac:dyDescent="0.25">
      <c r="A696">
        <v>695</v>
      </c>
      <c r="B696">
        <v>2</v>
      </c>
      <c r="C696" t="str">
        <f>VLOOKUP(B696,'Cadastro Produtos'!A:E,2,2)</f>
        <v>Limonada Beta com Açúcar 500 ml</v>
      </c>
      <c r="D696">
        <v>17</v>
      </c>
      <c r="E696" t="str">
        <f>VLOOKUP(D696,'Cadatro Clientes'!A:O,2,2)</f>
        <v>Aracasuco</v>
      </c>
      <c r="F696" t="str">
        <f>VLOOKUP(D696,'Cadatro Clientes'!A:O,9,2)</f>
        <v>Nordeste</v>
      </c>
      <c r="G696" s="15">
        <v>41908</v>
      </c>
      <c r="H696">
        <f t="shared" si="51"/>
        <v>6</v>
      </c>
      <c r="I696">
        <f t="shared" si="52"/>
        <v>26</v>
      </c>
      <c r="J696">
        <f t="shared" si="53"/>
        <v>9</v>
      </c>
      <c r="K696">
        <f t="shared" si="54"/>
        <v>2014</v>
      </c>
      <c r="M696">
        <v>2</v>
      </c>
      <c r="N696" t="str">
        <f>VLOOKUP(M696,'Cadastro Vendedores'!A:H,2,2)</f>
        <v>Luis</v>
      </c>
      <c r="O696" s="2"/>
      <c r="P696" s="16">
        <v>4100</v>
      </c>
      <c r="Q696" s="2">
        <f>VLOOKUP(B696,'Cadastro Produtos'!A:F,5,2)</f>
        <v>6.5</v>
      </c>
      <c r="R696" s="14">
        <f t="shared" si="50"/>
        <v>26650</v>
      </c>
    </row>
    <row r="697" spans="1:18" x14ac:dyDescent="0.25">
      <c r="A697">
        <v>696</v>
      </c>
      <c r="B697">
        <v>8</v>
      </c>
      <c r="C697" t="str">
        <f>VLOOKUP(B697,'Cadastro Produtos'!A:E,2,2)</f>
        <v>Limonada Beta Zero 1 L</v>
      </c>
      <c r="D697">
        <v>1</v>
      </c>
      <c r="E697" t="str">
        <f>VLOOKUP(D697,'Cadatro Clientes'!A:O,2,2)</f>
        <v>Meu Suco de Limão</v>
      </c>
      <c r="F697" t="str">
        <f>VLOOKUP(D697,'Cadatro Clientes'!A:O,9,2)</f>
        <v>Norte</v>
      </c>
      <c r="G697" s="15">
        <v>41908</v>
      </c>
      <c r="H697">
        <f t="shared" si="51"/>
        <v>6</v>
      </c>
      <c r="I697">
        <f t="shared" si="52"/>
        <v>26</v>
      </c>
      <c r="J697">
        <f t="shared" si="53"/>
        <v>9</v>
      </c>
      <c r="K697">
        <f t="shared" si="54"/>
        <v>2014</v>
      </c>
      <c r="M697">
        <v>6</v>
      </c>
      <c r="N697" t="str">
        <f>VLOOKUP(M697,'Cadastro Vendedores'!A:H,2,2)</f>
        <v>Antônia</v>
      </c>
      <c r="O697" s="2"/>
      <c r="P697" s="16">
        <v>1800</v>
      </c>
      <c r="Q697" s="2">
        <f>VLOOKUP(B697,'Cadastro Produtos'!A:F,5,2)</f>
        <v>12</v>
      </c>
      <c r="R697" s="14">
        <f t="shared" si="50"/>
        <v>21600</v>
      </c>
    </row>
    <row r="698" spans="1:18" x14ac:dyDescent="0.25">
      <c r="A698">
        <v>697</v>
      </c>
      <c r="B698">
        <v>9</v>
      </c>
      <c r="C698" t="str">
        <f>VLOOKUP(B698,'Cadastro Produtos'!A:E,2,2)</f>
        <v>Limonada Alfa com Hortelã e Açúcar 1 L</v>
      </c>
      <c r="D698">
        <v>6</v>
      </c>
      <c r="E698" t="str">
        <f>VLOOKUP(D698,'Cadatro Clientes'!A:O,2,2)</f>
        <v>Lemonade</v>
      </c>
      <c r="F698" t="str">
        <f>VLOOKUP(D698,'Cadatro Clientes'!A:O,9,2)</f>
        <v>Norte</v>
      </c>
      <c r="G698" s="15">
        <v>41909</v>
      </c>
      <c r="H698">
        <f t="shared" si="51"/>
        <v>7</v>
      </c>
      <c r="I698">
        <f t="shared" si="52"/>
        <v>27</v>
      </c>
      <c r="J698">
        <f t="shared" si="53"/>
        <v>9</v>
      </c>
      <c r="K698">
        <f t="shared" si="54"/>
        <v>2014</v>
      </c>
      <c r="M698">
        <v>4</v>
      </c>
      <c r="N698" t="str">
        <f>VLOOKUP(M698,'Cadastro Vendedores'!A:H,2,2)</f>
        <v>José</v>
      </c>
      <c r="O698" s="2"/>
      <c r="P698" s="16">
        <v>2600</v>
      </c>
      <c r="Q698" s="2">
        <f>VLOOKUP(B698,'Cadastro Produtos'!A:F,5,2)</f>
        <v>17.5</v>
      </c>
      <c r="R698" s="14">
        <f t="shared" si="50"/>
        <v>45500</v>
      </c>
    </row>
    <row r="699" spans="1:18" x14ac:dyDescent="0.25">
      <c r="A699">
        <v>698</v>
      </c>
      <c r="B699">
        <v>7</v>
      </c>
      <c r="C699" t="str">
        <f>VLOOKUP(B699,'Cadastro Produtos'!A:E,2,2)</f>
        <v>Limonada Alfa Zero 1 L</v>
      </c>
      <c r="D699">
        <v>11</v>
      </c>
      <c r="E699" t="str">
        <f>VLOOKUP(D699,'Cadatro Clientes'!A:O,2,2)</f>
        <v>Red Lemon</v>
      </c>
      <c r="F699" t="str">
        <f>VLOOKUP(D699,'Cadatro Clientes'!A:O,9,2)</f>
        <v>Sul</v>
      </c>
      <c r="G699" s="15">
        <v>41909</v>
      </c>
      <c r="H699">
        <f t="shared" si="51"/>
        <v>7</v>
      </c>
      <c r="I699">
        <f t="shared" si="52"/>
        <v>27</v>
      </c>
      <c r="J699">
        <f t="shared" si="53"/>
        <v>9</v>
      </c>
      <c r="K699">
        <f t="shared" si="54"/>
        <v>2014</v>
      </c>
      <c r="M699">
        <v>8</v>
      </c>
      <c r="N699" t="str">
        <f>VLOOKUP(M699,'Cadastro Vendedores'!A:H,2,2)</f>
        <v>Sérgio</v>
      </c>
      <c r="O699" s="2"/>
      <c r="P699" s="16">
        <v>2000</v>
      </c>
      <c r="Q699" s="2">
        <f>VLOOKUP(B699,'Cadastro Produtos'!A:F,5,2)</f>
        <v>15</v>
      </c>
      <c r="R699" s="14">
        <f t="shared" si="50"/>
        <v>30000</v>
      </c>
    </row>
    <row r="700" spans="1:18" x14ac:dyDescent="0.25">
      <c r="A700">
        <v>699</v>
      </c>
      <c r="B700">
        <v>10</v>
      </c>
      <c r="C700" t="str">
        <f>VLOOKUP(B700,'Cadastro Produtos'!A:E,2,2)</f>
        <v>Limonada Alfa com Hortelã Zero 1 L</v>
      </c>
      <c r="D700">
        <v>6</v>
      </c>
      <c r="E700" t="str">
        <f>VLOOKUP(D700,'Cadatro Clientes'!A:O,2,2)</f>
        <v>Lemonade</v>
      </c>
      <c r="F700" t="str">
        <f>VLOOKUP(D700,'Cadatro Clientes'!A:O,9,2)</f>
        <v>Norte</v>
      </c>
      <c r="G700" s="15">
        <v>41910</v>
      </c>
      <c r="H700">
        <f t="shared" si="51"/>
        <v>1</v>
      </c>
      <c r="I700">
        <f t="shared" si="52"/>
        <v>28</v>
      </c>
      <c r="J700">
        <f t="shared" si="53"/>
        <v>9</v>
      </c>
      <c r="K700">
        <f t="shared" si="54"/>
        <v>2014</v>
      </c>
      <c r="M700">
        <v>4</v>
      </c>
      <c r="N700" t="str">
        <f>VLOOKUP(M700,'Cadastro Vendedores'!A:H,2,2)</f>
        <v>José</v>
      </c>
      <c r="O700" s="2"/>
      <c r="P700" s="16">
        <v>1800</v>
      </c>
      <c r="Q700" s="2">
        <f>VLOOKUP(B700,'Cadastro Produtos'!A:F,5,2)</f>
        <v>21</v>
      </c>
      <c r="R700" s="14">
        <f t="shared" si="50"/>
        <v>37800</v>
      </c>
    </row>
    <row r="701" spans="1:18" x14ac:dyDescent="0.25">
      <c r="A701">
        <v>700</v>
      </c>
      <c r="B701">
        <v>7</v>
      </c>
      <c r="C701" t="str">
        <f>VLOOKUP(B701,'Cadastro Produtos'!A:E,2,2)</f>
        <v>Limonada Alfa Zero 1 L</v>
      </c>
      <c r="D701">
        <v>11</v>
      </c>
      <c r="E701" t="str">
        <f>VLOOKUP(D701,'Cadatro Clientes'!A:O,2,2)</f>
        <v>Red Lemon</v>
      </c>
      <c r="F701" t="str">
        <f>VLOOKUP(D701,'Cadatro Clientes'!A:O,9,2)</f>
        <v>Sul</v>
      </c>
      <c r="G701" s="15">
        <v>41910</v>
      </c>
      <c r="H701">
        <f t="shared" si="51"/>
        <v>1</v>
      </c>
      <c r="I701">
        <f t="shared" si="52"/>
        <v>28</v>
      </c>
      <c r="J701">
        <f t="shared" si="53"/>
        <v>9</v>
      </c>
      <c r="K701">
        <f t="shared" si="54"/>
        <v>2014</v>
      </c>
      <c r="M701">
        <v>4</v>
      </c>
      <c r="N701" t="str">
        <f>VLOOKUP(M701,'Cadastro Vendedores'!A:H,2,2)</f>
        <v>José</v>
      </c>
      <c r="O701" s="2"/>
      <c r="P701" s="16">
        <v>1100</v>
      </c>
      <c r="Q701" s="2">
        <f>VLOOKUP(B701,'Cadastro Produtos'!A:F,5,2)</f>
        <v>15</v>
      </c>
      <c r="R701" s="14">
        <f t="shared" si="50"/>
        <v>16500</v>
      </c>
    </row>
    <row r="702" spans="1:18" x14ac:dyDescent="0.25">
      <c r="A702">
        <v>701</v>
      </c>
      <c r="B702">
        <v>2</v>
      </c>
      <c r="C702" t="str">
        <f>VLOOKUP(B702,'Cadastro Produtos'!A:E,2,2)</f>
        <v>Limonada Beta com Açúcar 500 ml</v>
      </c>
      <c r="D702">
        <v>5</v>
      </c>
      <c r="E702" t="str">
        <f>VLOOKUP(D702,'Cadatro Clientes'!A:O,2,2)</f>
        <v>Axé com Limão</v>
      </c>
      <c r="F702" t="str">
        <f>VLOOKUP(D702,'Cadatro Clientes'!A:O,9,2)</f>
        <v>Nordeste</v>
      </c>
      <c r="G702" s="15">
        <v>41910</v>
      </c>
      <c r="H702">
        <f t="shared" si="51"/>
        <v>1</v>
      </c>
      <c r="I702">
        <f t="shared" si="52"/>
        <v>28</v>
      </c>
      <c r="J702">
        <f t="shared" si="53"/>
        <v>9</v>
      </c>
      <c r="K702">
        <f t="shared" si="54"/>
        <v>2014</v>
      </c>
      <c r="M702">
        <v>4</v>
      </c>
      <c r="N702" t="str">
        <f>VLOOKUP(M702,'Cadastro Vendedores'!A:H,2,2)</f>
        <v>José</v>
      </c>
      <c r="O702" s="2"/>
      <c r="P702" s="16">
        <v>5000</v>
      </c>
      <c r="Q702" s="2">
        <f>VLOOKUP(B702,'Cadastro Produtos'!A:F,5,2)</f>
        <v>6.5</v>
      </c>
      <c r="R702" s="14">
        <f t="shared" si="50"/>
        <v>32500</v>
      </c>
    </row>
    <row r="703" spans="1:18" x14ac:dyDescent="0.25">
      <c r="A703">
        <v>702</v>
      </c>
      <c r="B703">
        <v>4</v>
      </c>
      <c r="C703" t="str">
        <f>VLOOKUP(B703,'Cadastro Produtos'!A:E,2,2)</f>
        <v>Limonada Beta Zero 500 ml</v>
      </c>
      <c r="D703">
        <v>12</v>
      </c>
      <c r="E703" t="str">
        <f>VLOOKUP(D703,'Cadatro Clientes'!A:O,2,2)</f>
        <v>Limão da Ilha</v>
      </c>
      <c r="F703" t="str">
        <f>VLOOKUP(D703,'Cadatro Clientes'!A:O,9,2)</f>
        <v>Sul</v>
      </c>
      <c r="G703" s="15">
        <v>41910</v>
      </c>
      <c r="H703">
        <f t="shared" si="51"/>
        <v>1</v>
      </c>
      <c r="I703">
        <f t="shared" si="52"/>
        <v>28</v>
      </c>
      <c r="J703">
        <f t="shared" si="53"/>
        <v>9</v>
      </c>
      <c r="K703">
        <f t="shared" si="54"/>
        <v>2014</v>
      </c>
      <c r="M703">
        <v>7</v>
      </c>
      <c r="N703" t="str">
        <f>VLOOKUP(M703,'Cadastro Vendedores'!A:H,2,2)</f>
        <v>Benedito</v>
      </c>
      <c r="O703" s="2"/>
      <c r="P703" s="16">
        <v>5900</v>
      </c>
      <c r="Q703" s="2">
        <f>VLOOKUP(B703,'Cadastro Produtos'!A:F,5,2)</f>
        <v>7</v>
      </c>
      <c r="R703" s="14">
        <f t="shared" si="50"/>
        <v>41300</v>
      </c>
    </row>
    <row r="704" spans="1:18" x14ac:dyDescent="0.25">
      <c r="A704">
        <v>703</v>
      </c>
      <c r="B704">
        <v>2</v>
      </c>
      <c r="C704" t="str">
        <f>VLOOKUP(B704,'Cadastro Produtos'!A:E,2,2)</f>
        <v>Limonada Beta com Açúcar 500 ml</v>
      </c>
      <c r="D704">
        <v>20</v>
      </c>
      <c r="E704" t="str">
        <f>VLOOKUP(D704,'Cadatro Clientes'!A:O,2,2)</f>
        <v>Brasil Saúde</v>
      </c>
      <c r="F704" t="str">
        <f>VLOOKUP(D704,'Cadatro Clientes'!A:O,9,2)</f>
        <v>Nordeste</v>
      </c>
      <c r="G704" s="15">
        <v>41911</v>
      </c>
      <c r="H704">
        <f t="shared" si="51"/>
        <v>2</v>
      </c>
      <c r="I704">
        <f t="shared" si="52"/>
        <v>29</v>
      </c>
      <c r="J704">
        <f t="shared" si="53"/>
        <v>9</v>
      </c>
      <c r="K704">
        <f t="shared" si="54"/>
        <v>2014</v>
      </c>
      <c r="M704">
        <v>3</v>
      </c>
      <c r="N704" t="str">
        <f>VLOOKUP(M704,'Cadastro Vendedores'!A:H,2,2)</f>
        <v>Antônia</v>
      </c>
      <c r="O704" s="2"/>
      <c r="P704" s="16">
        <v>6600</v>
      </c>
      <c r="Q704" s="2">
        <f>VLOOKUP(B704,'Cadastro Produtos'!A:F,5,2)</f>
        <v>6.5</v>
      </c>
      <c r="R704" s="14">
        <f t="shared" si="50"/>
        <v>42900</v>
      </c>
    </row>
    <row r="705" spans="1:18" x14ac:dyDescent="0.25">
      <c r="A705">
        <v>704</v>
      </c>
      <c r="B705">
        <v>8</v>
      </c>
      <c r="C705" t="str">
        <f>VLOOKUP(B705,'Cadastro Produtos'!A:E,2,2)</f>
        <v>Limonada Beta Zero 1 L</v>
      </c>
      <c r="D705">
        <v>14</v>
      </c>
      <c r="E705" t="str">
        <f>VLOOKUP(D705,'Cadatro Clientes'!A:O,2,2)</f>
        <v>Sprite</v>
      </c>
      <c r="F705" t="str">
        <f>VLOOKUP(D705,'Cadatro Clientes'!A:O,9,2)</f>
        <v>Norte</v>
      </c>
      <c r="G705" s="15">
        <v>41911</v>
      </c>
      <c r="H705">
        <f t="shared" si="51"/>
        <v>2</v>
      </c>
      <c r="I705">
        <f t="shared" si="52"/>
        <v>29</v>
      </c>
      <c r="J705">
        <f t="shared" si="53"/>
        <v>9</v>
      </c>
      <c r="K705">
        <f t="shared" si="54"/>
        <v>2014</v>
      </c>
      <c r="M705">
        <v>3</v>
      </c>
      <c r="N705" t="str">
        <f>VLOOKUP(M705,'Cadastro Vendedores'!A:H,2,2)</f>
        <v>Antônia</v>
      </c>
      <c r="O705" s="2"/>
      <c r="P705" s="16">
        <v>2700</v>
      </c>
      <c r="Q705" s="2">
        <f>VLOOKUP(B705,'Cadastro Produtos'!A:F,5,2)</f>
        <v>12</v>
      </c>
      <c r="R705" s="14">
        <f t="shared" si="50"/>
        <v>32400</v>
      </c>
    </row>
    <row r="706" spans="1:18" x14ac:dyDescent="0.25">
      <c r="A706">
        <v>705</v>
      </c>
      <c r="B706">
        <v>5</v>
      </c>
      <c r="C706" t="str">
        <f>VLOOKUP(B706,'Cadastro Produtos'!A:E,2,2)</f>
        <v>Limonada Alfa com Açúcar 1 L</v>
      </c>
      <c r="D706">
        <v>20</v>
      </c>
      <c r="E706" t="str">
        <f>VLOOKUP(D706,'Cadatro Clientes'!A:O,2,2)</f>
        <v>Brasil Saúde</v>
      </c>
      <c r="F706" t="str">
        <f>VLOOKUP(D706,'Cadatro Clientes'!A:O,9,2)</f>
        <v>Nordeste</v>
      </c>
      <c r="G706" s="15">
        <v>41911</v>
      </c>
      <c r="H706">
        <f t="shared" si="51"/>
        <v>2</v>
      </c>
      <c r="I706">
        <f t="shared" si="52"/>
        <v>29</v>
      </c>
      <c r="J706">
        <f t="shared" si="53"/>
        <v>9</v>
      </c>
      <c r="K706">
        <f t="shared" si="54"/>
        <v>2014</v>
      </c>
      <c r="M706">
        <v>9</v>
      </c>
      <c r="N706" t="str">
        <f>VLOOKUP(M706,'Cadastro Vendedores'!A:H,2,2)</f>
        <v>Adriana</v>
      </c>
      <c r="O706" s="2"/>
      <c r="P706" s="16">
        <v>2000</v>
      </c>
      <c r="Q706" s="2">
        <f>VLOOKUP(B706,'Cadastro Produtos'!A:F,5,2)</f>
        <v>15</v>
      </c>
      <c r="R706" s="14">
        <f t="shared" ref="R706:R769" si="55">Q706*P706</f>
        <v>30000</v>
      </c>
    </row>
    <row r="707" spans="1:18" x14ac:dyDescent="0.25">
      <c r="A707">
        <v>706</v>
      </c>
      <c r="B707">
        <v>6</v>
      </c>
      <c r="C707" t="str">
        <f>VLOOKUP(B707,'Cadastro Produtos'!A:E,2,2)</f>
        <v>Limonada Beta com Açúcar 1 L</v>
      </c>
      <c r="D707">
        <v>11</v>
      </c>
      <c r="E707" t="str">
        <f>VLOOKUP(D707,'Cadatro Clientes'!A:O,2,2)</f>
        <v>Red Lemon</v>
      </c>
      <c r="F707" t="str">
        <f>VLOOKUP(D707,'Cadatro Clientes'!A:O,9,2)</f>
        <v>Sul</v>
      </c>
      <c r="G707" s="15">
        <v>41911</v>
      </c>
      <c r="H707">
        <f t="shared" ref="H707:H770" si="56">WEEKDAY(G707)</f>
        <v>2</v>
      </c>
      <c r="I707">
        <f t="shared" ref="I707:I770" si="57">DAY(G707)</f>
        <v>29</v>
      </c>
      <c r="J707">
        <f t="shared" ref="J707:J770" si="58">MONTH(G707)</f>
        <v>9</v>
      </c>
      <c r="K707">
        <f t="shared" ref="K707:K770" si="59">YEAR(G707)</f>
        <v>2014</v>
      </c>
      <c r="M707">
        <v>3</v>
      </c>
      <c r="N707" t="str">
        <f>VLOOKUP(M707,'Cadastro Vendedores'!A:H,2,2)</f>
        <v>Antônia</v>
      </c>
      <c r="O707" s="2"/>
      <c r="P707" s="16">
        <v>2000</v>
      </c>
      <c r="Q707" s="2">
        <f>VLOOKUP(B707,'Cadastro Produtos'!A:F,5,2)</f>
        <v>12</v>
      </c>
      <c r="R707" s="14">
        <f t="shared" si="55"/>
        <v>24000</v>
      </c>
    </row>
    <row r="708" spans="1:18" x14ac:dyDescent="0.25">
      <c r="A708">
        <v>707</v>
      </c>
      <c r="B708">
        <v>4</v>
      </c>
      <c r="C708" t="str">
        <f>VLOOKUP(B708,'Cadastro Produtos'!A:E,2,2)</f>
        <v>Limonada Beta Zero 500 ml</v>
      </c>
      <c r="D708">
        <v>5</v>
      </c>
      <c r="E708" t="str">
        <f>VLOOKUP(D708,'Cadatro Clientes'!A:O,2,2)</f>
        <v>Axé com Limão</v>
      </c>
      <c r="F708" t="str">
        <f>VLOOKUP(D708,'Cadatro Clientes'!A:O,9,2)</f>
        <v>Nordeste</v>
      </c>
      <c r="G708" s="15">
        <v>41912</v>
      </c>
      <c r="H708">
        <f t="shared" si="56"/>
        <v>3</v>
      </c>
      <c r="I708">
        <f t="shared" si="57"/>
        <v>30</v>
      </c>
      <c r="J708">
        <f t="shared" si="58"/>
        <v>9</v>
      </c>
      <c r="K708">
        <f t="shared" si="59"/>
        <v>2014</v>
      </c>
      <c r="M708">
        <v>12</v>
      </c>
      <c r="N708" t="str">
        <f>VLOOKUP(M708,'Cadastro Vendedores'!A:H,2,2)</f>
        <v>Paulo</v>
      </c>
      <c r="O708" s="2"/>
      <c r="P708" s="16">
        <v>3900</v>
      </c>
      <c r="Q708" s="2">
        <f>VLOOKUP(B708,'Cadastro Produtos'!A:F,5,2)</f>
        <v>7</v>
      </c>
      <c r="R708" s="14">
        <f t="shared" si="55"/>
        <v>27300</v>
      </c>
    </row>
    <row r="709" spans="1:18" x14ac:dyDescent="0.25">
      <c r="A709">
        <v>708</v>
      </c>
      <c r="B709">
        <v>3</v>
      </c>
      <c r="C709" t="str">
        <f>VLOOKUP(B709,'Cadastro Produtos'!A:E,2,2)</f>
        <v>Limonada Alfa Zero 500 ml</v>
      </c>
      <c r="D709">
        <v>9</v>
      </c>
      <c r="E709" t="str">
        <f>VLOOKUP(D709,'Cadatro Clientes'!A:O,2,2)</f>
        <v>Fresh Lemon</v>
      </c>
      <c r="F709" t="str">
        <f>VLOOKUP(D709,'Cadatro Clientes'!A:O,9,2)</f>
        <v>Sudeste</v>
      </c>
      <c r="G709" s="15">
        <v>41912</v>
      </c>
      <c r="H709">
        <f t="shared" si="56"/>
        <v>3</v>
      </c>
      <c r="I709">
        <f t="shared" si="57"/>
        <v>30</v>
      </c>
      <c r="J709">
        <f t="shared" si="58"/>
        <v>9</v>
      </c>
      <c r="K709">
        <f t="shared" si="59"/>
        <v>2014</v>
      </c>
      <c r="M709">
        <v>6</v>
      </c>
      <c r="N709" t="str">
        <f>VLOOKUP(M709,'Cadastro Vendedores'!A:H,2,2)</f>
        <v>Antônia</v>
      </c>
      <c r="O709" s="2"/>
      <c r="P709" s="16">
        <v>3600</v>
      </c>
      <c r="Q709" s="2">
        <f>VLOOKUP(B709,'Cadastro Produtos'!A:F,5,2)</f>
        <v>9</v>
      </c>
      <c r="R709" s="14">
        <f t="shared" si="55"/>
        <v>32400</v>
      </c>
    </row>
    <row r="710" spans="1:18" x14ac:dyDescent="0.25">
      <c r="A710">
        <v>709</v>
      </c>
      <c r="B710">
        <v>7</v>
      </c>
      <c r="C710" t="str">
        <f>VLOOKUP(B710,'Cadastro Produtos'!A:E,2,2)</f>
        <v>Limonada Alfa Zero 1 L</v>
      </c>
      <c r="D710">
        <v>18</v>
      </c>
      <c r="E710" t="str">
        <f>VLOOKUP(D710,'Cadatro Clientes'!A:O,2,2)</f>
        <v>Rio Branco Limonada Ltda</v>
      </c>
      <c r="F710" t="str">
        <f>VLOOKUP(D710,'Cadatro Clientes'!A:O,9,2)</f>
        <v>Norte</v>
      </c>
      <c r="G710" s="15">
        <v>41912</v>
      </c>
      <c r="H710">
        <f t="shared" si="56"/>
        <v>3</v>
      </c>
      <c r="I710">
        <f t="shared" si="57"/>
        <v>30</v>
      </c>
      <c r="J710">
        <f t="shared" si="58"/>
        <v>9</v>
      </c>
      <c r="K710">
        <f t="shared" si="59"/>
        <v>2014</v>
      </c>
      <c r="M710">
        <v>3</v>
      </c>
      <c r="N710" t="str">
        <f>VLOOKUP(M710,'Cadastro Vendedores'!A:H,2,2)</f>
        <v>Antônia</v>
      </c>
      <c r="O710" s="2"/>
      <c r="P710" s="16">
        <v>2100</v>
      </c>
      <c r="Q710" s="2">
        <f>VLOOKUP(B710,'Cadastro Produtos'!A:F,5,2)</f>
        <v>15</v>
      </c>
      <c r="R710" s="14">
        <f t="shared" si="55"/>
        <v>31500</v>
      </c>
    </row>
    <row r="711" spans="1:18" x14ac:dyDescent="0.25">
      <c r="A711">
        <v>710</v>
      </c>
      <c r="B711">
        <v>4</v>
      </c>
      <c r="C711" t="str">
        <f>VLOOKUP(B711,'Cadastro Produtos'!A:E,2,2)</f>
        <v>Limonada Beta Zero 500 ml</v>
      </c>
      <c r="D711">
        <v>8</v>
      </c>
      <c r="E711" t="str">
        <f>VLOOKUP(D711,'Cadatro Clientes'!A:O,2,2)</f>
        <v>Refresko</v>
      </c>
      <c r="F711" t="str">
        <f>VLOOKUP(D711,'Cadatro Clientes'!A:O,9,2)</f>
        <v>Sul</v>
      </c>
      <c r="G711" s="15">
        <v>41913</v>
      </c>
      <c r="H711">
        <f t="shared" si="56"/>
        <v>4</v>
      </c>
      <c r="I711">
        <f t="shared" si="57"/>
        <v>1</v>
      </c>
      <c r="J711">
        <f t="shared" si="58"/>
        <v>10</v>
      </c>
      <c r="K711">
        <f t="shared" si="59"/>
        <v>2014</v>
      </c>
      <c r="M711">
        <v>3</v>
      </c>
      <c r="N711" t="str">
        <f>VLOOKUP(M711,'Cadastro Vendedores'!A:H,2,2)</f>
        <v>Antônia</v>
      </c>
      <c r="O711" s="2"/>
      <c r="P711" s="16">
        <v>8900</v>
      </c>
      <c r="Q711" s="2">
        <f>VLOOKUP(B711,'Cadastro Produtos'!A:F,5,2)</f>
        <v>7</v>
      </c>
      <c r="R711" s="14">
        <f t="shared" si="55"/>
        <v>62300</v>
      </c>
    </row>
    <row r="712" spans="1:18" x14ac:dyDescent="0.25">
      <c r="A712">
        <v>711</v>
      </c>
      <c r="B712">
        <v>9</v>
      </c>
      <c r="C712" t="str">
        <f>VLOOKUP(B712,'Cadastro Produtos'!A:E,2,2)</f>
        <v>Limonada Alfa com Hortelã e Açúcar 1 L</v>
      </c>
      <c r="D712">
        <v>20</v>
      </c>
      <c r="E712" t="str">
        <f>VLOOKUP(D712,'Cadatro Clientes'!A:O,2,2)</f>
        <v>Brasil Saúde</v>
      </c>
      <c r="F712" t="str">
        <f>VLOOKUP(D712,'Cadatro Clientes'!A:O,9,2)</f>
        <v>Nordeste</v>
      </c>
      <c r="G712" s="15">
        <v>41914</v>
      </c>
      <c r="H712">
        <f t="shared" si="56"/>
        <v>5</v>
      </c>
      <c r="I712">
        <f t="shared" si="57"/>
        <v>2</v>
      </c>
      <c r="J712">
        <f t="shared" si="58"/>
        <v>10</v>
      </c>
      <c r="K712">
        <f t="shared" si="59"/>
        <v>2014</v>
      </c>
      <c r="M712">
        <v>7</v>
      </c>
      <c r="N712" t="str">
        <f>VLOOKUP(M712,'Cadastro Vendedores'!A:H,2,2)</f>
        <v>Benedito</v>
      </c>
      <c r="O712" s="2"/>
      <c r="P712" s="16">
        <v>1000</v>
      </c>
      <c r="Q712" s="2">
        <f>VLOOKUP(B712,'Cadastro Produtos'!A:F,5,2)</f>
        <v>17.5</v>
      </c>
      <c r="R712" s="14">
        <f t="shared" si="55"/>
        <v>17500</v>
      </c>
    </row>
    <row r="713" spans="1:18" x14ac:dyDescent="0.25">
      <c r="A713">
        <v>712</v>
      </c>
      <c r="B713">
        <v>2</v>
      </c>
      <c r="C713" t="str">
        <f>VLOOKUP(B713,'Cadastro Produtos'!A:E,2,2)</f>
        <v>Limonada Beta com Açúcar 500 ml</v>
      </c>
      <c r="D713">
        <v>19</v>
      </c>
      <c r="E713" t="str">
        <f>VLOOKUP(D713,'Cadatro Clientes'!A:O,2,2)</f>
        <v>Lima Limão</v>
      </c>
      <c r="F713" t="str">
        <f>VLOOKUP(D713,'Cadatro Clientes'!A:O,9,2)</f>
        <v>Sudeste</v>
      </c>
      <c r="G713" s="15">
        <v>41914</v>
      </c>
      <c r="H713">
        <f t="shared" si="56"/>
        <v>5</v>
      </c>
      <c r="I713">
        <f t="shared" si="57"/>
        <v>2</v>
      </c>
      <c r="J713">
        <f t="shared" si="58"/>
        <v>10</v>
      </c>
      <c r="K713">
        <f t="shared" si="59"/>
        <v>2014</v>
      </c>
      <c r="M713">
        <v>13</v>
      </c>
      <c r="N713" t="str">
        <f>VLOOKUP(M713,'Cadastro Vendedores'!A:H,2,2)</f>
        <v>Andre</v>
      </c>
      <c r="O713" s="2"/>
      <c r="P713" s="16">
        <v>3800</v>
      </c>
      <c r="Q713" s="2">
        <f>VLOOKUP(B713,'Cadastro Produtos'!A:F,5,2)</f>
        <v>6.5</v>
      </c>
      <c r="R713" s="14">
        <f t="shared" si="55"/>
        <v>24700</v>
      </c>
    </row>
    <row r="714" spans="1:18" x14ac:dyDescent="0.25">
      <c r="A714">
        <v>713</v>
      </c>
      <c r="B714">
        <v>6</v>
      </c>
      <c r="C714" t="str">
        <f>VLOOKUP(B714,'Cadastro Produtos'!A:E,2,2)</f>
        <v>Limonada Beta com Açúcar 1 L</v>
      </c>
      <c r="D714">
        <v>8</v>
      </c>
      <c r="E714" t="str">
        <f>VLOOKUP(D714,'Cadatro Clientes'!A:O,2,2)</f>
        <v>Refresko</v>
      </c>
      <c r="F714" t="str">
        <f>VLOOKUP(D714,'Cadatro Clientes'!A:O,9,2)</f>
        <v>Sul</v>
      </c>
      <c r="G714" s="15">
        <v>41914</v>
      </c>
      <c r="H714">
        <f t="shared" si="56"/>
        <v>5</v>
      </c>
      <c r="I714">
        <f t="shared" si="57"/>
        <v>2</v>
      </c>
      <c r="J714">
        <f t="shared" si="58"/>
        <v>10</v>
      </c>
      <c r="K714">
        <f t="shared" si="59"/>
        <v>2014</v>
      </c>
      <c r="M714">
        <v>4</v>
      </c>
      <c r="N714" t="str">
        <f>VLOOKUP(M714,'Cadastro Vendedores'!A:H,2,2)</f>
        <v>José</v>
      </c>
      <c r="O714" s="2"/>
      <c r="P714" s="16">
        <v>1500</v>
      </c>
      <c r="Q714" s="2">
        <f>VLOOKUP(B714,'Cadastro Produtos'!A:F,5,2)</f>
        <v>12</v>
      </c>
      <c r="R714" s="14">
        <f t="shared" si="55"/>
        <v>18000</v>
      </c>
    </row>
    <row r="715" spans="1:18" x14ac:dyDescent="0.25">
      <c r="A715">
        <v>714</v>
      </c>
      <c r="B715">
        <v>2</v>
      </c>
      <c r="C715" t="str">
        <f>VLOOKUP(B715,'Cadastro Produtos'!A:E,2,2)</f>
        <v>Limonada Beta com Açúcar 500 ml</v>
      </c>
      <c r="D715">
        <v>11</v>
      </c>
      <c r="E715" t="str">
        <f>VLOOKUP(D715,'Cadatro Clientes'!A:O,2,2)</f>
        <v>Red Lemon</v>
      </c>
      <c r="F715" t="str">
        <f>VLOOKUP(D715,'Cadatro Clientes'!A:O,9,2)</f>
        <v>Sul</v>
      </c>
      <c r="G715" s="15">
        <v>41915</v>
      </c>
      <c r="H715">
        <f t="shared" si="56"/>
        <v>6</v>
      </c>
      <c r="I715">
        <f t="shared" si="57"/>
        <v>3</v>
      </c>
      <c r="J715">
        <f t="shared" si="58"/>
        <v>10</v>
      </c>
      <c r="K715">
        <f t="shared" si="59"/>
        <v>2014</v>
      </c>
      <c r="M715">
        <v>2</v>
      </c>
      <c r="N715" t="str">
        <f>VLOOKUP(M715,'Cadastro Vendedores'!A:H,2,2)</f>
        <v>Luis</v>
      </c>
      <c r="O715" s="2"/>
      <c r="P715" s="16">
        <v>3300</v>
      </c>
      <c r="Q715" s="2">
        <f>VLOOKUP(B715,'Cadastro Produtos'!A:F,5,2)</f>
        <v>6.5</v>
      </c>
      <c r="R715" s="14">
        <f t="shared" si="55"/>
        <v>21450</v>
      </c>
    </row>
    <row r="716" spans="1:18" x14ac:dyDescent="0.25">
      <c r="A716">
        <v>715</v>
      </c>
      <c r="B716">
        <v>2</v>
      </c>
      <c r="C716" t="str">
        <f>VLOOKUP(B716,'Cadastro Produtos'!A:E,2,2)</f>
        <v>Limonada Beta com Açúcar 500 ml</v>
      </c>
      <c r="D716">
        <v>16</v>
      </c>
      <c r="E716" t="str">
        <f>VLOOKUP(D716,'Cadatro Clientes'!A:O,2,2)</f>
        <v>Norte Suco</v>
      </c>
      <c r="F716" t="str">
        <f>VLOOKUP(D716,'Cadatro Clientes'!A:O,9,2)</f>
        <v>Nordeste</v>
      </c>
      <c r="G716" s="15">
        <v>41915</v>
      </c>
      <c r="H716">
        <f t="shared" si="56"/>
        <v>6</v>
      </c>
      <c r="I716">
        <f t="shared" si="57"/>
        <v>3</v>
      </c>
      <c r="J716">
        <f t="shared" si="58"/>
        <v>10</v>
      </c>
      <c r="K716">
        <f t="shared" si="59"/>
        <v>2014</v>
      </c>
      <c r="M716">
        <v>9</v>
      </c>
      <c r="N716" t="str">
        <f>VLOOKUP(M716,'Cadastro Vendedores'!A:H,2,2)</f>
        <v>Adriana</v>
      </c>
      <c r="O716" s="2"/>
      <c r="P716" s="16">
        <v>9500</v>
      </c>
      <c r="Q716" s="2">
        <f>VLOOKUP(B716,'Cadastro Produtos'!A:F,5,2)</f>
        <v>6.5</v>
      </c>
      <c r="R716" s="14">
        <f t="shared" si="55"/>
        <v>61750</v>
      </c>
    </row>
    <row r="717" spans="1:18" x14ac:dyDescent="0.25">
      <c r="A717">
        <v>716</v>
      </c>
      <c r="B717">
        <v>9</v>
      </c>
      <c r="C717" t="str">
        <f>VLOOKUP(B717,'Cadastro Produtos'!A:E,2,2)</f>
        <v>Limonada Alfa com Hortelã e Açúcar 1 L</v>
      </c>
      <c r="D717">
        <v>14</v>
      </c>
      <c r="E717" t="str">
        <f>VLOOKUP(D717,'Cadatro Clientes'!A:O,2,2)</f>
        <v>Sprite</v>
      </c>
      <c r="F717" t="str">
        <f>VLOOKUP(D717,'Cadatro Clientes'!A:O,9,2)</f>
        <v>Norte</v>
      </c>
      <c r="G717" s="15">
        <v>41915</v>
      </c>
      <c r="H717">
        <f t="shared" si="56"/>
        <v>6</v>
      </c>
      <c r="I717">
        <f t="shared" si="57"/>
        <v>3</v>
      </c>
      <c r="J717">
        <f t="shared" si="58"/>
        <v>10</v>
      </c>
      <c r="K717">
        <f t="shared" si="59"/>
        <v>2014</v>
      </c>
      <c r="M717">
        <v>12</v>
      </c>
      <c r="N717" t="str">
        <f>VLOOKUP(M717,'Cadastro Vendedores'!A:H,2,2)</f>
        <v>Paulo</v>
      </c>
      <c r="O717" s="2"/>
      <c r="P717" s="16">
        <v>1500</v>
      </c>
      <c r="Q717" s="2">
        <f>VLOOKUP(B717,'Cadastro Produtos'!A:F,5,2)</f>
        <v>17.5</v>
      </c>
      <c r="R717" s="14">
        <f t="shared" si="55"/>
        <v>26250</v>
      </c>
    </row>
    <row r="718" spans="1:18" x14ac:dyDescent="0.25">
      <c r="A718">
        <v>717</v>
      </c>
      <c r="B718">
        <v>10</v>
      </c>
      <c r="C718" t="str">
        <f>VLOOKUP(B718,'Cadastro Produtos'!A:E,2,2)</f>
        <v>Limonada Alfa com Hortelã Zero 1 L</v>
      </c>
      <c r="D718">
        <v>8</v>
      </c>
      <c r="E718" t="str">
        <f>VLOOKUP(D718,'Cadatro Clientes'!A:O,2,2)</f>
        <v>Refresko</v>
      </c>
      <c r="F718" t="str">
        <f>VLOOKUP(D718,'Cadatro Clientes'!A:O,9,2)</f>
        <v>Sul</v>
      </c>
      <c r="G718" s="15">
        <v>41916</v>
      </c>
      <c r="H718">
        <f t="shared" si="56"/>
        <v>7</v>
      </c>
      <c r="I718">
        <f t="shared" si="57"/>
        <v>4</v>
      </c>
      <c r="J718">
        <f t="shared" si="58"/>
        <v>10</v>
      </c>
      <c r="K718">
        <f t="shared" si="59"/>
        <v>2014</v>
      </c>
      <c r="M718">
        <v>9</v>
      </c>
      <c r="N718" t="str">
        <f>VLOOKUP(M718,'Cadastro Vendedores'!A:H,2,2)</f>
        <v>Adriana</v>
      </c>
      <c r="O718" s="2"/>
      <c r="P718" s="16">
        <v>1600</v>
      </c>
      <c r="Q718" s="2">
        <f>VLOOKUP(B718,'Cadastro Produtos'!A:F,5,2)</f>
        <v>21</v>
      </c>
      <c r="R718" s="14">
        <f t="shared" si="55"/>
        <v>33600</v>
      </c>
    </row>
    <row r="719" spans="1:18" x14ac:dyDescent="0.25">
      <c r="A719">
        <v>718</v>
      </c>
      <c r="B719">
        <v>5</v>
      </c>
      <c r="C719" t="str">
        <f>VLOOKUP(B719,'Cadastro Produtos'!A:E,2,2)</f>
        <v>Limonada Alfa com Açúcar 1 L</v>
      </c>
      <c r="D719">
        <v>13</v>
      </c>
      <c r="E719" t="str">
        <f>VLOOKUP(D719,'Cadatro Clientes'!A:O,2,2)</f>
        <v>Monster Lemon</v>
      </c>
      <c r="F719" t="str">
        <f>VLOOKUP(D719,'Cadatro Clientes'!A:O,9,2)</f>
        <v>Nordeste</v>
      </c>
      <c r="G719" s="15">
        <v>41916</v>
      </c>
      <c r="H719">
        <f t="shared" si="56"/>
        <v>7</v>
      </c>
      <c r="I719">
        <f t="shared" si="57"/>
        <v>4</v>
      </c>
      <c r="J719">
        <f t="shared" si="58"/>
        <v>10</v>
      </c>
      <c r="K719">
        <f t="shared" si="59"/>
        <v>2014</v>
      </c>
      <c r="M719">
        <v>12</v>
      </c>
      <c r="N719" t="str">
        <f>VLOOKUP(M719,'Cadastro Vendedores'!A:H,2,2)</f>
        <v>Paulo</v>
      </c>
      <c r="O719" s="2"/>
      <c r="P719" s="16">
        <v>2400</v>
      </c>
      <c r="Q719" s="2">
        <f>VLOOKUP(B719,'Cadastro Produtos'!A:F,5,2)</f>
        <v>15</v>
      </c>
      <c r="R719" s="14">
        <f t="shared" si="55"/>
        <v>36000</v>
      </c>
    </row>
    <row r="720" spans="1:18" x14ac:dyDescent="0.25">
      <c r="A720">
        <v>719</v>
      </c>
      <c r="B720">
        <v>7</v>
      </c>
      <c r="C720" t="str">
        <f>VLOOKUP(B720,'Cadastro Produtos'!A:E,2,2)</f>
        <v>Limonada Alfa Zero 1 L</v>
      </c>
      <c r="D720">
        <v>20</v>
      </c>
      <c r="E720" t="str">
        <f>VLOOKUP(D720,'Cadatro Clientes'!A:O,2,2)</f>
        <v>Brasil Saúde</v>
      </c>
      <c r="F720" t="str">
        <f>VLOOKUP(D720,'Cadatro Clientes'!A:O,9,2)</f>
        <v>Nordeste</v>
      </c>
      <c r="G720" s="15">
        <v>41916</v>
      </c>
      <c r="H720">
        <f t="shared" si="56"/>
        <v>7</v>
      </c>
      <c r="I720">
        <f t="shared" si="57"/>
        <v>4</v>
      </c>
      <c r="J720">
        <f t="shared" si="58"/>
        <v>10</v>
      </c>
      <c r="K720">
        <f t="shared" si="59"/>
        <v>2014</v>
      </c>
      <c r="M720">
        <v>2</v>
      </c>
      <c r="N720" t="str">
        <f>VLOOKUP(M720,'Cadastro Vendedores'!A:H,2,2)</f>
        <v>Luis</v>
      </c>
      <c r="O720" s="2"/>
      <c r="P720" s="16">
        <v>1500</v>
      </c>
      <c r="Q720" s="2">
        <f>VLOOKUP(B720,'Cadastro Produtos'!A:F,5,2)</f>
        <v>15</v>
      </c>
      <c r="R720" s="14">
        <f t="shared" si="55"/>
        <v>22500</v>
      </c>
    </row>
    <row r="721" spans="1:18" x14ac:dyDescent="0.25">
      <c r="A721">
        <v>720</v>
      </c>
      <c r="B721">
        <v>5</v>
      </c>
      <c r="C721" t="str">
        <f>VLOOKUP(B721,'Cadastro Produtos'!A:E,2,2)</f>
        <v>Limonada Alfa com Açúcar 1 L</v>
      </c>
      <c r="D721">
        <v>19</v>
      </c>
      <c r="E721" t="str">
        <f>VLOOKUP(D721,'Cadatro Clientes'!A:O,2,2)</f>
        <v>Lima Limão</v>
      </c>
      <c r="F721" t="str">
        <f>VLOOKUP(D721,'Cadatro Clientes'!A:O,9,2)</f>
        <v>Sudeste</v>
      </c>
      <c r="G721" s="15">
        <v>41916</v>
      </c>
      <c r="H721">
        <f t="shared" si="56"/>
        <v>7</v>
      </c>
      <c r="I721">
        <f t="shared" si="57"/>
        <v>4</v>
      </c>
      <c r="J721">
        <f t="shared" si="58"/>
        <v>10</v>
      </c>
      <c r="K721">
        <f t="shared" si="59"/>
        <v>2014</v>
      </c>
      <c r="M721">
        <v>7</v>
      </c>
      <c r="N721" t="str">
        <f>VLOOKUP(M721,'Cadastro Vendedores'!A:H,2,2)</f>
        <v>Benedito</v>
      </c>
      <c r="O721" s="2"/>
      <c r="P721" s="16">
        <v>4400</v>
      </c>
      <c r="Q721" s="2">
        <f>VLOOKUP(B721,'Cadastro Produtos'!A:F,5,2)</f>
        <v>15</v>
      </c>
      <c r="R721" s="14">
        <f t="shared" si="55"/>
        <v>66000</v>
      </c>
    </row>
    <row r="722" spans="1:18" x14ac:dyDescent="0.25">
      <c r="A722">
        <v>721</v>
      </c>
      <c r="B722">
        <v>7</v>
      </c>
      <c r="C722" t="str">
        <f>VLOOKUP(B722,'Cadastro Produtos'!A:E,2,2)</f>
        <v>Limonada Alfa Zero 1 L</v>
      </c>
      <c r="D722">
        <v>2</v>
      </c>
      <c r="E722" t="str">
        <f>VLOOKUP(D722,'Cadatro Clientes'!A:O,2,2)</f>
        <v>Limão S/A</v>
      </c>
      <c r="F722" t="str">
        <f>VLOOKUP(D722,'Cadatro Clientes'!A:O,9,2)</f>
        <v>Centro-Oeste</v>
      </c>
      <c r="G722" s="15">
        <v>41916</v>
      </c>
      <c r="H722">
        <f t="shared" si="56"/>
        <v>7</v>
      </c>
      <c r="I722">
        <f t="shared" si="57"/>
        <v>4</v>
      </c>
      <c r="J722">
        <f t="shared" si="58"/>
        <v>10</v>
      </c>
      <c r="K722">
        <f t="shared" si="59"/>
        <v>2014</v>
      </c>
      <c r="M722">
        <v>6</v>
      </c>
      <c r="N722" t="str">
        <f>VLOOKUP(M722,'Cadastro Vendedores'!A:H,2,2)</f>
        <v>Antônia</v>
      </c>
      <c r="O722" s="2"/>
      <c r="P722" s="16">
        <v>1800</v>
      </c>
      <c r="Q722" s="2">
        <f>VLOOKUP(B722,'Cadastro Produtos'!A:F,5,2)</f>
        <v>15</v>
      </c>
      <c r="R722" s="14">
        <f t="shared" si="55"/>
        <v>27000</v>
      </c>
    </row>
    <row r="723" spans="1:18" x14ac:dyDescent="0.25">
      <c r="A723">
        <v>722</v>
      </c>
      <c r="B723">
        <v>1</v>
      </c>
      <c r="C723" t="str">
        <f>VLOOKUP(B723,'Cadastro Produtos'!A:E,2,2)</f>
        <v>Limonada Alfa com Açúcar 500 ml</v>
      </c>
      <c r="D723">
        <v>7</v>
      </c>
      <c r="E723" t="str">
        <f>VLOOKUP(D723,'Cadatro Clientes'!A:O,2,2)</f>
        <v>Limo</v>
      </c>
      <c r="F723" t="str">
        <f>VLOOKUP(D723,'Cadatro Clientes'!A:O,9,2)</f>
        <v>Centro-Oeste</v>
      </c>
      <c r="G723" s="15">
        <v>41918</v>
      </c>
      <c r="H723">
        <f t="shared" si="56"/>
        <v>2</v>
      </c>
      <c r="I723">
        <f t="shared" si="57"/>
        <v>6</v>
      </c>
      <c r="J723">
        <f t="shared" si="58"/>
        <v>10</v>
      </c>
      <c r="K723">
        <f t="shared" si="59"/>
        <v>2014</v>
      </c>
      <c r="M723">
        <v>12</v>
      </c>
      <c r="N723" t="str">
        <f>VLOOKUP(M723,'Cadastro Vendedores'!A:H,2,2)</f>
        <v>Paulo</v>
      </c>
      <c r="O723" s="2"/>
      <c r="P723" s="16">
        <v>3800</v>
      </c>
      <c r="Q723" s="2">
        <f>VLOOKUP(B723,'Cadastro Produtos'!A:F,5,2)</f>
        <v>8.5</v>
      </c>
      <c r="R723" s="14">
        <f t="shared" si="55"/>
        <v>32300</v>
      </c>
    </row>
    <row r="724" spans="1:18" x14ac:dyDescent="0.25">
      <c r="A724">
        <v>723</v>
      </c>
      <c r="B724">
        <v>10</v>
      </c>
      <c r="C724" t="str">
        <f>VLOOKUP(B724,'Cadastro Produtos'!A:E,2,2)</f>
        <v>Limonada Alfa com Hortelã Zero 1 L</v>
      </c>
      <c r="D724">
        <v>8</v>
      </c>
      <c r="E724" t="str">
        <f>VLOOKUP(D724,'Cadatro Clientes'!A:O,2,2)</f>
        <v>Refresko</v>
      </c>
      <c r="F724" t="str">
        <f>VLOOKUP(D724,'Cadatro Clientes'!A:O,9,2)</f>
        <v>Sul</v>
      </c>
      <c r="G724" s="15">
        <v>41918</v>
      </c>
      <c r="H724">
        <f t="shared" si="56"/>
        <v>2</v>
      </c>
      <c r="I724">
        <f t="shared" si="57"/>
        <v>6</v>
      </c>
      <c r="J724">
        <f t="shared" si="58"/>
        <v>10</v>
      </c>
      <c r="K724">
        <f t="shared" si="59"/>
        <v>2014</v>
      </c>
      <c r="M724">
        <v>8</v>
      </c>
      <c r="N724" t="str">
        <f>VLOOKUP(M724,'Cadastro Vendedores'!A:H,2,2)</f>
        <v>Sérgio</v>
      </c>
      <c r="O724" s="2"/>
      <c r="P724" s="16">
        <v>2800</v>
      </c>
      <c r="Q724" s="2">
        <f>VLOOKUP(B724,'Cadastro Produtos'!A:F,5,2)</f>
        <v>21</v>
      </c>
      <c r="R724" s="14">
        <f t="shared" si="55"/>
        <v>58800</v>
      </c>
    </row>
    <row r="725" spans="1:18" x14ac:dyDescent="0.25">
      <c r="A725">
        <v>724</v>
      </c>
      <c r="B725">
        <v>6</v>
      </c>
      <c r="C725" t="str">
        <f>VLOOKUP(B725,'Cadastro Produtos'!A:E,2,2)</f>
        <v>Limonada Beta com Açúcar 1 L</v>
      </c>
      <c r="D725">
        <v>11</v>
      </c>
      <c r="E725" t="str">
        <f>VLOOKUP(D725,'Cadatro Clientes'!A:O,2,2)</f>
        <v>Red Lemon</v>
      </c>
      <c r="F725" t="str">
        <f>VLOOKUP(D725,'Cadatro Clientes'!A:O,9,2)</f>
        <v>Sul</v>
      </c>
      <c r="G725" s="15">
        <v>41919</v>
      </c>
      <c r="H725">
        <f t="shared" si="56"/>
        <v>3</v>
      </c>
      <c r="I725">
        <f t="shared" si="57"/>
        <v>7</v>
      </c>
      <c r="J725">
        <f t="shared" si="58"/>
        <v>10</v>
      </c>
      <c r="K725">
        <f t="shared" si="59"/>
        <v>2014</v>
      </c>
      <c r="M725">
        <v>4</v>
      </c>
      <c r="N725" t="str">
        <f>VLOOKUP(M725,'Cadastro Vendedores'!A:H,2,2)</f>
        <v>José</v>
      </c>
      <c r="O725" s="2"/>
      <c r="P725" s="16">
        <v>1300</v>
      </c>
      <c r="Q725" s="2">
        <f>VLOOKUP(B725,'Cadastro Produtos'!A:F,5,2)</f>
        <v>12</v>
      </c>
      <c r="R725" s="14">
        <f t="shared" si="55"/>
        <v>15600</v>
      </c>
    </row>
    <row r="726" spans="1:18" x14ac:dyDescent="0.25">
      <c r="A726">
        <v>725</v>
      </c>
      <c r="B726">
        <v>10</v>
      </c>
      <c r="C726" t="str">
        <f>VLOOKUP(B726,'Cadastro Produtos'!A:E,2,2)</f>
        <v>Limonada Alfa com Hortelã Zero 1 L</v>
      </c>
      <c r="D726">
        <v>11</v>
      </c>
      <c r="E726" t="str">
        <f>VLOOKUP(D726,'Cadatro Clientes'!A:O,2,2)</f>
        <v>Red Lemon</v>
      </c>
      <c r="F726" t="str">
        <f>VLOOKUP(D726,'Cadatro Clientes'!A:O,9,2)</f>
        <v>Sul</v>
      </c>
      <c r="G726" s="15">
        <v>41919</v>
      </c>
      <c r="H726">
        <f t="shared" si="56"/>
        <v>3</v>
      </c>
      <c r="I726">
        <f t="shared" si="57"/>
        <v>7</v>
      </c>
      <c r="J726">
        <f t="shared" si="58"/>
        <v>10</v>
      </c>
      <c r="K726">
        <f t="shared" si="59"/>
        <v>2014</v>
      </c>
      <c r="M726">
        <v>4</v>
      </c>
      <c r="N726" t="str">
        <f>VLOOKUP(M726,'Cadastro Vendedores'!A:H,2,2)</f>
        <v>José</v>
      </c>
      <c r="O726" s="2"/>
      <c r="P726" s="16">
        <v>2100</v>
      </c>
      <c r="Q726" s="2">
        <f>VLOOKUP(B726,'Cadastro Produtos'!A:F,5,2)</f>
        <v>21</v>
      </c>
      <c r="R726" s="14">
        <f t="shared" si="55"/>
        <v>44100</v>
      </c>
    </row>
    <row r="727" spans="1:18" x14ac:dyDescent="0.25">
      <c r="A727">
        <v>726</v>
      </c>
      <c r="B727">
        <v>9</v>
      </c>
      <c r="C727" t="str">
        <f>VLOOKUP(B727,'Cadastro Produtos'!A:E,2,2)</f>
        <v>Limonada Alfa com Hortelã e Açúcar 1 L</v>
      </c>
      <c r="D727">
        <v>7</v>
      </c>
      <c r="E727" t="str">
        <f>VLOOKUP(D727,'Cadatro Clientes'!A:O,2,2)</f>
        <v>Limo</v>
      </c>
      <c r="F727" t="str">
        <f>VLOOKUP(D727,'Cadatro Clientes'!A:O,9,2)</f>
        <v>Centro-Oeste</v>
      </c>
      <c r="G727" s="15">
        <v>41919</v>
      </c>
      <c r="H727">
        <f t="shared" si="56"/>
        <v>3</v>
      </c>
      <c r="I727">
        <f t="shared" si="57"/>
        <v>7</v>
      </c>
      <c r="J727">
        <f t="shared" si="58"/>
        <v>10</v>
      </c>
      <c r="K727">
        <f t="shared" si="59"/>
        <v>2014</v>
      </c>
      <c r="M727">
        <v>8</v>
      </c>
      <c r="N727" t="str">
        <f>VLOOKUP(M727,'Cadastro Vendedores'!A:H,2,2)</f>
        <v>Sérgio</v>
      </c>
      <c r="O727" s="2"/>
      <c r="P727" s="16">
        <v>3300</v>
      </c>
      <c r="Q727" s="2">
        <f>VLOOKUP(B727,'Cadastro Produtos'!A:F,5,2)</f>
        <v>17.5</v>
      </c>
      <c r="R727" s="14">
        <f t="shared" si="55"/>
        <v>57750</v>
      </c>
    </row>
    <row r="728" spans="1:18" x14ac:dyDescent="0.25">
      <c r="A728">
        <v>727</v>
      </c>
      <c r="B728">
        <v>3</v>
      </c>
      <c r="C728" t="str">
        <f>VLOOKUP(B728,'Cadastro Produtos'!A:E,2,2)</f>
        <v>Limonada Alfa Zero 500 ml</v>
      </c>
      <c r="D728">
        <v>12</v>
      </c>
      <c r="E728" t="str">
        <f>VLOOKUP(D728,'Cadatro Clientes'!A:O,2,2)</f>
        <v>Limão da Ilha</v>
      </c>
      <c r="F728" t="str">
        <f>VLOOKUP(D728,'Cadatro Clientes'!A:O,9,2)</f>
        <v>Sul</v>
      </c>
      <c r="G728" s="15">
        <v>41920</v>
      </c>
      <c r="H728">
        <f t="shared" si="56"/>
        <v>4</v>
      </c>
      <c r="I728">
        <f t="shared" si="57"/>
        <v>8</v>
      </c>
      <c r="J728">
        <f t="shared" si="58"/>
        <v>10</v>
      </c>
      <c r="K728">
        <f t="shared" si="59"/>
        <v>2014</v>
      </c>
      <c r="M728">
        <v>3</v>
      </c>
      <c r="N728" t="str">
        <f>VLOOKUP(M728,'Cadastro Vendedores'!A:H,2,2)</f>
        <v>Antônia</v>
      </c>
      <c r="O728" s="2"/>
      <c r="P728" s="16">
        <v>2300</v>
      </c>
      <c r="Q728" s="2">
        <f>VLOOKUP(B728,'Cadastro Produtos'!A:F,5,2)</f>
        <v>9</v>
      </c>
      <c r="R728" s="14">
        <f t="shared" si="55"/>
        <v>20700</v>
      </c>
    </row>
    <row r="729" spans="1:18" x14ac:dyDescent="0.25">
      <c r="A729">
        <v>728</v>
      </c>
      <c r="B729">
        <v>10</v>
      </c>
      <c r="C729" t="str">
        <f>VLOOKUP(B729,'Cadastro Produtos'!A:E,2,2)</f>
        <v>Limonada Alfa com Hortelã Zero 1 L</v>
      </c>
      <c r="D729">
        <v>14</v>
      </c>
      <c r="E729" t="str">
        <f>VLOOKUP(D729,'Cadatro Clientes'!A:O,2,2)</f>
        <v>Sprite</v>
      </c>
      <c r="F729" t="str">
        <f>VLOOKUP(D729,'Cadatro Clientes'!A:O,9,2)</f>
        <v>Norte</v>
      </c>
      <c r="G729" s="15">
        <v>41921</v>
      </c>
      <c r="H729">
        <f t="shared" si="56"/>
        <v>5</v>
      </c>
      <c r="I729">
        <f t="shared" si="57"/>
        <v>9</v>
      </c>
      <c r="J729">
        <f t="shared" si="58"/>
        <v>10</v>
      </c>
      <c r="K729">
        <f t="shared" si="59"/>
        <v>2014</v>
      </c>
      <c r="M729">
        <v>8</v>
      </c>
      <c r="N729" t="str">
        <f>VLOOKUP(M729,'Cadastro Vendedores'!A:H,2,2)</f>
        <v>Sérgio</v>
      </c>
      <c r="O729" s="2"/>
      <c r="P729" s="16">
        <v>2700</v>
      </c>
      <c r="Q729" s="2">
        <f>VLOOKUP(B729,'Cadastro Produtos'!A:F,5,2)</f>
        <v>21</v>
      </c>
      <c r="R729" s="14">
        <f t="shared" si="55"/>
        <v>56700</v>
      </c>
    </row>
    <row r="730" spans="1:18" x14ac:dyDescent="0.25">
      <c r="A730">
        <v>729</v>
      </c>
      <c r="B730">
        <v>2</v>
      </c>
      <c r="C730" t="str">
        <f>VLOOKUP(B730,'Cadastro Produtos'!A:E,2,2)</f>
        <v>Limonada Beta com Açúcar 500 ml</v>
      </c>
      <c r="D730">
        <v>9</v>
      </c>
      <c r="E730" t="str">
        <f>VLOOKUP(D730,'Cadatro Clientes'!A:O,2,2)</f>
        <v>Fresh Lemon</v>
      </c>
      <c r="F730" t="str">
        <f>VLOOKUP(D730,'Cadatro Clientes'!A:O,9,2)</f>
        <v>Sudeste</v>
      </c>
      <c r="G730" s="15">
        <v>41921</v>
      </c>
      <c r="H730">
        <f t="shared" si="56"/>
        <v>5</v>
      </c>
      <c r="I730">
        <f t="shared" si="57"/>
        <v>9</v>
      </c>
      <c r="J730">
        <f t="shared" si="58"/>
        <v>10</v>
      </c>
      <c r="K730">
        <f t="shared" si="59"/>
        <v>2014</v>
      </c>
      <c r="M730">
        <v>12</v>
      </c>
      <c r="N730" t="str">
        <f>VLOOKUP(M730,'Cadastro Vendedores'!A:H,2,2)</f>
        <v>Paulo</v>
      </c>
      <c r="O730" s="2"/>
      <c r="P730" s="16">
        <v>3200</v>
      </c>
      <c r="Q730" s="2">
        <f>VLOOKUP(B730,'Cadastro Produtos'!A:F,5,2)</f>
        <v>6.5</v>
      </c>
      <c r="R730" s="14">
        <f t="shared" si="55"/>
        <v>20800</v>
      </c>
    </row>
    <row r="731" spans="1:18" x14ac:dyDescent="0.25">
      <c r="A731">
        <v>730</v>
      </c>
      <c r="B731">
        <v>5</v>
      </c>
      <c r="C731" t="str">
        <f>VLOOKUP(B731,'Cadastro Produtos'!A:E,2,2)</f>
        <v>Limonada Alfa com Açúcar 1 L</v>
      </c>
      <c r="D731">
        <v>13</v>
      </c>
      <c r="E731" t="str">
        <f>VLOOKUP(D731,'Cadatro Clientes'!A:O,2,2)</f>
        <v>Monster Lemon</v>
      </c>
      <c r="F731" t="str">
        <f>VLOOKUP(D731,'Cadatro Clientes'!A:O,9,2)</f>
        <v>Nordeste</v>
      </c>
      <c r="G731" s="15">
        <v>41921</v>
      </c>
      <c r="H731">
        <f t="shared" si="56"/>
        <v>5</v>
      </c>
      <c r="I731">
        <f t="shared" si="57"/>
        <v>9</v>
      </c>
      <c r="J731">
        <f t="shared" si="58"/>
        <v>10</v>
      </c>
      <c r="K731">
        <f t="shared" si="59"/>
        <v>2014</v>
      </c>
      <c r="M731">
        <v>12</v>
      </c>
      <c r="N731" t="str">
        <f>VLOOKUP(M731,'Cadastro Vendedores'!A:H,2,2)</f>
        <v>Paulo</v>
      </c>
      <c r="O731" s="2"/>
      <c r="P731" s="16">
        <v>2300</v>
      </c>
      <c r="Q731" s="2">
        <f>VLOOKUP(B731,'Cadastro Produtos'!A:F,5,2)</f>
        <v>15</v>
      </c>
      <c r="R731" s="14">
        <f t="shared" si="55"/>
        <v>34500</v>
      </c>
    </row>
    <row r="732" spans="1:18" x14ac:dyDescent="0.25">
      <c r="A732">
        <v>731</v>
      </c>
      <c r="B732">
        <v>5</v>
      </c>
      <c r="C732" t="str">
        <f>VLOOKUP(B732,'Cadastro Produtos'!A:E,2,2)</f>
        <v>Limonada Alfa com Açúcar 1 L</v>
      </c>
      <c r="D732">
        <v>12</v>
      </c>
      <c r="E732" t="str">
        <f>VLOOKUP(D732,'Cadatro Clientes'!A:O,2,2)</f>
        <v>Limão da Ilha</v>
      </c>
      <c r="F732" t="str">
        <f>VLOOKUP(D732,'Cadatro Clientes'!A:O,9,2)</f>
        <v>Sul</v>
      </c>
      <c r="G732" s="15">
        <v>41921</v>
      </c>
      <c r="H732">
        <f t="shared" si="56"/>
        <v>5</v>
      </c>
      <c r="I732">
        <f t="shared" si="57"/>
        <v>9</v>
      </c>
      <c r="J732">
        <f t="shared" si="58"/>
        <v>10</v>
      </c>
      <c r="K732">
        <f t="shared" si="59"/>
        <v>2014</v>
      </c>
      <c r="M732">
        <v>8</v>
      </c>
      <c r="N732" t="str">
        <f>VLOOKUP(M732,'Cadastro Vendedores'!A:H,2,2)</f>
        <v>Sérgio</v>
      </c>
      <c r="O732" s="2"/>
      <c r="P732" s="16">
        <v>1000</v>
      </c>
      <c r="Q732" s="2">
        <f>VLOOKUP(B732,'Cadastro Produtos'!A:F,5,2)</f>
        <v>15</v>
      </c>
      <c r="R732" s="14">
        <f t="shared" si="55"/>
        <v>15000</v>
      </c>
    </row>
    <row r="733" spans="1:18" x14ac:dyDescent="0.25">
      <c r="A733">
        <v>732</v>
      </c>
      <c r="B733">
        <v>1</v>
      </c>
      <c r="C733" t="str">
        <f>VLOOKUP(B733,'Cadastro Produtos'!A:E,2,2)</f>
        <v>Limonada Alfa com Açúcar 500 ml</v>
      </c>
      <c r="D733">
        <v>16</v>
      </c>
      <c r="E733" t="str">
        <f>VLOOKUP(D733,'Cadatro Clientes'!A:O,2,2)</f>
        <v>Norte Suco</v>
      </c>
      <c r="F733" t="str">
        <f>VLOOKUP(D733,'Cadatro Clientes'!A:O,9,2)</f>
        <v>Nordeste</v>
      </c>
      <c r="G733" s="15">
        <v>41922</v>
      </c>
      <c r="H733">
        <f t="shared" si="56"/>
        <v>6</v>
      </c>
      <c r="I733">
        <f t="shared" si="57"/>
        <v>10</v>
      </c>
      <c r="J733">
        <f t="shared" si="58"/>
        <v>10</v>
      </c>
      <c r="K733">
        <f t="shared" si="59"/>
        <v>2014</v>
      </c>
      <c r="M733">
        <v>4</v>
      </c>
      <c r="N733" t="str">
        <f>VLOOKUP(M733,'Cadastro Vendedores'!A:H,2,2)</f>
        <v>José</v>
      </c>
      <c r="O733" s="2"/>
      <c r="P733" s="16">
        <v>1700</v>
      </c>
      <c r="Q733" s="2">
        <f>VLOOKUP(B733,'Cadastro Produtos'!A:F,5,2)</f>
        <v>8.5</v>
      </c>
      <c r="R733" s="14">
        <f t="shared" si="55"/>
        <v>14450</v>
      </c>
    </row>
    <row r="734" spans="1:18" x14ac:dyDescent="0.25">
      <c r="A734">
        <v>733</v>
      </c>
      <c r="B734">
        <v>8</v>
      </c>
      <c r="C734" t="str">
        <f>VLOOKUP(B734,'Cadastro Produtos'!A:E,2,2)</f>
        <v>Limonada Beta Zero 1 L</v>
      </c>
      <c r="D734">
        <v>4</v>
      </c>
      <c r="E734" t="str">
        <f>VLOOKUP(D734,'Cadatro Clientes'!A:O,2,2)</f>
        <v>Limão Carioca e Cia</v>
      </c>
      <c r="F734" t="str">
        <f>VLOOKUP(D734,'Cadatro Clientes'!A:O,9,2)</f>
        <v>Sudeste</v>
      </c>
      <c r="G734" s="15">
        <v>41923</v>
      </c>
      <c r="H734">
        <f t="shared" si="56"/>
        <v>7</v>
      </c>
      <c r="I734">
        <f t="shared" si="57"/>
        <v>11</v>
      </c>
      <c r="J734">
        <f t="shared" si="58"/>
        <v>10</v>
      </c>
      <c r="K734">
        <f t="shared" si="59"/>
        <v>2014</v>
      </c>
      <c r="M734">
        <v>3</v>
      </c>
      <c r="N734" t="str">
        <f>VLOOKUP(M734,'Cadastro Vendedores'!A:H,2,2)</f>
        <v>Antônia</v>
      </c>
      <c r="O734" s="2"/>
      <c r="P734" s="16">
        <v>3200</v>
      </c>
      <c r="Q734" s="2">
        <f>VLOOKUP(B734,'Cadastro Produtos'!A:F,5,2)</f>
        <v>12</v>
      </c>
      <c r="R734" s="14">
        <f t="shared" si="55"/>
        <v>38400</v>
      </c>
    </row>
    <row r="735" spans="1:18" x14ac:dyDescent="0.25">
      <c r="A735">
        <v>734</v>
      </c>
      <c r="B735">
        <v>4</v>
      </c>
      <c r="C735" t="str">
        <f>VLOOKUP(B735,'Cadastro Produtos'!A:E,2,2)</f>
        <v>Limonada Beta Zero 500 ml</v>
      </c>
      <c r="D735">
        <v>16</v>
      </c>
      <c r="E735" t="str">
        <f>VLOOKUP(D735,'Cadatro Clientes'!A:O,2,2)</f>
        <v>Norte Suco</v>
      </c>
      <c r="F735" t="str">
        <f>VLOOKUP(D735,'Cadatro Clientes'!A:O,9,2)</f>
        <v>Nordeste</v>
      </c>
      <c r="G735" s="15">
        <v>41924</v>
      </c>
      <c r="H735">
        <f t="shared" si="56"/>
        <v>1</v>
      </c>
      <c r="I735">
        <f t="shared" si="57"/>
        <v>12</v>
      </c>
      <c r="J735">
        <f t="shared" si="58"/>
        <v>10</v>
      </c>
      <c r="K735">
        <f t="shared" si="59"/>
        <v>2014</v>
      </c>
      <c r="M735">
        <v>8</v>
      </c>
      <c r="N735" t="str">
        <f>VLOOKUP(M735,'Cadastro Vendedores'!A:H,2,2)</f>
        <v>Sérgio</v>
      </c>
      <c r="O735" s="2"/>
      <c r="P735" s="16">
        <v>5500</v>
      </c>
      <c r="Q735" s="2">
        <f>VLOOKUP(B735,'Cadastro Produtos'!A:F,5,2)</f>
        <v>7</v>
      </c>
      <c r="R735" s="14">
        <f t="shared" si="55"/>
        <v>38500</v>
      </c>
    </row>
    <row r="736" spans="1:18" x14ac:dyDescent="0.25">
      <c r="A736">
        <v>735</v>
      </c>
      <c r="B736">
        <v>3</v>
      </c>
      <c r="C736" t="str">
        <f>VLOOKUP(B736,'Cadastro Produtos'!A:E,2,2)</f>
        <v>Limonada Alfa Zero 500 ml</v>
      </c>
      <c r="D736">
        <v>8</v>
      </c>
      <c r="E736" t="str">
        <f>VLOOKUP(D736,'Cadatro Clientes'!A:O,2,2)</f>
        <v>Refresko</v>
      </c>
      <c r="F736" t="str">
        <f>VLOOKUP(D736,'Cadatro Clientes'!A:O,9,2)</f>
        <v>Sul</v>
      </c>
      <c r="G736" s="15">
        <v>41924</v>
      </c>
      <c r="H736">
        <f t="shared" si="56"/>
        <v>1</v>
      </c>
      <c r="I736">
        <f t="shared" si="57"/>
        <v>12</v>
      </c>
      <c r="J736">
        <f t="shared" si="58"/>
        <v>10</v>
      </c>
      <c r="K736">
        <f t="shared" si="59"/>
        <v>2014</v>
      </c>
      <c r="M736">
        <v>6</v>
      </c>
      <c r="N736" t="str">
        <f>VLOOKUP(M736,'Cadastro Vendedores'!A:H,2,2)</f>
        <v>Antônia</v>
      </c>
      <c r="O736" s="2"/>
      <c r="P736" s="16">
        <v>2100</v>
      </c>
      <c r="Q736" s="2">
        <f>VLOOKUP(B736,'Cadastro Produtos'!A:F,5,2)</f>
        <v>9</v>
      </c>
      <c r="R736" s="14">
        <f t="shared" si="55"/>
        <v>18900</v>
      </c>
    </row>
    <row r="737" spans="1:18" x14ac:dyDescent="0.25">
      <c r="A737">
        <v>736</v>
      </c>
      <c r="B737">
        <v>9</v>
      </c>
      <c r="C737" t="str">
        <f>VLOOKUP(B737,'Cadastro Produtos'!A:E,2,2)</f>
        <v>Limonada Alfa com Hortelã e Açúcar 1 L</v>
      </c>
      <c r="D737">
        <v>14</v>
      </c>
      <c r="E737" t="str">
        <f>VLOOKUP(D737,'Cadatro Clientes'!A:O,2,2)</f>
        <v>Sprite</v>
      </c>
      <c r="F737" t="str">
        <f>VLOOKUP(D737,'Cadatro Clientes'!A:O,9,2)</f>
        <v>Norte</v>
      </c>
      <c r="G737" s="15">
        <v>41925</v>
      </c>
      <c r="H737">
        <f t="shared" si="56"/>
        <v>2</v>
      </c>
      <c r="I737">
        <f t="shared" si="57"/>
        <v>13</v>
      </c>
      <c r="J737">
        <f t="shared" si="58"/>
        <v>10</v>
      </c>
      <c r="K737">
        <f t="shared" si="59"/>
        <v>2014</v>
      </c>
      <c r="M737">
        <v>7</v>
      </c>
      <c r="N737" t="str">
        <f>VLOOKUP(M737,'Cadastro Vendedores'!A:H,2,2)</f>
        <v>Benedito</v>
      </c>
      <c r="O737" s="2"/>
      <c r="P737" s="16">
        <v>3200</v>
      </c>
      <c r="Q737" s="2">
        <f>VLOOKUP(B737,'Cadastro Produtos'!A:F,5,2)</f>
        <v>17.5</v>
      </c>
      <c r="R737" s="14">
        <f t="shared" si="55"/>
        <v>56000</v>
      </c>
    </row>
    <row r="738" spans="1:18" x14ac:dyDescent="0.25">
      <c r="A738">
        <v>737</v>
      </c>
      <c r="B738">
        <v>8</v>
      </c>
      <c r="C738" t="str">
        <f>VLOOKUP(B738,'Cadastro Produtos'!A:E,2,2)</f>
        <v>Limonada Beta Zero 1 L</v>
      </c>
      <c r="D738">
        <v>19</v>
      </c>
      <c r="E738" t="str">
        <f>VLOOKUP(D738,'Cadatro Clientes'!A:O,2,2)</f>
        <v>Lima Limão</v>
      </c>
      <c r="F738" t="str">
        <f>VLOOKUP(D738,'Cadatro Clientes'!A:O,9,2)</f>
        <v>Sudeste</v>
      </c>
      <c r="G738" s="15">
        <v>41925</v>
      </c>
      <c r="H738">
        <f t="shared" si="56"/>
        <v>2</v>
      </c>
      <c r="I738">
        <f t="shared" si="57"/>
        <v>13</v>
      </c>
      <c r="J738">
        <f t="shared" si="58"/>
        <v>10</v>
      </c>
      <c r="K738">
        <f t="shared" si="59"/>
        <v>2014</v>
      </c>
      <c r="M738">
        <v>8</v>
      </c>
      <c r="N738" t="str">
        <f>VLOOKUP(M738,'Cadastro Vendedores'!A:H,2,2)</f>
        <v>Sérgio</v>
      </c>
      <c r="O738" s="2"/>
      <c r="P738" s="16">
        <v>3700</v>
      </c>
      <c r="Q738" s="2">
        <f>VLOOKUP(B738,'Cadastro Produtos'!A:F,5,2)</f>
        <v>12</v>
      </c>
      <c r="R738" s="14">
        <f t="shared" si="55"/>
        <v>44400</v>
      </c>
    </row>
    <row r="739" spans="1:18" x14ac:dyDescent="0.25">
      <c r="A739">
        <v>738</v>
      </c>
      <c r="B739">
        <v>4</v>
      </c>
      <c r="C739" t="str">
        <f>VLOOKUP(B739,'Cadastro Produtos'!A:E,2,2)</f>
        <v>Limonada Beta Zero 500 ml</v>
      </c>
      <c r="D739">
        <v>7</v>
      </c>
      <c r="E739" t="str">
        <f>VLOOKUP(D739,'Cadatro Clientes'!A:O,2,2)</f>
        <v>Limo</v>
      </c>
      <c r="F739" t="str">
        <f>VLOOKUP(D739,'Cadatro Clientes'!A:O,9,2)</f>
        <v>Centro-Oeste</v>
      </c>
      <c r="G739" s="15">
        <v>41925</v>
      </c>
      <c r="H739">
        <f t="shared" si="56"/>
        <v>2</v>
      </c>
      <c r="I739">
        <f t="shared" si="57"/>
        <v>13</v>
      </c>
      <c r="J739">
        <f t="shared" si="58"/>
        <v>10</v>
      </c>
      <c r="K739">
        <f t="shared" si="59"/>
        <v>2014</v>
      </c>
      <c r="M739">
        <v>2</v>
      </c>
      <c r="N739" t="str">
        <f>VLOOKUP(M739,'Cadastro Vendedores'!A:H,2,2)</f>
        <v>Luis</v>
      </c>
      <c r="O739" s="2"/>
      <c r="P739" s="16">
        <v>8300</v>
      </c>
      <c r="Q739" s="2">
        <f>VLOOKUP(B739,'Cadastro Produtos'!A:F,5,2)</f>
        <v>7</v>
      </c>
      <c r="R739" s="14">
        <f t="shared" si="55"/>
        <v>58100</v>
      </c>
    </row>
    <row r="740" spans="1:18" x14ac:dyDescent="0.25">
      <c r="A740">
        <v>739</v>
      </c>
      <c r="B740">
        <v>9</v>
      </c>
      <c r="C740" t="str">
        <f>VLOOKUP(B740,'Cadastro Produtos'!A:E,2,2)</f>
        <v>Limonada Alfa com Hortelã e Açúcar 1 L</v>
      </c>
      <c r="D740">
        <v>5</v>
      </c>
      <c r="E740" t="str">
        <f>VLOOKUP(D740,'Cadatro Clientes'!A:O,2,2)</f>
        <v>Axé com Limão</v>
      </c>
      <c r="F740" t="str">
        <f>VLOOKUP(D740,'Cadatro Clientes'!A:O,9,2)</f>
        <v>Nordeste</v>
      </c>
      <c r="G740" s="15">
        <v>41925</v>
      </c>
      <c r="H740">
        <f t="shared" si="56"/>
        <v>2</v>
      </c>
      <c r="I740">
        <f t="shared" si="57"/>
        <v>13</v>
      </c>
      <c r="J740">
        <f t="shared" si="58"/>
        <v>10</v>
      </c>
      <c r="K740">
        <f t="shared" si="59"/>
        <v>2014</v>
      </c>
      <c r="M740">
        <v>3</v>
      </c>
      <c r="N740" t="str">
        <f>VLOOKUP(M740,'Cadastro Vendedores'!A:H,2,2)</f>
        <v>Antônia</v>
      </c>
      <c r="O740" s="2"/>
      <c r="P740" s="16">
        <v>2500</v>
      </c>
      <c r="Q740" s="2">
        <f>VLOOKUP(B740,'Cadastro Produtos'!A:F,5,2)</f>
        <v>17.5</v>
      </c>
      <c r="R740" s="14">
        <f t="shared" si="55"/>
        <v>43750</v>
      </c>
    </row>
    <row r="741" spans="1:18" x14ac:dyDescent="0.25">
      <c r="A741">
        <v>740</v>
      </c>
      <c r="B741">
        <v>10</v>
      </c>
      <c r="C741" t="str">
        <f>VLOOKUP(B741,'Cadastro Produtos'!A:E,2,2)</f>
        <v>Limonada Alfa com Hortelã Zero 1 L</v>
      </c>
      <c r="D741">
        <v>7</v>
      </c>
      <c r="E741" t="str">
        <f>VLOOKUP(D741,'Cadatro Clientes'!A:O,2,2)</f>
        <v>Limo</v>
      </c>
      <c r="F741" t="str">
        <f>VLOOKUP(D741,'Cadatro Clientes'!A:O,9,2)</f>
        <v>Centro-Oeste</v>
      </c>
      <c r="G741" s="15">
        <v>41926</v>
      </c>
      <c r="H741">
        <f t="shared" si="56"/>
        <v>3</v>
      </c>
      <c r="I741">
        <f t="shared" si="57"/>
        <v>14</v>
      </c>
      <c r="J741">
        <f t="shared" si="58"/>
        <v>10</v>
      </c>
      <c r="K741">
        <f t="shared" si="59"/>
        <v>2014</v>
      </c>
      <c r="M741">
        <v>6</v>
      </c>
      <c r="N741" t="str">
        <f>VLOOKUP(M741,'Cadastro Vendedores'!A:H,2,2)</f>
        <v>Antônia</v>
      </c>
      <c r="O741" s="2"/>
      <c r="P741" s="16">
        <v>2500</v>
      </c>
      <c r="Q741" s="2">
        <f>VLOOKUP(B741,'Cadastro Produtos'!A:F,5,2)</f>
        <v>21</v>
      </c>
      <c r="R741" s="14">
        <f t="shared" si="55"/>
        <v>52500</v>
      </c>
    </row>
    <row r="742" spans="1:18" x14ac:dyDescent="0.25">
      <c r="A742">
        <v>741</v>
      </c>
      <c r="B742">
        <v>2</v>
      </c>
      <c r="C742" t="str">
        <f>VLOOKUP(B742,'Cadastro Produtos'!A:E,2,2)</f>
        <v>Limonada Beta com Açúcar 500 ml</v>
      </c>
      <c r="D742">
        <v>9</v>
      </c>
      <c r="E742" t="str">
        <f>VLOOKUP(D742,'Cadatro Clientes'!A:O,2,2)</f>
        <v>Fresh Lemon</v>
      </c>
      <c r="F742" t="str">
        <f>VLOOKUP(D742,'Cadatro Clientes'!A:O,9,2)</f>
        <v>Sudeste</v>
      </c>
      <c r="G742" s="15">
        <v>41926</v>
      </c>
      <c r="H742">
        <f t="shared" si="56"/>
        <v>3</v>
      </c>
      <c r="I742">
        <f t="shared" si="57"/>
        <v>14</v>
      </c>
      <c r="J742">
        <f t="shared" si="58"/>
        <v>10</v>
      </c>
      <c r="K742">
        <f t="shared" si="59"/>
        <v>2014</v>
      </c>
      <c r="M742">
        <v>6</v>
      </c>
      <c r="N742" t="str">
        <f>VLOOKUP(M742,'Cadastro Vendedores'!A:H,2,2)</f>
        <v>Antônia</v>
      </c>
      <c r="O742" s="2"/>
      <c r="P742" s="16">
        <v>2200</v>
      </c>
      <c r="Q742" s="2">
        <f>VLOOKUP(B742,'Cadastro Produtos'!A:F,5,2)</f>
        <v>6.5</v>
      </c>
      <c r="R742" s="14">
        <f t="shared" si="55"/>
        <v>14300</v>
      </c>
    </row>
    <row r="743" spans="1:18" x14ac:dyDescent="0.25">
      <c r="A743">
        <v>742</v>
      </c>
      <c r="B743">
        <v>4</v>
      </c>
      <c r="C743" t="str">
        <f>VLOOKUP(B743,'Cadastro Produtos'!A:E,2,2)</f>
        <v>Limonada Beta Zero 500 ml</v>
      </c>
      <c r="D743">
        <v>4</v>
      </c>
      <c r="E743" t="str">
        <f>VLOOKUP(D743,'Cadatro Clientes'!A:O,2,2)</f>
        <v>Limão Carioca e Cia</v>
      </c>
      <c r="F743" t="str">
        <f>VLOOKUP(D743,'Cadatro Clientes'!A:O,9,2)</f>
        <v>Sudeste</v>
      </c>
      <c r="G743" s="15">
        <v>41927</v>
      </c>
      <c r="H743">
        <f t="shared" si="56"/>
        <v>4</v>
      </c>
      <c r="I743">
        <f t="shared" si="57"/>
        <v>15</v>
      </c>
      <c r="J743">
        <f t="shared" si="58"/>
        <v>10</v>
      </c>
      <c r="K743">
        <f t="shared" si="59"/>
        <v>2014</v>
      </c>
      <c r="M743">
        <v>13</v>
      </c>
      <c r="N743" t="str">
        <f>VLOOKUP(M743,'Cadastro Vendedores'!A:H,2,2)</f>
        <v>Andre</v>
      </c>
      <c r="O743" s="2"/>
      <c r="P743" s="16">
        <v>8400</v>
      </c>
      <c r="Q743" s="2">
        <f>VLOOKUP(B743,'Cadastro Produtos'!A:F,5,2)</f>
        <v>7</v>
      </c>
      <c r="R743" s="14">
        <f t="shared" si="55"/>
        <v>58800</v>
      </c>
    </row>
    <row r="744" spans="1:18" x14ac:dyDescent="0.25">
      <c r="A744">
        <v>743</v>
      </c>
      <c r="B744">
        <v>6</v>
      </c>
      <c r="C744" t="str">
        <f>VLOOKUP(B744,'Cadastro Produtos'!A:E,2,2)</f>
        <v>Limonada Beta com Açúcar 1 L</v>
      </c>
      <c r="D744">
        <v>4</v>
      </c>
      <c r="E744" t="str">
        <f>VLOOKUP(D744,'Cadatro Clientes'!A:O,2,2)</f>
        <v>Limão Carioca e Cia</v>
      </c>
      <c r="F744" t="str">
        <f>VLOOKUP(D744,'Cadatro Clientes'!A:O,9,2)</f>
        <v>Sudeste</v>
      </c>
      <c r="G744" s="15">
        <v>41928</v>
      </c>
      <c r="H744">
        <f t="shared" si="56"/>
        <v>5</v>
      </c>
      <c r="I744">
        <f t="shared" si="57"/>
        <v>16</v>
      </c>
      <c r="J744">
        <f t="shared" si="58"/>
        <v>10</v>
      </c>
      <c r="K744">
        <f t="shared" si="59"/>
        <v>2014</v>
      </c>
      <c r="M744">
        <v>6</v>
      </c>
      <c r="N744" t="str">
        <f>VLOOKUP(M744,'Cadastro Vendedores'!A:H,2,2)</f>
        <v>Antônia</v>
      </c>
      <c r="O744" s="2"/>
      <c r="P744" s="16">
        <v>5600</v>
      </c>
      <c r="Q744" s="2">
        <f>VLOOKUP(B744,'Cadastro Produtos'!A:F,5,2)</f>
        <v>12</v>
      </c>
      <c r="R744" s="14">
        <f t="shared" si="55"/>
        <v>67200</v>
      </c>
    </row>
    <row r="745" spans="1:18" x14ac:dyDescent="0.25">
      <c r="A745">
        <v>744</v>
      </c>
      <c r="B745">
        <v>3</v>
      </c>
      <c r="C745" t="str">
        <f>VLOOKUP(B745,'Cadastro Produtos'!A:E,2,2)</f>
        <v>Limonada Alfa Zero 500 ml</v>
      </c>
      <c r="D745">
        <v>4</v>
      </c>
      <c r="E745" t="str">
        <f>VLOOKUP(D745,'Cadatro Clientes'!A:O,2,2)</f>
        <v>Limão Carioca e Cia</v>
      </c>
      <c r="F745" t="str">
        <f>VLOOKUP(D745,'Cadatro Clientes'!A:O,9,2)</f>
        <v>Sudeste</v>
      </c>
      <c r="G745" s="15">
        <v>41928</v>
      </c>
      <c r="H745">
        <f t="shared" si="56"/>
        <v>5</v>
      </c>
      <c r="I745">
        <f t="shared" si="57"/>
        <v>16</v>
      </c>
      <c r="J745">
        <f t="shared" si="58"/>
        <v>10</v>
      </c>
      <c r="K745">
        <f t="shared" si="59"/>
        <v>2014</v>
      </c>
      <c r="M745">
        <v>7</v>
      </c>
      <c r="N745" t="str">
        <f>VLOOKUP(M745,'Cadastro Vendedores'!A:H,2,2)</f>
        <v>Benedito</v>
      </c>
      <c r="O745" s="2"/>
      <c r="P745" s="16">
        <v>6500</v>
      </c>
      <c r="Q745" s="2">
        <f>VLOOKUP(B745,'Cadastro Produtos'!A:F,5,2)</f>
        <v>9</v>
      </c>
      <c r="R745" s="14">
        <f t="shared" si="55"/>
        <v>58500</v>
      </c>
    </row>
    <row r="746" spans="1:18" x14ac:dyDescent="0.25">
      <c r="A746">
        <v>745</v>
      </c>
      <c r="B746">
        <v>3</v>
      </c>
      <c r="C746" t="str">
        <f>VLOOKUP(B746,'Cadastro Produtos'!A:E,2,2)</f>
        <v>Limonada Alfa Zero 500 ml</v>
      </c>
      <c r="D746">
        <v>16</v>
      </c>
      <c r="E746" t="str">
        <f>VLOOKUP(D746,'Cadatro Clientes'!A:O,2,2)</f>
        <v>Norte Suco</v>
      </c>
      <c r="F746" t="str">
        <f>VLOOKUP(D746,'Cadatro Clientes'!A:O,9,2)</f>
        <v>Nordeste</v>
      </c>
      <c r="G746" s="15">
        <v>41928</v>
      </c>
      <c r="H746">
        <f t="shared" si="56"/>
        <v>5</v>
      </c>
      <c r="I746">
        <f t="shared" si="57"/>
        <v>16</v>
      </c>
      <c r="J746">
        <f t="shared" si="58"/>
        <v>10</v>
      </c>
      <c r="K746">
        <f t="shared" si="59"/>
        <v>2014</v>
      </c>
      <c r="M746">
        <v>3</v>
      </c>
      <c r="N746" t="str">
        <f>VLOOKUP(M746,'Cadastro Vendedores'!A:H,2,2)</f>
        <v>Antônia</v>
      </c>
      <c r="O746" s="2"/>
      <c r="P746" s="16">
        <v>2800</v>
      </c>
      <c r="Q746" s="2">
        <f>VLOOKUP(B746,'Cadastro Produtos'!A:F,5,2)</f>
        <v>9</v>
      </c>
      <c r="R746" s="14">
        <f t="shared" si="55"/>
        <v>25200</v>
      </c>
    </row>
    <row r="747" spans="1:18" x14ac:dyDescent="0.25">
      <c r="A747">
        <v>746</v>
      </c>
      <c r="B747">
        <v>8</v>
      </c>
      <c r="C747" t="str">
        <f>VLOOKUP(B747,'Cadastro Produtos'!A:E,2,2)</f>
        <v>Limonada Beta Zero 1 L</v>
      </c>
      <c r="D747">
        <v>1</v>
      </c>
      <c r="E747" t="str">
        <f>VLOOKUP(D747,'Cadatro Clientes'!A:O,2,2)</f>
        <v>Meu Suco de Limão</v>
      </c>
      <c r="F747" t="str">
        <f>VLOOKUP(D747,'Cadatro Clientes'!A:O,9,2)</f>
        <v>Norte</v>
      </c>
      <c r="G747" s="15">
        <v>41929</v>
      </c>
      <c r="H747">
        <f t="shared" si="56"/>
        <v>6</v>
      </c>
      <c r="I747">
        <f t="shared" si="57"/>
        <v>17</v>
      </c>
      <c r="J747">
        <f t="shared" si="58"/>
        <v>10</v>
      </c>
      <c r="K747">
        <f t="shared" si="59"/>
        <v>2014</v>
      </c>
      <c r="M747">
        <v>2</v>
      </c>
      <c r="N747" t="str">
        <f>VLOOKUP(M747,'Cadastro Vendedores'!A:H,2,2)</f>
        <v>Luis</v>
      </c>
      <c r="O747" s="2"/>
      <c r="P747" s="16">
        <v>1800</v>
      </c>
      <c r="Q747" s="2">
        <f>VLOOKUP(B747,'Cadastro Produtos'!A:F,5,2)</f>
        <v>12</v>
      </c>
      <c r="R747" s="14">
        <f t="shared" si="55"/>
        <v>21600</v>
      </c>
    </row>
    <row r="748" spans="1:18" x14ac:dyDescent="0.25">
      <c r="A748">
        <v>747</v>
      </c>
      <c r="B748">
        <v>6</v>
      </c>
      <c r="C748" t="str">
        <f>VLOOKUP(B748,'Cadastro Produtos'!A:E,2,2)</f>
        <v>Limonada Beta com Açúcar 1 L</v>
      </c>
      <c r="D748">
        <v>5</v>
      </c>
      <c r="E748" t="str">
        <f>VLOOKUP(D748,'Cadatro Clientes'!A:O,2,2)</f>
        <v>Axé com Limão</v>
      </c>
      <c r="F748" t="str">
        <f>VLOOKUP(D748,'Cadatro Clientes'!A:O,9,2)</f>
        <v>Nordeste</v>
      </c>
      <c r="G748" s="15">
        <v>41929</v>
      </c>
      <c r="H748">
        <f t="shared" si="56"/>
        <v>6</v>
      </c>
      <c r="I748">
        <f t="shared" si="57"/>
        <v>17</v>
      </c>
      <c r="J748">
        <f t="shared" si="58"/>
        <v>10</v>
      </c>
      <c r="K748">
        <f t="shared" si="59"/>
        <v>2014</v>
      </c>
      <c r="M748">
        <v>2</v>
      </c>
      <c r="N748" t="str">
        <f>VLOOKUP(M748,'Cadastro Vendedores'!A:H,2,2)</f>
        <v>Luis</v>
      </c>
      <c r="O748" s="2"/>
      <c r="P748" s="16">
        <v>3600</v>
      </c>
      <c r="Q748" s="2">
        <f>VLOOKUP(B748,'Cadastro Produtos'!A:F,5,2)</f>
        <v>12</v>
      </c>
      <c r="R748" s="14">
        <f t="shared" si="55"/>
        <v>43200</v>
      </c>
    </row>
    <row r="749" spans="1:18" x14ac:dyDescent="0.25">
      <c r="A749">
        <v>748</v>
      </c>
      <c r="B749">
        <v>1</v>
      </c>
      <c r="C749" t="str">
        <f>VLOOKUP(B749,'Cadastro Produtos'!A:E,2,2)</f>
        <v>Limonada Alfa com Açúcar 500 ml</v>
      </c>
      <c r="D749">
        <v>11</v>
      </c>
      <c r="E749" t="str">
        <f>VLOOKUP(D749,'Cadatro Clientes'!A:O,2,2)</f>
        <v>Red Lemon</v>
      </c>
      <c r="F749" t="str">
        <f>VLOOKUP(D749,'Cadatro Clientes'!A:O,9,2)</f>
        <v>Sul</v>
      </c>
      <c r="G749" s="15">
        <v>41930</v>
      </c>
      <c r="H749">
        <f t="shared" si="56"/>
        <v>7</v>
      </c>
      <c r="I749">
        <f t="shared" si="57"/>
        <v>18</v>
      </c>
      <c r="J749">
        <f t="shared" si="58"/>
        <v>10</v>
      </c>
      <c r="K749">
        <f t="shared" si="59"/>
        <v>2014</v>
      </c>
      <c r="M749">
        <v>13</v>
      </c>
      <c r="N749" t="str">
        <f>VLOOKUP(M749,'Cadastro Vendedores'!A:H,2,2)</f>
        <v>Andre</v>
      </c>
      <c r="O749" s="2"/>
      <c r="P749" s="16">
        <v>3600</v>
      </c>
      <c r="Q749" s="2">
        <f>VLOOKUP(B749,'Cadastro Produtos'!A:F,5,2)</f>
        <v>8.5</v>
      </c>
      <c r="R749" s="14">
        <f t="shared" si="55"/>
        <v>30600</v>
      </c>
    </row>
    <row r="750" spans="1:18" x14ac:dyDescent="0.25">
      <c r="A750">
        <v>749</v>
      </c>
      <c r="B750">
        <v>9</v>
      </c>
      <c r="C750" t="str">
        <f>VLOOKUP(B750,'Cadastro Produtos'!A:E,2,2)</f>
        <v>Limonada Alfa com Hortelã e Açúcar 1 L</v>
      </c>
      <c r="D750">
        <v>1</v>
      </c>
      <c r="E750" t="str">
        <f>VLOOKUP(D750,'Cadatro Clientes'!A:O,2,2)</f>
        <v>Meu Suco de Limão</v>
      </c>
      <c r="F750" t="str">
        <f>VLOOKUP(D750,'Cadatro Clientes'!A:O,9,2)</f>
        <v>Norte</v>
      </c>
      <c r="G750" s="15">
        <v>41930</v>
      </c>
      <c r="H750">
        <f t="shared" si="56"/>
        <v>7</v>
      </c>
      <c r="I750">
        <f t="shared" si="57"/>
        <v>18</v>
      </c>
      <c r="J750">
        <f t="shared" si="58"/>
        <v>10</v>
      </c>
      <c r="K750">
        <f t="shared" si="59"/>
        <v>2014</v>
      </c>
      <c r="M750">
        <v>7</v>
      </c>
      <c r="N750" t="str">
        <f>VLOOKUP(M750,'Cadastro Vendedores'!A:H,2,2)</f>
        <v>Benedito</v>
      </c>
      <c r="O750" s="2"/>
      <c r="P750" s="16">
        <v>1300</v>
      </c>
      <c r="Q750" s="2">
        <f>VLOOKUP(B750,'Cadastro Produtos'!A:F,5,2)</f>
        <v>17.5</v>
      </c>
      <c r="R750" s="14">
        <f t="shared" si="55"/>
        <v>22750</v>
      </c>
    </row>
    <row r="751" spans="1:18" x14ac:dyDescent="0.25">
      <c r="A751">
        <v>750</v>
      </c>
      <c r="B751">
        <v>4</v>
      </c>
      <c r="C751" t="str">
        <f>VLOOKUP(B751,'Cadastro Produtos'!A:E,2,2)</f>
        <v>Limonada Beta Zero 500 ml</v>
      </c>
      <c r="D751">
        <v>20</v>
      </c>
      <c r="E751" t="str">
        <f>VLOOKUP(D751,'Cadatro Clientes'!A:O,2,2)</f>
        <v>Brasil Saúde</v>
      </c>
      <c r="F751" t="str">
        <f>VLOOKUP(D751,'Cadatro Clientes'!A:O,9,2)</f>
        <v>Nordeste</v>
      </c>
      <c r="G751" s="15">
        <v>41930</v>
      </c>
      <c r="H751">
        <f t="shared" si="56"/>
        <v>7</v>
      </c>
      <c r="I751">
        <f t="shared" si="57"/>
        <v>18</v>
      </c>
      <c r="J751">
        <f t="shared" si="58"/>
        <v>10</v>
      </c>
      <c r="K751">
        <f t="shared" si="59"/>
        <v>2014</v>
      </c>
      <c r="M751">
        <v>2</v>
      </c>
      <c r="N751" t="str">
        <f>VLOOKUP(M751,'Cadastro Vendedores'!A:H,2,2)</f>
        <v>Luis</v>
      </c>
      <c r="O751" s="2"/>
      <c r="P751" s="16">
        <v>3200</v>
      </c>
      <c r="Q751" s="2">
        <f>VLOOKUP(B751,'Cadastro Produtos'!A:F,5,2)</f>
        <v>7</v>
      </c>
      <c r="R751" s="14">
        <f t="shared" si="55"/>
        <v>22400</v>
      </c>
    </row>
    <row r="752" spans="1:18" x14ac:dyDescent="0.25">
      <c r="A752">
        <v>751</v>
      </c>
      <c r="B752">
        <v>4</v>
      </c>
      <c r="C752" t="str">
        <f>VLOOKUP(B752,'Cadastro Produtos'!A:E,2,2)</f>
        <v>Limonada Beta Zero 500 ml</v>
      </c>
      <c r="D752">
        <v>2</v>
      </c>
      <c r="E752" t="str">
        <f>VLOOKUP(D752,'Cadatro Clientes'!A:O,2,2)</f>
        <v>Limão S/A</v>
      </c>
      <c r="F752" t="str">
        <f>VLOOKUP(D752,'Cadatro Clientes'!A:O,9,2)</f>
        <v>Centro-Oeste</v>
      </c>
      <c r="G752" s="15">
        <v>41930</v>
      </c>
      <c r="H752">
        <f t="shared" si="56"/>
        <v>7</v>
      </c>
      <c r="I752">
        <f t="shared" si="57"/>
        <v>18</v>
      </c>
      <c r="J752">
        <f t="shared" si="58"/>
        <v>10</v>
      </c>
      <c r="K752">
        <f t="shared" si="59"/>
        <v>2014</v>
      </c>
      <c r="M752">
        <v>7</v>
      </c>
      <c r="N752" t="str">
        <f>VLOOKUP(M752,'Cadastro Vendedores'!A:H,2,2)</f>
        <v>Benedito</v>
      </c>
      <c r="O752" s="2"/>
      <c r="P752" s="16">
        <v>10000</v>
      </c>
      <c r="Q752" s="2">
        <f>VLOOKUP(B752,'Cadastro Produtos'!A:F,5,2)</f>
        <v>7</v>
      </c>
      <c r="R752" s="14">
        <f t="shared" si="55"/>
        <v>70000</v>
      </c>
    </row>
    <row r="753" spans="1:18" x14ac:dyDescent="0.25">
      <c r="A753">
        <v>752</v>
      </c>
      <c r="B753">
        <v>10</v>
      </c>
      <c r="C753" t="str">
        <f>VLOOKUP(B753,'Cadastro Produtos'!A:E,2,2)</f>
        <v>Limonada Alfa com Hortelã Zero 1 L</v>
      </c>
      <c r="D753">
        <v>17</v>
      </c>
      <c r="E753" t="str">
        <f>VLOOKUP(D753,'Cadatro Clientes'!A:O,2,2)</f>
        <v>Aracasuco</v>
      </c>
      <c r="F753" t="str">
        <f>VLOOKUP(D753,'Cadatro Clientes'!A:O,9,2)</f>
        <v>Nordeste</v>
      </c>
      <c r="G753" s="15">
        <v>41930</v>
      </c>
      <c r="H753">
        <f t="shared" si="56"/>
        <v>7</v>
      </c>
      <c r="I753">
        <f t="shared" si="57"/>
        <v>18</v>
      </c>
      <c r="J753">
        <f t="shared" si="58"/>
        <v>10</v>
      </c>
      <c r="K753">
        <f t="shared" si="59"/>
        <v>2014</v>
      </c>
      <c r="M753">
        <v>13</v>
      </c>
      <c r="N753" t="str">
        <f>VLOOKUP(M753,'Cadastro Vendedores'!A:H,2,2)</f>
        <v>Andre</v>
      </c>
      <c r="O753" s="2"/>
      <c r="P753" s="16">
        <v>2100</v>
      </c>
      <c r="Q753" s="2">
        <f>VLOOKUP(B753,'Cadastro Produtos'!A:F,5,2)</f>
        <v>21</v>
      </c>
      <c r="R753" s="14">
        <f t="shared" si="55"/>
        <v>44100</v>
      </c>
    </row>
    <row r="754" spans="1:18" x14ac:dyDescent="0.25">
      <c r="A754">
        <v>753</v>
      </c>
      <c r="B754">
        <v>6</v>
      </c>
      <c r="C754" t="str">
        <f>VLOOKUP(B754,'Cadastro Produtos'!A:E,2,2)</f>
        <v>Limonada Beta com Açúcar 1 L</v>
      </c>
      <c r="D754">
        <v>17</v>
      </c>
      <c r="E754" t="str">
        <f>VLOOKUP(D754,'Cadatro Clientes'!A:O,2,2)</f>
        <v>Aracasuco</v>
      </c>
      <c r="F754" t="str">
        <f>VLOOKUP(D754,'Cadatro Clientes'!A:O,9,2)</f>
        <v>Nordeste</v>
      </c>
      <c r="G754" s="15">
        <v>41930</v>
      </c>
      <c r="H754">
        <f t="shared" si="56"/>
        <v>7</v>
      </c>
      <c r="I754">
        <f t="shared" si="57"/>
        <v>18</v>
      </c>
      <c r="J754">
        <f t="shared" si="58"/>
        <v>10</v>
      </c>
      <c r="K754">
        <f t="shared" si="59"/>
        <v>2014</v>
      </c>
      <c r="M754">
        <v>3</v>
      </c>
      <c r="N754" t="str">
        <f>VLOOKUP(M754,'Cadastro Vendedores'!A:H,2,2)</f>
        <v>Antônia</v>
      </c>
      <c r="O754" s="2"/>
      <c r="P754" s="16">
        <v>4500</v>
      </c>
      <c r="Q754" s="2">
        <f>VLOOKUP(B754,'Cadastro Produtos'!A:F,5,2)</f>
        <v>12</v>
      </c>
      <c r="R754" s="14">
        <f t="shared" si="55"/>
        <v>54000</v>
      </c>
    </row>
    <row r="755" spans="1:18" x14ac:dyDescent="0.25">
      <c r="A755">
        <v>754</v>
      </c>
      <c r="B755">
        <v>10</v>
      </c>
      <c r="C755" t="str">
        <f>VLOOKUP(B755,'Cadastro Produtos'!A:E,2,2)</f>
        <v>Limonada Alfa com Hortelã Zero 1 L</v>
      </c>
      <c r="D755">
        <v>5</v>
      </c>
      <c r="E755" t="str">
        <f>VLOOKUP(D755,'Cadatro Clientes'!A:O,2,2)</f>
        <v>Axé com Limão</v>
      </c>
      <c r="F755" t="str">
        <f>VLOOKUP(D755,'Cadatro Clientes'!A:O,9,2)</f>
        <v>Nordeste</v>
      </c>
      <c r="G755" s="15">
        <v>41931</v>
      </c>
      <c r="H755">
        <f t="shared" si="56"/>
        <v>1</v>
      </c>
      <c r="I755">
        <f t="shared" si="57"/>
        <v>19</v>
      </c>
      <c r="J755">
        <f t="shared" si="58"/>
        <v>10</v>
      </c>
      <c r="K755">
        <f t="shared" si="59"/>
        <v>2014</v>
      </c>
      <c r="M755">
        <v>4</v>
      </c>
      <c r="N755" t="str">
        <f>VLOOKUP(M755,'Cadastro Vendedores'!A:H,2,2)</f>
        <v>José</v>
      </c>
      <c r="O755" s="2"/>
      <c r="P755" s="16">
        <v>1900</v>
      </c>
      <c r="Q755" s="2">
        <f>VLOOKUP(B755,'Cadastro Produtos'!A:F,5,2)</f>
        <v>21</v>
      </c>
      <c r="R755" s="14">
        <f t="shared" si="55"/>
        <v>39900</v>
      </c>
    </row>
    <row r="756" spans="1:18" x14ac:dyDescent="0.25">
      <c r="A756">
        <v>755</v>
      </c>
      <c r="B756">
        <v>1</v>
      </c>
      <c r="C756" t="str">
        <f>VLOOKUP(B756,'Cadastro Produtos'!A:E,2,2)</f>
        <v>Limonada Alfa com Açúcar 500 ml</v>
      </c>
      <c r="D756">
        <v>11</v>
      </c>
      <c r="E756" t="str">
        <f>VLOOKUP(D756,'Cadatro Clientes'!A:O,2,2)</f>
        <v>Red Lemon</v>
      </c>
      <c r="F756" t="str">
        <f>VLOOKUP(D756,'Cadatro Clientes'!A:O,9,2)</f>
        <v>Sul</v>
      </c>
      <c r="G756" s="15">
        <v>41932</v>
      </c>
      <c r="H756">
        <f t="shared" si="56"/>
        <v>2</v>
      </c>
      <c r="I756">
        <f t="shared" si="57"/>
        <v>20</v>
      </c>
      <c r="J756">
        <f t="shared" si="58"/>
        <v>10</v>
      </c>
      <c r="K756">
        <f t="shared" si="59"/>
        <v>2014</v>
      </c>
      <c r="M756">
        <v>3</v>
      </c>
      <c r="N756" t="str">
        <f>VLOOKUP(M756,'Cadastro Vendedores'!A:H,2,2)</f>
        <v>Antônia</v>
      </c>
      <c r="O756" s="2"/>
      <c r="P756" s="16">
        <v>2000</v>
      </c>
      <c r="Q756" s="2">
        <f>VLOOKUP(B756,'Cadastro Produtos'!A:F,5,2)</f>
        <v>8.5</v>
      </c>
      <c r="R756" s="14">
        <f t="shared" si="55"/>
        <v>17000</v>
      </c>
    </row>
    <row r="757" spans="1:18" x14ac:dyDescent="0.25">
      <c r="A757">
        <v>756</v>
      </c>
      <c r="B757">
        <v>9</v>
      </c>
      <c r="C757" t="str">
        <f>VLOOKUP(B757,'Cadastro Produtos'!A:E,2,2)</f>
        <v>Limonada Alfa com Hortelã e Açúcar 1 L</v>
      </c>
      <c r="D757">
        <v>6</v>
      </c>
      <c r="E757" t="str">
        <f>VLOOKUP(D757,'Cadatro Clientes'!A:O,2,2)</f>
        <v>Lemonade</v>
      </c>
      <c r="F757" t="str">
        <f>VLOOKUP(D757,'Cadatro Clientes'!A:O,9,2)</f>
        <v>Norte</v>
      </c>
      <c r="G757" s="15">
        <v>41932</v>
      </c>
      <c r="H757">
        <f t="shared" si="56"/>
        <v>2</v>
      </c>
      <c r="I757">
        <f t="shared" si="57"/>
        <v>20</v>
      </c>
      <c r="J757">
        <f t="shared" si="58"/>
        <v>10</v>
      </c>
      <c r="K757">
        <f t="shared" si="59"/>
        <v>2014</v>
      </c>
      <c r="M757">
        <v>8</v>
      </c>
      <c r="N757" t="str">
        <f>VLOOKUP(M757,'Cadastro Vendedores'!A:H,2,2)</f>
        <v>Sérgio</v>
      </c>
      <c r="O757" s="2"/>
      <c r="P757" s="16">
        <v>2600</v>
      </c>
      <c r="Q757" s="2">
        <f>VLOOKUP(B757,'Cadastro Produtos'!A:F,5,2)</f>
        <v>17.5</v>
      </c>
      <c r="R757" s="14">
        <f t="shared" si="55"/>
        <v>45500</v>
      </c>
    </row>
    <row r="758" spans="1:18" x14ac:dyDescent="0.25">
      <c r="A758">
        <v>757</v>
      </c>
      <c r="B758">
        <v>7</v>
      </c>
      <c r="C758" t="str">
        <f>VLOOKUP(B758,'Cadastro Produtos'!A:E,2,2)</f>
        <v>Limonada Alfa Zero 1 L</v>
      </c>
      <c r="D758">
        <v>19</v>
      </c>
      <c r="E758" t="str">
        <f>VLOOKUP(D758,'Cadatro Clientes'!A:O,2,2)</f>
        <v>Lima Limão</v>
      </c>
      <c r="F758" t="str">
        <f>VLOOKUP(D758,'Cadatro Clientes'!A:O,9,2)</f>
        <v>Sudeste</v>
      </c>
      <c r="G758" s="15">
        <v>41932</v>
      </c>
      <c r="H758">
        <f t="shared" si="56"/>
        <v>2</v>
      </c>
      <c r="I758">
        <f t="shared" si="57"/>
        <v>20</v>
      </c>
      <c r="J758">
        <f t="shared" si="58"/>
        <v>10</v>
      </c>
      <c r="K758">
        <f t="shared" si="59"/>
        <v>2014</v>
      </c>
      <c r="M758">
        <v>3</v>
      </c>
      <c r="N758" t="str">
        <f>VLOOKUP(M758,'Cadastro Vendedores'!A:H,2,2)</f>
        <v>Antônia</v>
      </c>
      <c r="O758" s="2"/>
      <c r="P758" s="16">
        <v>3500</v>
      </c>
      <c r="Q758" s="2">
        <f>VLOOKUP(B758,'Cadastro Produtos'!A:F,5,2)</f>
        <v>15</v>
      </c>
      <c r="R758" s="14">
        <f t="shared" si="55"/>
        <v>52500</v>
      </c>
    </row>
    <row r="759" spans="1:18" x14ac:dyDescent="0.25">
      <c r="A759">
        <v>758</v>
      </c>
      <c r="B759">
        <v>9</v>
      </c>
      <c r="C759" t="str">
        <f>VLOOKUP(B759,'Cadastro Produtos'!A:E,2,2)</f>
        <v>Limonada Alfa com Hortelã e Açúcar 1 L</v>
      </c>
      <c r="D759">
        <v>17</v>
      </c>
      <c r="E759" t="str">
        <f>VLOOKUP(D759,'Cadatro Clientes'!A:O,2,2)</f>
        <v>Aracasuco</v>
      </c>
      <c r="F759" t="str">
        <f>VLOOKUP(D759,'Cadatro Clientes'!A:O,9,2)</f>
        <v>Nordeste</v>
      </c>
      <c r="G759" s="15">
        <v>41932</v>
      </c>
      <c r="H759">
        <f t="shared" si="56"/>
        <v>2</v>
      </c>
      <c r="I759">
        <f t="shared" si="57"/>
        <v>20</v>
      </c>
      <c r="J759">
        <f t="shared" si="58"/>
        <v>10</v>
      </c>
      <c r="K759">
        <f t="shared" si="59"/>
        <v>2014</v>
      </c>
      <c r="M759">
        <v>9</v>
      </c>
      <c r="N759" t="str">
        <f>VLOOKUP(M759,'Cadastro Vendedores'!A:H,2,2)</f>
        <v>Adriana</v>
      </c>
      <c r="O759" s="2"/>
      <c r="P759" s="16">
        <v>3200</v>
      </c>
      <c r="Q759" s="2">
        <f>VLOOKUP(B759,'Cadastro Produtos'!A:F,5,2)</f>
        <v>17.5</v>
      </c>
      <c r="R759" s="14">
        <f t="shared" si="55"/>
        <v>56000</v>
      </c>
    </row>
    <row r="760" spans="1:18" x14ac:dyDescent="0.25">
      <c r="A760">
        <v>759</v>
      </c>
      <c r="B760">
        <v>7</v>
      </c>
      <c r="C760" t="str">
        <f>VLOOKUP(B760,'Cadastro Produtos'!A:E,2,2)</f>
        <v>Limonada Alfa Zero 1 L</v>
      </c>
      <c r="D760">
        <v>5</v>
      </c>
      <c r="E760" t="str">
        <f>VLOOKUP(D760,'Cadatro Clientes'!A:O,2,2)</f>
        <v>Axé com Limão</v>
      </c>
      <c r="F760" t="str">
        <f>VLOOKUP(D760,'Cadatro Clientes'!A:O,9,2)</f>
        <v>Nordeste</v>
      </c>
      <c r="G760" s="15">
        <v>41933</v>
      </c>
      <c r="H760">
        <f t="shared" si="56"/>
        <v>3</v>
      </c>
      <c r="I760">
        <f t="shared" si="57"/>
        <v>21</v>
      </c>
      <c r="J760">
        <f t="shared" si="58"/>
        <v>10</v>
      </c>
      <c r="K760">
        <f t="shared" si="59"/>
        <v>2014</v>
      </c>
      <c r="M760">
        <v>4</v>
      </c>
      <c r="N760" t="str">
        <f>VLOOKUP(M760,'Cadastro Vendedores'!A:H,2,2)</f>
        <v>José</v>
      </c>
      <c r="O760" s="2"/>
      <c r="P760" s="16">
        <v>1900</v>
      </c>
      <c r="Q760" s="2">
        <f>VLOOKUP(B760,'Cadastro Produtos'!A:F,5,2)</f>
        <v>15</v>
      </c>
      <c r="R760" s="14">
        <f t="shared" si="55"/>
        <v>28500</v>
      </c>
    </row>
    <row r="761" spans="1:18" x14ac:dyDescent="0.25">
      <c r="A761">
        <v>760</v>
      </c>
      <c r="B761">
        <v>6</v>
      </c>
      <c r="C761" t="str">
        <f>VLOOKUP(B761,'Cadastro Produtos'!A:E,2,2)</f>
        <v>Limonada Beta com Açúcar 1 L</v>
      </c>
      <c r="D761">
        <v>14</v>
      </c>
      <c r="E761" t="str">
        <f>VLOOKUP(D761,'Cadatro Clientes'!A:O,2,2)</f>
        <v>Sprite</v>
      </c>
      <c r="F761" t="str">
        <f>VLOOKUP(D761,'Cadatro Clientes'!A:O,9,2)</f>
        <v>Norte</v>
      </c>
      <c r="G761" s="15">
        <v>41934</v>
      </c>
      <c r="H761">
        <f t="shared" si="56"/>
        <v>4</v>
      </c>
      <c r="I761">
        <f t="shared" si="57"/>
        <v>22</v>
      </c>
      <c r="J761">
        <f t="shared" si="58"/>
        <v>10</v>
      </c>
      <c r="K761">
        <f t="shared" si="59"/>
        <v>2014</v>
      </c>
      <c r="M761">
        <v>4</v>
      </c>
      <c r="N761" t="str">
        <f>VLOOKUP(M761,'Cadastro Vendedores'!A:H,2,2)</f>
        <v>José</v>
      </c>
      <c r="O761" s="2"/>
      <c r="P761" s="16">
        <v>3800</v>
      </c>
      <c r="Q761" s="2">
        <f>VLOOKUP(B761,'Cadastro Produtos'!A:F,5,2)</f>
        <v>12</v>
      </c>
      <c r="R761" s="14">
        <f t="shared" si="55"/>
        <v>45600</v>
      </c>
    </row>
    <row r="762" spans="1:18" x14ac:dyDescent="0.25">
      <c r="A762">
        <v>761</v>
      </c>
      <c r="B762">
        <v>9</v>
      </c>
      <c r="C762" t="str">
        <f>VLOOKUP(B762,'Cadastro Produtos'!A:E,2,2)</f>
        <v>Limonada Alfa com Hortelã e Açúcar 1 L</v>
      </c>
      <c r="D762">
        <v>4</v>
      </c>
      <c r="E762" t="str">
        <f>VLOOKUP(D762,'Cadatro Clientes'!A:O,2,2)</f>
        <v>Limão Carioca e Cia</v>
      </c>
      <c r="F762" t="str">
        <f>VLOOKUP(D762,'Cadatro Clientes'!A:O,9,2)</f>
        <v>Sudeste</v>
      </c>
      <c r="G762" s="15">
        <v>41934</v>
      </c>
      <c r="H762">
        <f t="shared" si="56"/>
        <v>4</v>
      </c>
      <c r="I762">
        <f t="shared" si="57"/>
        <v>22</v>
      </c>
      <c r="J762">
        <f t="shared" si="58"/>
        <v>10</v>
      </c>
      <c r="K762">
        <f t="shared" si="59"/>
        <v>2014</v>
      </c>
      <c r="M762">
        <v>7</v>
      </c>
      <c r="N762" t="str">
        <f>VLOOKUP(M762,'Cadastro Vendedores'!A:H,2,2)</f>
        <v>Benedito</v>
      </c>
      <c r="O762" s="2"/>
      <c r="P762" s="16">
        <v>800</v>
      </c>
      <c r="Q762" s="2">
        <f>VLOOKUP(B762,'Cadastro Produtos'!A:F,5,2)</f>
        <v>17.5</v>
      </c>
      <c r="R762" s="14">
        <f t="shared" si="55"/>
        <v>14000</v>
      </c>
    </row>
    <row r="763" spans="1:18" x14ac:dyDescent="0.25">
      <c r="A763">
        <v>762</v>
      </c>
      <c r="B763">
        <v>7</v>
      </c>
      <c r="C763" t="str">
        <f>VLOOKUP(B763,'Cadastro Produtos'!A:E,2,2)</f>
        <v>Limonada Alfa Zero 1 L</v>
      </c>
      <c r="D763">
        <v>4</v>
      </c>
      <c r="E763" t="str">
        <f>VLOOKUP(D763,'Cadatro Clientes'!A:O,2,2)</f>
        <v>Limão Carioca e Cia</v>
      </c>
      <c r="F763" t="str">
        <f>VLOOKUP(D763,'Cadatro Clientes'!A:O,9,2)</f>
        <v>Sudeste</v>
      </c>
      <c r="G763" s="15">
        <v>41934</v>
      </c>
      <c r="H763">
        <f t="shared" si="56"/>
        <v>4</v>
      </c>
      <c r="I763">
        <f t="shared" si="57"/>
        <v>22</v>
      </c>
      <c r="J763">
        <f t="shared" si="58"/>
        <v>10</v>
      </c>
      <c r="K763">
        <f t="shared" si="59"/>
        <v>2014</v>
      </c>
      <c r="M763">
        <v>4</v>
      </c>
      <c r="N763" t="str">
        <f>VLOOKUP(M763,'Cadastro Vendedores'!A:H,2,2)</f>
        <v>José</v>
      </c>
      <c r="O763" s="2"/>
      <c r="P763" s="16">
        <v>4600</v>
      </c>
      <c r="Q763" s="2">
        <f>VLOOKUP(B763,'Cadastro Produtos'!A:F,5,2)</f>
        <v>15</v>
      </c>
      <c r="R763" s="14">
        <f t="shared" si="55"/>
        <v>69000</v>
      </c>
    </row>
    <row r="764" spans="1:18" x14ac:dyDescent="0.25">
      <c r="A764">
        <v>763</v>
      </c>
      <c r="B764">
        <v>10</v>
      </c>
      <c r="C764" t="str">
        <f>VLOOKUP(B764,'Cadastro Produtos'!A:E,2,2)</f>
        <v>Limonada Alfa com Hortelã Zero 1 L</v>
      </c>
      <c r="D764">
        <v>2</v>
      </c>
      <c r="E764" t="str">
        <f>VLOOKUP(D764,'Cadatro Clientes'!A:O,2,2)</f>
        <v>Limão S/A</v>
      </c>
      <c r="F764" t="str">
        <f>VLOOKUP(D764,'Cadatro Clientes'!A:O,9,2)</f>
        <v>Centro-Oeste</v>
      </c>
      <c r="G764" s="15">
        <v>41934</v>
      </c>
      <c r="H764">
        <f t="shared" si="56"/>
        <v>4</v>
      </c>
      <c r="I764">
        <f t="shared" si="57"/>
        <v>22</v>
      </c>
      <c r="J764">
        <f t="shared" si="58"/>
        <v>10</v>
      </c>
      <c r="K764">
        <f t="shared" si="59"/>
        <v>2014</v>
      </c>
      <c r="M764">
        <v>4</v>
      </c>
      <c r="N764" t="str">
        <f>VLOOKUP(M764,'Cadastro Vendedores'!A:H,2,2)</f>
        <v>José</v>
      </c>
      <c r="O764" s="2"/>
      <c r="P764" s="16">
        <v>2500</v>
      </c>
      <c r="Q764" s="2">
        <f>VLOOKUP(B764,'Cadastro Produtos'!A:F,5,2)</f>
        <v>21</v>
      </c>
      <c r="R764" s="14">
        <f t="shared" si="55"/>
        <v>52500</v>
      </c>
    </row>
    <row r="765" spans="1:18" x14ac:dyDescent="0.25">
      <c r="A765">
        <v>764</v>
      </c>
      <c r="B765">
        <v>3</v>
      </c>
      <c r="C765" t="str">
        <f>VLOOKUP(B765,'Cadastro Produtos'!A:E,2,2)</f>
        <v>Limonada Alfa Zero 500 ml</v>
      </c>
      <c r="D765">
        <v>8</v>
      </c>
      <c r="E765" t="str">
        <f>VLOOKUP(D765,'Cadatro Clientes'!A:O,2,2)</f>
        <v>Refresko</v>
      </c>
      <c r="F765" t="str">
        <f>VLOOKUP(D765,'Cadatro Clientes'!A:O,9,2)</f>
        <v>Sul</v>
      </c>
      <c r="G765" s="15">
        <v>41934</v>
      </c>
      <c r="H765">
        <f t="shared" si="56"/>
        <v>4</v>
      </c>
      <c r="I765">
        <f t="shared" si="57"/>
        <v>22</v>
      </c>
      <c r="J765">
        <f t="shared" si="58"/>
        <v>10</v>
      </c>
      <c r="K765">
        <f t="shared" si="59"/>
        <v>2014</v>
      </c>
      <c r="M765">
        <v>7</v>
      </c>
      <c r="N765" t="str">
        <f>VLOOKUP(M765,'Cadastro Vendedores'!A:H,2,2)</f>
        <v>Benedito</v>
      </c>
      <c r="O765" s="2"/>
      <c r="P765" s="16">
        <v>3800</v>
      </c>
      <c r="Q765" s="2">
        <f>VLOOKUP(B765,'Cadastro Produtos'!A:F,5,2)</f>
        <v>9</v>
      </c>
      <c r="R765" s="14">
        <f t="shared" si="55"/>
        <v>34200</v>
      </c>
    </row>
    <row r="766" spans="1:18" x14ac:dyDescent="0.25">
      <c r="A766">
        <v>765</v>
      </c>
      <c r="B766">
        <v>6</v>
      </c>
      <c r="C766" t="str">
        <f>VLOOKUP(B766,'Cadastro Produtos'!A:E,2,2)</f>
        <v>Limonada Beta com Açúcar 1 L</v>
      </c>
      <c r="D766">
        <v>5</v>
      </c>
      <c r="E766" t="str">
        <f>VLOOKUP(D766,'Cadatro Clientes'!A:O,2,2)</f>
        <v>Axé com Limão</v>
      </c>
      <c r="F766" t="str">
        <f>VLOOKUP(D766,'Cadatro Clientes'!A:O,9,2)</f>
        <v>Nordeste</v>
      </c>
      <c r="G766" s="15">
        <v>41935</v>
      </c>
      <c r="H766">
        <f t="shared" si="56"/>
        <v>5</v>
      </c>
      <c r="I766">
        <f t="shared" si="57"/>
        <v>23</v>
      </c>
      <c r="J766">
        <f t="shared" si="58"/>
        <v>10</v>
      </c>
      <c r="K766">
        <f t="shared" si="59"/>
        <v>2014</v>
      </c>
      <c r="M766">
        <v>9</v>
      </c>
      <c r="N766" t="str">
        <f>VLOOKUP(M766,'Cadastro Vendedores'!A:H,2,2)</f>
        <v>Adriana</v>
      </c>
      <c r="O766" s="2"/>
      <c r="P766" s="16">
        <v>1900</v>
      </c>
      <c r="Q766" s="2">
        <f>VLOOKUP(B766,'Cadastro Produtos'!A:F,5,2)</f>
        <v>12</v>
      </c>
      <c r="R766" s="14">
        <f t="shared" si="55"/>
        <v>22800</v>
      </c>
    </row>
    <row r="767" spans="1:18" x14ac:dyDescent="0.25">
      <c r="A767">
        <v>766</v>
      </c>
      <c r="B767">
        <v>9</v>
      </c>
      <c r="C767" t="str">
        <f>VLOOKUP(B767,'Cadastro Produtos'!A:E,2,2)</f>
        <v>Limonada Alfa com Hortelã e Açúcar 1 L</v>
      </c>
      <c r="D767">
        <v>14</v>
      </c>
      <c r="E767" t="str">
        <f>VLOOKUP(D767,'Cadatro Clientes'!A:O,2,2)</f>
        <v>Sprite</v>
      </c>
      <c r="F767" t="str">
        <f>VLOOKUP(D767,'Cadatro Clientes'!A:O,9,2)</f>
        <v>Norte</v>
      </c>
      <c r="G767" s="15">
        <v>41935</v>
      </c>
      <c r="H767">
        <f t="shared" si="56"/>
        <v>5</v>
      </c>
      <c r="I767">
        <f t="shared" si="57"/>
        <v>23</v>
      </c>
      <c r="J767">
        <f t="shared" si="58"/>
        <v>10</v>
      </c>
      <c r="K767">
        <f t="shared" si="59"/>
        <v>2014</v>
      </c>
      <c r="M767">
        <v>4</v>
      </c>
      <c r="N767" t="str">
        <f>VLOOKUP(M767,'Cadastro Vendedores'!A:H,2,2)</f>
        <v>José</v>
      </c>
      <c r="O767" s="2"/>
      <c r="P767" s="16">
        <v>2600</v>
      </c>
      <c r="Q767" s="2">
        <f>VLOOKUP(B767,'Cadastro Produtos'!A:F,5,2)</f>
        <v>17.5</v>
      </c>
      <c r="R767" s="14">
        <f t="shared" si="55"/>
        <v>45500</v>
      </c>
    </row>
    <row r="768" spans="1:18" x14ac:dyDescent="0.25">
      <c r="A768">
        <v>767</v>
      </c>
      <c r="B768">
        <v>9</v>
      </c>
      <c r="C768" t="str">
        <f>VLOOKUP(B768,'Cadastro Produtos'!A:E,2,2)</f>
        <v>Limonada Alfa com Hortelã e Açúcar 1 L</v>
      </c>
      <c r="D768">
        <v>2</v>
      </c>
      <c r="E768" t="str">
        <f>VLOOKUP(D768,'Cadatro Clientes'!A:O,2,2)</f>
        <v>Limão S/A</v>
      </c>
      <c r="F768" t="str">
        <f>VLOOKUP(D768,'Cadatro Clientes'!A:O,9,2)</f>
        <v>Centro-Oeste</v>
      </c>
      <c r="G768" s="15">
        <v>41935</v>
      </c>
      <c r="H768">
        <f t="shared" si="56"/>
        <v>5</v>
      </c>
      <c r="I768">
        <f t="shared" si="57"/>
        <v>23</v>
      </c>
      <c r="J768">
        <f t="shared" si="58"/>
        <v>10</v>
      </c>
      <c r="K768">
        <f t="shared" si="59"/>
        <v>2014</v>
      </c>
      <c r="M768">
        <v>7</v>
      </c>
      <c r="N768" t="str">
        <f>VLOOKUP(M768,'Cadastro Vendedores'!A:H,2,2)</f>
        <v>Benedito</v>
      </c>
      <c r="O768" s="2"/>
      <c r="P768" s="16">
        <v>2500</v>
      </c>
      <c r="Q768" s="2">
        <f>VLOOKUP(B768,'Cadastro Produtos'!A:F,5,2)</f>
        <v>17.5</v>
      </c>
      <c r="R768" s="14">
        <f t="shared" si="55"/>
        <v>43750</v>
      </c>
    </row>
    <row r="769" spans="1:18" x14ac:dyDescent="0.25">
      <c r="A769">
        <v>768</v>
      </c>
      <c r="B769">
        <v>10</v>
      </c>
      <c r="C769" t="str">
        <f>VLOOKUP(B769,'Cadastro Produtos'!A:E,2,2)</f>
        <v>Limonada Alfa com Hortelã Zero 1 L</v>
      </c>
      <c r="D769">
        <v>17</v>
      </c>
      <c r="E769" t="str">
        <f>VLOOKUP(D769,'Cadatro Clientes'!A:O,2,2)</f>
        <v>Aracasuco</v>
      </c>
      <c r="F769" t="str">
        <f>VLOOKUP(D769,'Cadatro Clientes'!A:O,9,2)</f>
        <v>Nordeste</v>
      </c>
      <c r="G769" s="15">
        <v>41935</v>
      </c>
      <c r="H769">
        <f t="shared" si="56"/>
        <v>5</v>
      </c>
      <c r="I769">
        <f t="shared" si="57"/>
        <v>23</v>
      </c>
      <c r="J769">
        <f t="shared" si="58"/>
        <v>10</v>
      </c>
      <c r="K769">
        <f t="shared" si="59"/>
        <v>2014</v>
      </c>
      <c r="M769">
        <v>3</v>
      </c>
      <c r="N769" t="str">
        <f>VLOOKUP(M769,'Cadastro Vendedores'!A:H,2,2)</f>
        <v>Antônia</v>
      </c>
      <c r="O769" s="2"/>
      <c r="P769" s="16">
        <v>2600</v>
      </c>
      <c r="Q769" s="2">
        <f>VLOOKUP(B769,'Cadastro Produtos'!A:F,5,2)</f>
        <v>21</v>
      </c>
      <c r="R769" s="14">
        <f t="shared" si="55"/>
        <v>54600</v>
      </c>
    </row>
    <row r="770" spans="1:18" x14ac:dyDescent="0.25">
      <c r="A770">
        <v>769</v>
      </c>
      <c r="B770">
        <v>1</v>
      </c>
      <c r="C770" t="str">
        <f>VLOOKUP(B770,'Cadastro Produtos'!A:E,2,2)</f>
        <v>Limonada Alfa com Açúcar 500 ml</v>
      </c>
      <c r="D770">
        <v>5</v>
      </c>
      <c r="E770" t="str">
        <f>VLOOKUP(D770,'Cadatro Clientes'!A:O,2,2)</f>
        <v>Axé com Limão</v>
      </c>
      <c r="F770" t="str">
        <f>VLOOKUP(D770,'Cadatro Clientes'!A:O,9,2)</f>
        <v>Nordeste</v>
      </c>
      <c r="G770" s="15">
        <v>41935</v>
      </c>
      <c r="H770">
        <f t="shared" si="56"/>
        <v>5</v>
      </c>
      <c r="I770">
        <f t="shared" si="57"/>
        <v>23</v>
      </c>
      <c r="J770">
        <f t="shared" si="58"/>
        <v>10</v>
      </c>
      <c r="K770">
        <f t="shared" si="59"/>
        <v>2014</v>
      </c>
      <c r="M770">
        <v>8</v>
      </c>
      <c r="N770" t="str">
        <f>VLOOKUP(M770,'Cadastro Vendedores'!A:H,2,2)</f>
        <v>Sérgio</v>
      </c>
      <c r="O770" s="2"/>
      <c r="P770" s="16">
        <v>2500</v>
      </c>
      <c r="Q770" s="2">
        <f>VLOOKUP(B770,'Cadastro Produtos'!A:F,5,2)</f>
        <v>8.5</v>
      </c>
      <c r="R770" s="14">
        <f t="shared" ref="R770:R833" si="60">Q770*P770</f>
        <v>21250</v>
      </c>
    </row>
    <row r="771" spans="1:18" x14ac:dyDescent="0.25">
      <c r="A771">
        <v>770</v>
      </c>
      <c r="B771">
        <v>10</v>
      </c>
      <c r="C771" t="str">
        <f>VLOOKUP(B771,'Cadastro Produtos'!A:E,2,2)</f>
        <v>Limonada Alfa com Hortelã Zero 1 L</v>
      </c>
      <c r="D771">
        <v>12</v>
      </c>
      <c r="E771" t="str">
        <f>VLOOKUP(D771,'Cadatro Clientes'!A:O,2,2)</f>
        <v>Limão da Ilha</v>
      </c>
      <c r="F771" t="str">
        <f>VLOOKUP(D771,'Cadatro Clientes'!A:O,9,2)</f>
        <v>Sul</v>
      </c>
      <c r="G771" s="15">
        <v>41935</v>
      </c>
      <c r="H771">
        <f t="shared" ref="H771:H834" si="61">WEEKDAY(G771)</f>
        <v>5</v>
      </c>
      <c r="I771">
        <f t="shared" ref="I771:I834" si="62">DAY(G771)</f>
        <v>23</v>
      </c>
      <c r="J771">
        <f t="shared" ref="J771:J834" si="63">MONTH(G771)</f>
        <v>10</v>
      </c>
      <c r="K771">
        <f t="shared" ref="K771:K834" si="64">YEAR(G771)</f>
        <v>2014</v>
      </c>
      <c r="M771">
        <v>8</v>
      </c>
      <c r="N771" t="str">
        <f>VLOOKUP(M771,'Cadastro Vendedores'!A:H,2,2)</f>
        <v>Sérgio</v>
      </c>
      <c r="O771" s="2"/>
      <c r="P771" s="16">
        <v>1600</v>
      </c>
      <c r="Q771" s="2">
        <f>VLOOKUP(B771,'Cadastro Produtos'!A:F,5,2)</f>
        <v>21</v>
      </c>
      <c r="R771" s="14">
        <f t="shared" si="60"/>
        <v>33600</v>
      </c>
    </row>
    <row r="772" spans="1:18" x14ac:dyDescent="0.25">
      <c r="A772">
        <v>771</v>
      </c>
      <c r="B772">
        <v>5</v>
      </c>
      <c r="C772" t="str">
        <f>VLOOKUP(B772,'Cadastro Produtos'!A:E,2,2)</f>
        <v>Limonada Alfa com Açúcar 1 L</v>
      </c>
      <c r="D772">
        <v>5</v>
      </c>
      <c r="E772" t="str">
        <f>VLOOKUP(D772,'Cadatro Clientes'!A:O,2,2)</f>
        <v>Axé com Limão</v>
      </c>
      <c r="F772" t="str">
        <f>VLOOKUP(D772,'Cadatro Clientes'!A:O,9,2)</f>
        <v>Nordeste</v>
      </c>
      <c r="G772" s="15">
        <v>41936</v>
      </c>
      <c r="H772">
        <f t="shared" si="61"/>
        <v>6</v>
      </c>
      <c r="I772">
        <f t="shared" si="62"/>
        <v>24</v>
      </c>
      <c r="J772">
        <f t="shared" si="63"/>
        <v>10</v>
      </c>
      <c r="K772">
        <f t="shared" si="64"/>
        <v>2014</v>
      </c>
      <c r="M772">
        <v>3</v>
      </c>
      <c r="N772" t="str">
        <f>VLOOKUP(M772,'Cadastro Vendedores'!A:H,2,2)</f>
        <v>Antônia</v>
      </c>
      <c r="O772" s="2"/>
      <c r="P772" s="16">
        <v>1000</v>
      </c>
      <c r="Q772" s="2">
        <f>VLOOKUP(B772,'Cadastro Produtos'!A:F,5,2)</f>
        <v>15</v>
      </c>
      <c r="R772" s="14">
        <f t="shared" si="60"/>
        <v>15000</v>
      </c>
    </row>
    <row r="773" spans="1:18" x14ac:dyDescent="0.25">
      <c r="A773">
        <v>772</v>
      </c>
      <c r="B773">
        <v>1</v>
      </c>
      <c r="C773" t="str">
        <f>VLOOKUP(B773,'Cadastro Produtos'!A:E,2,2)</f>
        <v>Limonada Alfa com Açúcar 500 ml</v>
      </c>
      <c r="D773">
        <v>13</v>
      </c>
      <c r="E773" t="str">
        <f>VLOOKUP(D773,'Cadatro Clientes'!A:O,2,2)</f>
        <v>Monster Lemon</v>
      </c>
      <c r="F773" t="str">
        <f>VLOOKUP(D773,'Cadatro Clientes'!A:O,9,2)</f>
        <v>Nordeste</v>
      </c>
      <c r="G773" s="15">
        <v>41936</v>
      </c>
      <c r="H773">
        <f t="shared" si="61"/>
        <v>6</v>
      </c>
      <c r="I773">
        <f t="shared" si="62"/>
        <v>24</v>
      </c>
      <c r="J773">
        <f t="shared" si="63"/>
        <v>10</v>
      </c>
      <c r="K773">
        <f t="shared" si="64"/>
        <v>2014</v>
      </c>
      <c r="M773">
        <v>7</v>
      </c>
      <c r="N773" t="str">
        <f>VLOOKUP(M773,'Cadastro Vendedores'!A:H,2,2)</f>
        <v>Benedito</v>
      </c>
      <c r="O773" s="2"/>
      <c r="P773" s="16">
        <v>3900</v>
      </c>
      <c r="Q773" s="2">
        <f>VLOOKUP(B773,'Cadastro Produtos'!A:F,5,2)</f>
        <v>8.5</v>
      </c>
      <c r="R773" s="14">
        <f t="shared" si="60"/>
        <v>33150</v>
      </c>
    </row>
    <row r="774" spans="1:18" x14ac:dyDescent="0.25">
      <c r="A774">
        <v>773</v>
      </c>
      <c r="B774">
        <v>3</v>
      </c>
      <c r="C774" t="str">
        <f>VLOOKUP(B774,'Cadastro Produtos'!A:E,2,2)</f>
        <v>Limonada Alfa Zero 500 ml</v>
      </c>
      <c r="D774">
        <v>14</v>
      </c>
      <c r="E774" t="str">
        <f>VLOOKUP(D774,'Cadatro Clientes'!A:O,2,2)</f>
        <v>Sprite</v>
      </c>
      <c r="F774" t="str">
        <f>VLOOKUP(D774,'Cadatro Clientes'!A:O,9,2)</f>
        <v>Norte</v>
      </c>
      <c r="G774" s="15">
        <v>41936</v>
      </c>
      <c r="H774">
        <f t="shared" si="61"/>
        <v>6</v>
      </c>
      <c r="I774">
        <f t="shared" si="62"/>
        <v>24</v>
      </c>
      <c r="J774">
        <f t="shared" si="63"/>
        <v>10</v>
      </c>
      <c r="K774">
        <f t="shared" si="64"/>
        <v>2014</v>
      </c>
      <c r="M774">
        <v>6</v>
      </c>
      <c r="N774" t="str">
        <f>VLOOKUP(M774,'Cadastro Vendedores'!A:H,2,2)</f>
        <v>Antônia</v>
      </c>
      <c r="O774" s="2"/>
      <c r="P774" s="16">
        <v>5400</v>
      </c>
      <c r="Q774" s="2">
        <f>VLOOKUP(B774,'Cadastro Produtos'!A:F,5,2)</f>
        <v>9</v>
      </c>
      <c r="R774" s="14">
        <f t="shared" si="60"/>
        <v>48600</v>
      </c>
    </row>
    <row r="775" spans="1:18" x14ac:dyDescent="0.25">
      <c r="A775">
        <v>774</v>
      </c>
      <c r="B775">
        <v>6</v>
      </c>
      <c r="C775" t="str">
        <f>VLOOKUP(B775,'Cadastro Produtos'!A:E,2,2)</f>
        <v>Limonada Beta com Açúcar 1 L</v>
      </c>
      <c r="D775">
        <v>11</v>
      </c>
      <c r="E775" t="str">
        <f>VLOOKUP(D775,'Cadatro Clientes'!A:O,2,2)</f>
        <v>Red Lemon</v>
      </c>
      <c r="F775" t="str">
        <f>VLOOKUP(D775,'Cadatro Clientes'!A:O,9,2)</f>
        <v>Sul</v>
      </c>
      <c r="G775" s="15">
        <v>41936</v>
      </c>
      <c r="H775">
        <f t="shared" si="61"/>
        <v>6</v>
      </c>
      <c r="I775">
        <f t="shared" si="62"/>
        <v>24</v>
      </c>
      <c r="J775">
        <f t="shared" si="63"/>
        <v>10</v>
      </c>
      <c r="K775">
        <f t="shared" si="64"/>
        <v>2014</v>
      </c>
      <c r="M775">
        <v>4</v>
      </c>
      <c r="N775" t="str">
        <f>VLOOKUP(M775,'Cadastro Vendedores'!A:H,2,2)</f>
        <v>José</v>
      </c>
      <c r="O775" s="2"/>
      <c r="P775" s="16">
        <v>2400</v>
      </c>
      <c r="Q775" s="2">
        <f>VLOOKUP(B775,'Cadastro Produtos'!A:F,5,2)</f>
        <v>12</v>
      </c>
      <c r="R775" s="14">
        <f t="shared" si="60"/>
        <v>28800</v>
      </c>
    </row>
    <row r="776" spans="1:18" x14ac:dyDescent="0.25">
      <c r="A776">
        <v>775</v>
      </c>
      <c r="B776">
        <v>2</v>
      </c>
      <c r="C776" t="str">
        <f>VLOOKUP(B776,'Cadastro Produtos'!A:E,2,2)</f>
        <v>Limonada Beta com Açúcar 500 ml</v>
      </c>
      <c r="D776">
        <v>11</v>
      </c>
      <c r="E776" t="str">
        <f>VLOOKUP(D776,'Cadatro Clientes'!A:O,2,2)</f>
        <v>Red Lemon</v>
      </c>
      <c r="F776" t="str">
        <f>VLOOKUP(D776,'Cadatro Clientes'!A:O,9,2)</f>
        <v>Sul</v>
      </c>
      <c r="G776" s="15">
        <v>41936</v>
      </c>
      <c r="H776">
        <f t="shared" si="61"/>
        <v>6</v>
      </c>
      <c r="I776">
        <f t="shared" si="62"/>
        <v>24</v>
      </c>
      <c r="J776">
        <f t="shared" si="63"/>
        <v>10</v>
      </c>
      <c r="K776">
        <f t="shared" si="64"/>
        <v>2014</v>
      </c>
      <c r="M776">
        <v>3</v>
      </c>
      <c r="N776" t="str">
        <f>VLOOKUP(M776,'Cadastro Vendedores'!A:H,2,2)</f>
        <v>Antônia</v>
      </c>
      <c r="O776" s="2"/>
      <c r="P776" s="16">
        <v>4600</v>
      </c>
      <c r="Q776" s="2">
        <f>VLOOKUP(B776,'Cadastro Produtos'!A:F,5,2)</f>
        <v>6.5</v>
      </c>
      <c r="R776" s="14">
        <f t="shared" si="60"/>
        <v>29900</v>
      </c>
    </row>
    <row r="777" spans="1:18" x14ac:dyDescent="0.25">
      <c r="A777">
        <v>776</v>
      </c>
      <c r="B777">
        <v>5</v>
      </c>
      <c r="C777" t="str">
        <f>VLOOKUP(B777,'Cadastro Produtos'!A:E,2,2)</f>
        <v>Limonada Alfa com Açúcar 1 L</v>
      </c>
      <c r="D777">
        <v>5</v>
      </c>
      <c r="E777" t="str">
        <f>VLOOKUP(D777,'Cadatro Clientes'!A:O,2,2)</f>
        <v>Axé com Limão</v>
      </c>
      <c r="F777" t="str">
        <f>VLOOKUP(D777,'Cadatro Clientes'!A:O,9,2)</f>
        <v>Nordeste</v>
      </c>
      <c r="G777" s="15">
        <v>41937</v>
      </c>
      <c r="H777">
        <f t="shared" si="61"/>
        <v>7</v>
      </c>
      <c r="I777">
        <f t="shared" si="62"/>
        <v>25</v>
      </c>
      <c r="J777">
        <f t="shared" si="63"/>
        <v>10</v>
      </c>
      <c r="K777">
        <f t="shared" si="64"/>
        <v>2014</v>
      </c>
      <c r="M777">
        <v>3</v>
      </c>
      <c r="N777" t="str">
        <f>VLOOKUP(M777,'Cadastro Vendedores'!A:H,2,2)</f>
        <v>Antônia</v>
      </c>
      <c r="O777" s="2"/>
      <c r="P777" s="16">
        <v>3600</v>
      </c>
      <c r="Q777" s="2">
        <f>VLOOKUP(B777,'Cadastro Produtos'!A:F,5,2)</f>
        <v>15</v>
      </c>
      <c r="R777" s="14">
        <f t="shared" si="60"/>
        <v>54000</v>
      </c>
    </row>
    <row r="778" spans="1:18" x14ac:dyDescent="0.25">
      <c r="A778">
        <v>777</v>
      </c>
      <c r="B778">
        <v>4</v>
      </c>
      <c r="C778" t="str">
        <f>VLOOKUP(B778,'Cadastro Produtos'!A:E,2,2)</f>
        <v>Limonada Beta Zero 500 ml</v>
      </c>
      <c r="D778">
        <v>5</v>
      </c>
      <c r="E778" t="str">
        <f>VLOOKUP(D778,'Cadatro Clientes'!A:O,2,2)</f>
        <v>Axé com Limão</v>
      </c>
      <c r="F778" t="str">
        <f>VLOOKUP(D778,'Cadatro Clientes'!A:O,9,2)</f>
        <v>Nordeste</v>
      </c>
      <c r="G778" s="15">
        <v>41937</v>
      </c>
      <c r="H778">
        <f t="shared" si="61"/>
        <v>7</v>
      </c>
      <c r="I778">
        <f t="shared" si="62"/>
        <v>25</v>
      </c>
      <c r="J778">
        <f t="shared" si="63"/>
        <v>10</v>
      </c>
      <c r="K778">
        <f t="shared" si="64"/>
        <v>2014</v>
      </c>
      <c r="M778">
        <v>3</v>
      </c>
      <c r="N778" t="str">
        <f>VLOOKUP(M778,'Cadastro Vendedores'!A:H,2,2)</f>
        <v>Antônia</v>
      </c>
      <c r="O778" s="2"/>
      <c r="P778" s="16">
        <v>5000</v>
      </c>
      <c r="Q778" s="2">
        <f>VLOOKUP(B778,'Cadastro Produtos'!A:F,5,2)</f>
        <v>7</v>
      </c>
      <c r="R778" s="14">
        <f t="shared" si="60"/>
        <v>35000</v>
      </c>
    </row>
    <row r="779" spans="1:18" x14ac:dyDescent="0.25">
      <c r="A779">
        <v>778</v>
      </c>
      <c r="B779">
        <v>3</v>
      </c>
      <c r="C779" t="str">
        <f>VLOOKUP(B779,'Cadastro Produtos'!A:E,2,2)</f>
        <v>Limonada Alfa Zero 500 ml</v>
      </c>
      <c r="D779">
        <v>5</v>
      </c>
      <c r="E779" t="str">
        <f>VLOOKUP(D779,'Cadatro Clientes'!A:O,2,2)</f>
        <v>Axé com Limão</v>
      </c>
      <c r="F779" t="str">
        <f>VLOOKUP(D779,'Cadatro Clientes'!A:O,9,2)</f>
        <v>Nordeste</v>
      </c>
      <c r="G779" s="15">
        <v>41937</v>
      </c>
      <c r="H779">
        <f t="shared" si="61"/>
        <v>7</v>
      </c>
      <c r="I779">
        <f t="shared" si="62"/>
        <v>25</v>
      </c>
      <c r="J779">
        <f t="shared" si="63"/>
        <v>10</v>
      </c>
      <c r="K779">
        <f t="shared" si="64"/>
        <v>2014</v>
      </c>
      <c r="M779">
        <v>6</v>
      </c>
      <c r="N779" t="str">
        <f>VLOOKUP(M779,'Cadastro Vendedores'!A:H,2,2)</f>
        <v>Antônia</v>
      </c>
      <c r="O779" s="2"/>
      <c r="P779" s="16">
        <v>5000</v>
      </c>
      <c r="Q779" s="2">
        <f>VLOOKUP(B779,'Cadastro Produtos'!A:F,5,2)</f>
        <v>9</v>
      </c>
      <c r="R779" s="14">
        <f t="shared" si="60"/>
        <v>45000</v>
      </c>
    </row>
    <row r="780" spans="1:18" x14ac:dyDescent="0.25">
      <c r="A780">
        <v>779</v>
      </c>
      <c r="B780">
        <v>5</v>
      </c>
      <c r="C780" t="str">
        <f>VLOOKUP(B780,'Cadastro Produtos'!A:E,2,2)</f>
        <v>Limonada Alfa com Açúcar 1 L</v>
      </c>
      <c r="D780">
        <v>4</v>
      </c>
      <c r="E780" t="str">
        <f>VLOOKUP(D780,'Cadatro Clientes'!A:O,2,2)</f>
        <v>Limão Carioca e Cia</v>
      </c>
      <c r="F780" t="str">
        <f>VLOOKUP(D780,'Cadatro Clientes'!A:O,9,2)</f>
        <v>Sudeste</v>
      </c>
      <c r="G780" s="15">
        <v>41937</v>
      </c>
      <c r="H780">
        <f t="shared" si="61"/>
        <v>7</v>
      </c>
      <c r="I780">
        <f t="shared" si="62"/>
        <v>25</v>
      </c>
      <c r="J780">
        <f t="shared" si="63"/>
        <v>10</v>
      </c>
      <c r="K780">
        <f t="shared" si="64"/>
        <v>2014</v>
      </c>
      <c r="M780">
        <v>4</v>
      </c>
      <c r="N780" t="str">
        <f>VLOOKUP(M780,'Cadastro Vendedores'!A:H,2,2)</f>
        <v>José</v>
      </c>
      <c r="O780" s="2"/>
      <c r="P780" s="16">
        <v>1000</v>
      </c>
      <c r="Q780" s="2">
        <f>VLOOKUP(B780,'Cadastro Produtos'!A:F,5,2)</f>
        <v>15</v>
      </c>
      <c r="R780" s="14">
        <f t="shared" si="60"/>
        <v>15000</v>
      </c>
    </row>
    <row r="781" spans="1:18" x14ac:dyDescent="0.25">
      <c r="A781">
        <v>780</v>
      </c>
      <c r="B781">
        <v>1</v>
      </c>
      <c r="C781" t="str">
        <f>VLOOKUP(B781,'Cadastro Produtos'!A:E,2,2)</f>
        <v>Limonada Alfa com Açúcar 500 ml</v>
      </c>
      <c r="D781">
        <v>11</v>
      </c>
      <c r="E781" t="str">
        <f>VLOOKUP(D781,'Cadatro Clientes'!A:O,2,2)</f>
        <v>Red Lemon</v>
      </c>
      <c r="F781" t="str">
        <f>VLOOKUP(D781,'Cadatro Clientes'!A:O,9,2)</f>
        <v>Sul</v>
      </c>
      <c r="G781" s="15">
        <v>41937</v>
      </c>
      <c r="H781">
        <f t="shared" si="61"/>
        <v>7</v>
      </c>
      <c r="I781">
        <f t="shared" si="62"/>
        <v>25</v>
      </c>
      <c r="J781">
        <f t="shared" si="63"/>
        <v>10</v>
      </c>
      <c r="K781">
        <f t="shared" si="64"/>
        <v>2014</v>
      </c>
      <c r="M781">
        <v>4</v>
      </c>
      <c r="N781" t="str">
        <f>VLOOKUP(M781,'Cadastro Vendedores'!A:H,2,2)</f>
        <v>José</v>
      </c>
      <c r="O781" s="2"/>
      <c r="P781" s="16">
        <v>1600</v>
      </c>
      <c r="Q781" s="2">
        <f>VLOOKUP(B781,'Cadastro Produtos'!A:F,5,2)</f>
        <v>8.5</v>
      </c>
      <c r="R781" s="14">
        <f t="shared" si="60"/>
        <v>13600</v>
      </c>
    </row>
    <row r="782" spans="1:18" x14ac:dyDescent="0.25">
      <c r="A782">
        <v>781</v>
      </c>
      <c r="B782">
        <v>9</v>
      </c>
      <c r="C782" t="str">
        <f>VLOOKUP(B782,'Cadastro Produtos'!A:E,2,2)</f>
        <v>Limonada Alfa com Hortelã e Açúcar 1 L</v>
      </c>
      <c r="D782">
        <v>14</v>
      </c>
      <c r="E782" t="str">
        <f>VLOOKUP(D782,'Cadatro Clientes'!A:O,2,2)</f>
        <v>Sprite</v>
      </c>
      <c r="F782" t="str">
        <f>VLOOKUP(D782,'Cadatro Clientes'!A:O,9,2)</f>
        <v>Norte</v>
      </c>
      <c r="G782" s="15">
        <v>41938</v>
      </c>
      <c r="H782">
        <f t="shared" si="61"/>
        <v>1</v>
      </c>
      <c r="I782">
        <f t="shared" si="62"/>
        <v>26</v>
      </c>
      <c r="J782">
        <f t="shared" si="63"/>
        <v>10</v>
      </c>
      <c r="K782">
        <f t="shared" si="64"/>
        <v>2014</v>
      </c>
      <c r="M782">
        <v>4</v>
      </c>
      <c r="N782" t="str">
        <f>VLOOKUP(M782,'Cadastro Vendedores'!A:H,2,2)</f>
        <v>José</v>
      </c>
      <c r="O782" s="2"/>
      <c r="P782" s="16">
        <v>2900</v>
      </c>
      <c r="Q782" s="2">
        <f>VLOOKUP(B782,'Cadastro Produtos'!A:F,5,2)</f>
        <v>17.5</v>
      </c>
      <c r="R782" s="14">
        <f t="shared" si="60"/>
        <v>50750</v>
      </c>
    </row>
    <row r="783" spans="1:18" x14ac:dyDescent="0.25">
      <c r="A783">
        <v>782</v>
      </c>
      <c r="B783">
        <v>4</v>
      </c>
      <c r="C783" t="str">
        <f>VLOOKUP(B783,'Cadastro Produtos'!A:E,2,2)</f>
        <v>Limonada Beta Zero 500 ml</v>
      </c>
      <c r="D783">
        <v>18</v>
      </c>
      <c r="E783" t="str">
        <f>VLOOKUP(D783,'Cadatro Clientes'!A:O,2,2)</f>
        <v>Rio Branco Limonada Ltda</v>
      </c>
      <c r="F783" t="str">
        <f>VLOOKUP(D783,'Cadatro Clientes'!A:O,9,2)</f>
        <v>Norte</v>
      </c>
      <c r="G783" s="15">
        <v>41939</v>
      </c>
      <c r="H783">
        <f t="shared" si="61"/>
        <v>2</v>
      </c>
      <c r="I783">
        <f t="shared" si="62"/>
        <v>27</v>
      </c>
      <c r="J783">
        <f t="shared" si="63"/>
        <v>10</v>
      </c>
      <c r="K783">
        <f t="shared" si="64"/>
        <v>2014</v>
      </c>
      <c r="M783">
        <v>3</v>
      </c>
      <c r="N783" t="str">
        <f>VLOOKUP(M783,'Cadastro Vendedores'!A:H,2,2)</f>
        <v>Antônia</v>
      </c>
      <c r="O783" s="2"/>
      <c r="P783" s="16">
        <v>3600</v>
      </c>
      <c r="Q783" s="2">
        <f>VLOOKUP(B783,'Cadastro Produtos'!A:F,5,2)</f>
        <v>7</v>
      </c>
      <c r="R783" s="14">
        <f t="shared" si="60"/>
        <v>25200</v>
      </c>
    </row>
    <row r="784" spans="1:18" x14ac:dyDescent="0.25">
      <c r="A784">
        <v>783</v>
      </c>
      <c r="B784">
        <v>6</v>
      </c>
      <c r="C784" t="str">
        <f>VLOOKUP(B784,'Cadastro Produtos'!A:E,2,2)</f>
        <v>Limonada Beta com Açúcar 1 L</v>
      </c>
      <c r="D784">
        <v>1</v>
      </c>
      <c r="E784" t="str">
        <f>VLOOKUP(D784,'Cadatro Clientes'!A:O,2,2)</f>
        <v>Meu Suco de Limão</v>
      </c>
      <c r="F784" t="str">
        <f>VLOOKUP(D784,'Cadatro Clientes'!A:O,9,2)</f>
        <v>Norte</v>
      </c>
      <c r="G784" s="15">
        <v>41940</v>
      </c>
      <c r="H784">
        <f t="shared" si="61"/>
        <v>3</v>
      </c>
      <c r="I784">
        <f t="shared" si="62"/>
        <v>28</v>
      </c>
      <c r="J784">
        <f t="shared" si="63"/>
        <v>10</v>
      </c>
      <c r="K784">
        <f t="shared" si="64"/>
        <v>2014</v>
      </c>
      <c r="M784">
        <v>7</v>
      </c>
      <c r="N784" t="str">
        <f>VLOOKUP(M784,'Cadastro Vendedores'!A:H,2,2)</f>
        <v>Benedito</v>
      </c>
      <c r="O784" s="2"/>
      <c r="P784" s="16">
        <v>4600</v>
      </c>
      <c r="Q784" s="2">
        <f>VLOOKUP(B784,'Cadastro Produtos'!A:F,5,2)</f>
        <v>12</v>
      </c>
      <c r="R784" s="14">
        <f t="shared" si="60"/>
        <v>55200</v>
      </c>
    </row>
    <row r="785" spans="1:18" x14ac:dyDescent="0.25">
      <c r="A785">
        <v>784</v>
      </c>
      <c r="B785">
        <v>1</v>
      </c>
      <c r="C785" t="str">
        <f>VLOOKUP(B785,'Cadastro Produtos'!A:E,2,2)</f>
        <v>Limonada Alfa com Açúcar 500 ml</v>
      </c>
      <c r="D785">
        <v>17</v>
      </c>
      <c r="E785" t="str">
        <f>VLOOKUP(D785,'Cadatro Clientes'!A:O,2,2)</f>
        <v>Aracasuco</v>
      </c>
      <c r="F785" t="str">
        <f>VLOOKUP(D785,'Cadatro Clientes'!A:O,9,2)</f>
        <v>Nordeste</v>
      </c>
      <c r="G785" s="15">
        <v>41940</v>
      </c>
      <c r="H785">
        <f t="shared" si="61"/>
        <v>3</v>
      </c>
      <c r="I785">
        <f t="shared" si="62"/>
        <v>28</v>
      </c>
      <c r="J785">
        <f t="shared" si="63"/>
        <v>10</v>
      </c>
      <c r="K785">
        <f t="shared" si="64"/>
        <v>2014</v>
      </c>
      <c r="M785">
        <v>9</v>
      </c>
      <c r="N785" t="str">
        <f>VLOOKUP(M785,'Cadastro Vendedores'!A:H,2,2)</f>
        <v>Adriana</v>
      </c>
      <c r="O785" s="2"/>
      <c r="P785" s="16">
        <v>6600</v>
      </c>
      <c r="Q785" s="2">
        <f>VLOOKUP(B785,'Cadastro Produtos'!A:F,5,2)</f>
        <v>8.5</v>
      </c>
      <c r="R785" s="14">
        <f t="shared" si="60"/>
        <v>56100</v>
      </c>
    </row>
    <row r="786" spans="1:18" x14ac:dyDescent="0.25">
      <c r="A786">
        <v>785</v>
      </c>
      <c r="B786">
        <v>7</v>
      </c>
      <c r="C786" t="str">
        <f>VLOOKUP(B786,'Cadastro Produtos'!A:E,2,2)</f>
        <v>Limonada Alfa Zero 1 L</v>
      </c>
      <c r="D786">
        <v>13</v>
      </c>
      <c r="E786" t="str">
        <f>VLOOKUP(D786,'Cadatro Clientes'!A:O,2,2)</f>
        <v>Monster Lemon</v>
      </c>
      <c r="F786" t="str">
        <f>VLOOKUP(D786,'Cadatro Clientes'!A:O,9,2)</f>
        <v>Nordeste</v>
      </c>
      <c r="G786" s="15">
        <v>41940</v>
      </c>
      <c r="H786">
        <f t="shared" si="61"/>
        <v>3</v>
      </c>
      <c r="I786">
        <f t="shared" si="62"/>
        <v>28</v>
      </c>
      <c r="J786">
        <f t="shared" si="63"/>
        <v>10</v>
      </c>
      <c r="K786">
        <f t="shared" si="64"/>
        <v>2014</v>
      </c>
      <c r="M786">
        <v>13</v>
      </c>
      <c r="N786" t="str">
        <f>VLOOKUP(M786,'Cadastro Vendedores'!A:H,2,2)</f>
        <v>Andre</v>
      </c>
      <c r="O786" s="2"/>
      <c r="P786" s="16">
        <v>4400</v>
      </c>
      <c r="Q786" s="2">
        <f>VLOOKUP(B786,'Cadastro Produtos'!A:F,5,2)</f>
        <v>15</v>
      </c>
      <c r="R786" s="14">
        <f t="shared" si="60"/>
        <v>66000</v>
      </c>
    </row>
    <row r="787" spans="1:18" x14ac:dyDescent="0.25">
      <c r="A787">
        <v>786</v>
      </c>
      <c r="B787">
        <v>2</v>
      </c>
      <c r="C787" t="str">
        <f>VLOOKUP(B787,'Cadastro Produtos'!A:E,2,2)</f>
        <v>Limonada Beta com Açúcar 500 ml</v>
      </c>
      <c r="D787">
        <v>2</v>
      </c>
      <c r="E787" t="str">
        <f>VLOOKUP(D787,'Cadatro Clientes'!A:O,2,2)</f>
        <v>Limão S/A</v>
      </c>
      <c r="F787" t="str">
        <f>VLOOKUP(D787,'Cadatro Clientes'!A:O,9,2)</f>
        <v>Centro-Oeste</v>
      </c>
      <c r="G787" s="15">
        <v>41940</v>
      </c>
      <c r="H787">
        <f t="shared" si="61"/>
        <v>3</v>
      </c>
      <c r="I787">
        <f t="shared" si="62"/>
        <v>28</v>
      </c>
      <c r="J787">
        <f t="shared" si="63"/>
        <v>10</v>
      </c>
      <c r="K787">
        <f t="shared" si="64"/>
        <v>2014</v>
      </c>
      <c r="M787">
        <v>4</v>
      </c>
      <c r="N787" t="str">
        <f>VLOOKUP(M787,'Cadastro Vendedores'!A:H,2,2)</f>
        <v>José</v>
      </c>
      <c r="O787" s="2"/>
      <c r="P787" s="16">
        <v>6600</v>
      </c>
      <c r="Q787" s="2">
        <f>VLOOKUP(B787,'Cadastro Produtos'!A:F,5,2)</f>
        <v>6.5</v>
      </c>
      <c r="R787" s="14">
        <f t="shared" si="60"/>
        <v>42900</v>
      </c>
    </row>
    <row r="788" spans="1:18" x14ac:dyDescent="0.25">
      <c r="A788">
        <v>787</v>
      </c>
      <c r="B788">
        <v>3</v>
      </c>
      <c r="C788" t="str">
        <f>VLOOKUP(B788,'Cadastro Produtos'!A:E,2,2)</f>
        <v>Limonada Alfa Zero 500 ml</v>
      </c>
      <c r="D788">
        <v>19</v>
      </c>
      <c r="E788" t="str">
        <f>VLOOKUP(D788,'Cadatro Clientes'!A:O,2,2)</f>
        <v>Lima Limão</v>
      </c>
      <c r="F788" t="str">
        <f>VLOOKUP(D788,'Cadatro Clientes'!A:O,9,2)</f>
        <v>Sudeste</v>
      </c>
      <c r="G788" s="15">
        <v>41940</v>
      </c>
      <c r="H788">
        <f t="shared" si="61"/>
        <v>3</v>
      </c>
      <c r="I788">
        <f t="shared" si="62"/>
        <v>28</v>
      </c>
      <c r="J788">
        <f t="shared" si="63"/>
        <v>10</v>
      </c>
      <c r="K788">
        <f t="shared" si="64"/>
        <v>2014</v>
      </c>
      <c r="M788">
        <v>12</v>
      </c>
      <c r="N788" t="str">
        <f>VLOOKUP(M788,'Cadastro Vendedores'!A:H,2,2)</f>
        <v>Paulo</v>
      </c>
      <c r="O788" s="2"/>
      <c r="P788" s="16">
        <v>7800</v>
      </c>
      <c r="Q788" s="2">
        <f>VLOOKUP(B788,'Cadastro Produtos'!A:F,5,2)</f>
        <v>9</v>
      </c>
      <c r="R788" s="14">
        <f t="shared" si="60"/>
        <v>70200</v>
      </c>
    </row>
    <row r="789" spans="1:18" x14ac:dyDescent="0.25">
      <c r="A789">
        <v>788</v>
      </c>
      <c r="B789">
        <v>9</v>
      </c>
      <c r="C789" t="str">
        <f>VLOOKUP(B789,'Cadastro Produtos'!A:E,2,2)</f>
        <v>Limonada Alfa com Hortelã e Açúcar 1 L</v>
      </c>
      <c r="D789">
        <v>5</v>
      </c>
      <c r="E789" t="str">
        <f>VLOOKUP(D789,'Cadatro Clientes'!A:O,2,2)</f>
        <v>Axé com Limão</v>
      </c>
      <c r="F789" t="str">
        <f>VLOOKUP(D789,'Cadatro Clientes'!A:O,9,2)</f>
        <v>Nordeste</v>
      </c>
      <c r="G789" s="15">
        <v>41941</v>
      </c>
      <c r="H789">
        <f t="shared" si="61"/>
        <v>4</v>
      </c>
      <c r="I789">
        <f t="shared" si="62"/>
        <v>29</v>
      </c>
      <c r="J789">
        <f t="shared" si="63"/>
        <v>10</v>
      </c>
      <c r="K789">
        <f t="shared" si="64"/>
        <v>2014</v>
      </c>
      <c r="M789">
        <v>3</v>
      </c>
      <c r="N789" t="str">
        <f>VLOOKUP(M789,'Cadastro Vendedores'!A:H,2,2)</f>
        <v>Antônia</v>
      </c>
      <c r="O789" s="2"/>
      <c r="P789" s="16">
        <v>2000</v>
      </c>
      <c r="Q789" s="2">
        <f>VLOOKUP(B789,'Cadastro Produtos'!A:F,5,2)</f>
        <v>17.5</v>
      </c>
      <c r="R789" s="14">
        <f t="shared" si="60"/>
        <v>35000</v>
      </c>
    </row>
    <row r="790" spans="1:18" x14ac:dyDescent="0.25">
      <c r="A790">
        <v>789</v>
      </c>
      <c r="B790">
        <v>2</v>
      </c>
      <c r="C790" t="str">
        <f>VLOOKUP(B790,'Cadastro Produtos'!A:E,2,2)</f>
        <v>Limonada Beta com Açúcar 500 ml</v>
      </c>
      <c r="D790">
        <v>13</v>
      </c>
      <c r="E790" t="str">
        <f>VLOOKUP(D790,'Cadatro Clientes'!A:O,2,2)</f>
        <v>Monster Lemon</v>
      </c>
      <c r="F790" t="str">
        <f>VLOOKUP(D790,'Cadatro Clientes'!A:O,9,2)</f>
        <v>Nordeste</v>
      </c>
      <c r="G790" s="15">
        <v>41941</v>
      </c>
      <c r="H790">
        <f t="shared" si="61"/>
        <v>4</v>
      </c>
      <c r="I790">
        <f t="shared" si="62"/>
        <v>29</v>
      </c>
      <c r="J790">
        <f t="shared" si="63"/>
        <v>10</v>
      </c>
      <c r="K790">
        <f t="shared" si="64"/>
        <v>2014</v>
      </c>
      <c r="M790">
        <v>8</v>
      </c>
      <c r="N790" t="str">
        <f>VLOOKUP(M790,'Cadastro Vendedores'!A:H,2,2)</f>
        <v>Sérgio</v>
      </c>
      <c r="O790" s="2"/>
      <c r="P790" s="16">
        <v>8800</v>
      </c>
      <c r="Q790" s="2">
        <f>VLOOKUP(B790,'Cadastro Produtos'!A:F,5,2)</f>
        <v>6.5</v>
      </c>
      <c r="R790" s="14">
        <f t="shared" si="60"/>
        <v>57200</v>
      </c>
    </row>
    <row r="791" spans="1:18" x14ac:dyDescent="0.25">
      <c r="A791">
        <v>790</v>
      </c>
      <c r="B791">
        <v>10</v>
      </c>
      <c r="C791" t="str">
        <f>VLOOKUP(B791,'Cadastro Produtos'!A:E,2,2)</f>
        <v>Limonada Alfa com Hortelã Zero 1 L</v>
      </c>
      <c r="D791">
        <v>4</v>
      </c>
      <c r="E791" t="str">
        <f>VLOOKUP(D791,'Cadatro Clientes'!A:O,2,2)</f>
        <v>Limão Carioca e Cia</v>
      </c>
      <c r="F791" t="str">
        <f>VLOOKUP(D791,'Cadatro Clientes'!A:O,9,2)</f>
        <v>Sudeste</v>
      </c>
      <c r="G791" s="15">
        <v>41941</v>
      </c>
      <c r="H791">
        <f t="shared" si="61"/>
        <v>4</v>
      </c>
      <c r="I791">
        <f t="shared" si="62"/>
        <v>29</v>
      </c>
      <c r="J791">
        <f t="shared" si="63"/>
        <v>10</v>
      </c>
      <c r="K791">
        <f t="shared" si="64"/>
        <v>2014</v>
      </c>
      <c r="M791">
        <v>13</v>
      </c>
      <c r="N791" t="str">
        <f>VLOOKUP(M791,'Cadastro Vendedores'!A:H,2,2)</f>
        <v>Andre</v>
      </c>
      <c r="O791" s="2"/>
      <c r="P791" s="16">
        <v>1200</v>
      </c>
      <c r="Q791" s="2">
        <f>VLOOKUP(B791,'Cadastro Produtos'!A:F,5,2)</f>
        <v>21</v>
      </c>
      <c r="R791" s="14">
        <f t="shared" si="60"/>
        <v>25200</v>
      </c>
    </row>
    <row r="792" spans="1:18" x14ac:dyDescent="0.25">
      <c r="A792">
        <v>791</v>
      </c>
      <c r="B792">
        <v>8</v>
      </c>
      <c r="C792" t="str">
        <f>VLOOKUP(B792,'Cadastro Produtos'!A:E,2,2)</f>
        <v>Limonada Beta Zero 1 L</v>
      </c>
      <c r="D792">
        <v>4</v>
      </c>
      <c r="E792" t="str">
        <f>VLOOKUP(D792,'Cadatro Clientes'!A:O,2,2)</f>
        <v>Limão Carioca e Cia</v>
      </c>
      <c r="F792" t="str">
        <f>VLOOKUP(D792,'Cadatro Clientes'!A:O,9,2)</f>
        <v>Sudeste</v>
      </c>
      <c r="G792" s="15">
        <v>41942</v>
      </c>
      <c r="H792">
        <f t="shared" si="61"/>
        <v>5</v>
      </c>
      <c r="I792">
        <f t="shared" si="62"/>
        <v>30</v>
      </c>
      <c r="J792">
        <f t="shared" si="63"/>
        <v>10</v>
      </c>
      <c r="K792">
        <f t="shared" si="64"/>
        <v>2014</v>
      </c>
      <c r="M792">
        <v>8</v>
      </c>
      <c r="N792" t="str">
        <f>VLOOKUP(M792,'Cadastro Vendedores'!A:H,2,2)</f>
        <v>Sérgio</v>
      </c>
      <c r="O792" s="2"/>
      <c r="P792" s="16">
        <v>3500</v>
      </c>
      <c r="Q792" s="2">
        <f>VLOOKUP(B792,'Cadastro Produtos'!A:F,5,2)</f>
        <v>12</v>
      </c>
      <c r="R792" s="14">
        <f t="shared" si="60"/>
        <v>42000</v>
      </c>
    </row>
    <row r="793" spans="1:18" x14ac:dyDescent="0.25">
      <c r="A793">
        <v>792</v>
      </c>
      <c r="B793">
        <v>4</v>
      </c>
      <c r="C793" t="str">
        <f>VLOOKUP(B793,'Cadastro Produtos'!A:E,2,2)</f>
        <v>Limonada Beta Zero 500 ml</v>
      </c>
      <c r="D793">
        <v>6</v>
      </c>
      <c r="E793" t="str">
        <f>VLOOKUP(D793,'Cadatro Clientes'!A:O,2,2)</f>
        <v>Lemonade</v>
      </c>
      <c r="F793" t="str">
        <f>VLOOKUP(D793,'Cadatro Clientes'!A:O,9,2)</f>
        <v>Norte</v>
      </c>
      <c r="G793" s="15">
        <v>41942</v>
      </c>
      <c r="H793">
        <f t="shared" si="61"/>
        <v>5</v>
      </c>
      <c r="I793">
        <f t="shared" si="62"/>
        <v>30</v>
      </c>
      <c r="J793">
        <f t="shared" si="63"/>
        <v>10</v>
      </c>
      <c r="K793">
        <f t="shared" si="64"/>
        <v>2014</v>
      </c>
      <c r="M793">
        <v>3</v>
      </c>
      <c r="N793" t="str">
        <f>VLOOKUP(M793,'Cadastro Vendedores'!A:H,2,2)</f>
        <v>Antônia</v>
      </c>
      <c r="O793" s="2"/>
      <c r="P793" s="16">
        <v>6300</v>
      </c>
      <c r="Q793" s="2">
        <f>VLOOKUP(B793,'Cadastro Produtos'!A:F,5,2)</f>
        <v>7</v>
      </c>
      <c r="R793" s="14">
        <f t="shared" si="60"/>
        <v>44100</v>
      </c>
    </row>
    <row r="794" spans="1:18" x14ac:dyDescent="0.25">
      <c r="A794">
        <v>793</v>
      </c>
      <c r="B794">
        <v>8</v>
      </c>
      <c r="C794" t="str">
        <f>VLOOKUP(B794,'Cadastro Produtos'!A:E,2,2)</f>
        <v>Limonada Beta Zero 1 L</v>
      </c>
      <c r="D794">
        <v>14</v>
      </c>
      <c r="E794" t="str">
        <f>VLOOKUP(D794,'Cadatro Clientes'!A:O,2,2)</f>
        <v>Sprite</v>
      </c>
      <c r="F794" t="str">
        <f>VLOOKUP(D794,'Cadatro Clientes'!A:O,9,2)</f>
        <v>Norte</v>
      </c>
      <c r="G794" s="15">
        <v>41942</v>
      </c>
      <c r="H794">
        <f t="shared" si="61"/>
        <v>5</v>
      </c>
      <c r="I794">
        <f t="shared" si="62"/>
        <v>30</v>
      </c>
      <c r="J794">
        <f t="shared" si="63"/>
        <v>10</v>
      </c>
      <c r="K794">
        <f t="shared" si="64"/>
        <v>2014</v>
      </c>
      <c r="M794">
        <v>4</v>
      </c>
      <c r="N794" t="str">
        <f>VLOOKUP(M794,'Cadastro Vendedores'!A:H,2,2)</f>
        <v>José</v>
      </c>
      <c r="O794" s="2"/>
      <c r="P794" s="16">
        <v>1600</v>
      </c>
      <c r="Q794" s="2">
        <f>VLOOKUP(B794,'Cadastro Produtos'!A:F,5,2)</f>
        <v>12</v>
      </c>
      <c r="R794" s="14">
        <f t="shared" si="60"/>
        <v>19200</v>
      </c>
    </row>
    <row r="795" spans="1:18" x14ac:dyDescent="0.25">
      <c r="A795">
        <v>794</v>
      </c>
      <c r="B795">
        <v>4</v>
      </c>
      <c r="C795" t="str">
        <f>VLOOKUP(B795,'Cadastro Produtos'!A:E,2,2)</f>
        <v>Limonada Beta Zero 500 ml</v>
      </c>
      <c r="D795">
        <v>5</v>
      </c>
      <c r="E795" t="str">
        <f>VLOOKUP(D795,'Cadatro Clientes'!A:O,2,2)</f>
        <v>Axé com Limão</v>
      </c>
      <c r="F795" t="str">
        <f>VLOOKUP(D795,'Cadatro Clientes'!A:O,9,2)</f>
        <v>Nordeste</v>
      </c>
      <c r="G795" s="15">
        <v>41942</v>
      </c>
      <c r="H795">
        <f t="shared" si="61"/>
        <v>5</v>
      </c>
      <c r="I795">
        <f t="shared" si="62"/>
        <v>30</v>
      </c>
      <c r="J795">
        <f t="shared" si="63"/>
        <v>10</v>
      </c>
      <c r="K795">
        <f t="shared" si="64"/>
        <v>2014</v>
      </c>
      <c r="M795">
        <v>12</v>
      </c>
      <c r="N795" t="str">
        <f>VLOOKUP(M795,'Cadastro Vendedores'!A:H,2,2)</f>
        <v>Paulo</v>
      </c>
      <c r="O795" s="2"/>
      <c r="P795" s="16">
        <v>7000</v>
      </c>
      <c r="Q795" s="2">
        <f>VLOOKUP(B795,'Cadastro Produtos'!A:F,5,2)</f>
        <v>7</v>
      </c>
      <c r="R795" s="14">
        <f t="shared" si="60"/>
        <v>49000</v>
      </c>
    </row>
    <row r="796" spans="1:18" x14ac:dyDescent="0.25">
      <c r="A796">
        <v>795</v>
      </c>
      <c r="B796">
        <v>5</v>
      </c>
      <c r="C796" t="str">
        <f>VLOOKUP(B796,'Cadastro Produtos'!A:E,2,2)</f>
        <v>Limonada Alfa com Açúcar 1 L</v>
      </c>
      <c r="D796">
        <v>9</v>
      </c>
      <c r="E796" t="str">
        <f>VLOOKUP(D796,'Cadatro Clientes'!A:O,2,2)</f>
        <v>Fresh Lemon</v>
      </c>
      <c r="F796" t="str">
        <f>VLOOKUP(D796,'Cadatro Clientes'!A:O,9,2)</f>
        <v>Sudeste</v>
      </c>
      <c r="G796" s="15">
        <v>41943</v>
      </c>
      <c r="H796">
        <f t="shared" si="61"/>
        <v>6</v>
      </c>
      <c r="I796">
        <f t="shared" si="62"/>
        <v>31</v>
      </c>
      <c r="J796">
        <f t="shared" si="63"/>
        <v>10</v>
      </c>
      <c r="K796">
        <f t="shared" si="64"/>
        <v>2014</v>
      </c>
      <c r="M796">
        <v>9</v>
      </c>
      <c r="N796" t="str">
        <f>VLOOKUP(M796,'Cadastro Vendedores'!A:H,2,2)</f>
        <v>Adriana</v>
      </c>
      <c r="O796" s="2"/>
      <c r="P796" s="16">
        <v>3900</v>
      </c>
      <c r="Q796" s="2">
        <f>VLOOKUP(B796,'Cadastro Produtos'!A:F,5,2)</f>
        <v>15</v>
      </c>
      <c r="R796" s="14">
        <f t="shared" si="60"/>
        <v>58500</v>
      </c>
    </row>
    <row r="797" spans="1:18" x14ac:dyDescent="0.25">
      <c r="A797">
        <v>796</v>
      </c>
      <c r="B797">
        <v>9</v>
      </c>
      <c r="C797" t="str">
        <f>VLOOKUP(B797,'Cadastro Produtos'!A:E,2,2)</f>
        <v>Limonada Alfa com Hortelã e Açúcar 1 L</v>
      </c>
      <c r="D797">
        <v>13</v>
      </c>
      <c r="E797" t="str">
        <f>VLOOKUP(D797,'Cadatro Clientes'!A:O,2,2)</f>
        <v>Monster Lemon</v>
      </c>
      <c r="F797" t="str">
        <f>VLOOKUP(D797,'Cadatro Clientes'!A:O,9,2)</f>
        <v>Nordeste</v>
      </c>
      <c r="G797" s="15">
        <v>41943</v>
      </c>
      <c r="H797">
        <f t="shared" si="61"/>
        <v>6</v>
      </c>
      <c r="I797">
        <f t="shared" si="62"/>
        <v>31</v>
      </c>
      <c r="J797">
        <f t="shared" si="63"/>
        <v>10</v>
      </c>
      <c r="K797">
        <f t="shared" si="64"/>
        <v>2014</v>
      </c>
      <c r="M797">
        <v>4</v>
      </c>
      <c r="N797" t="str">
        <f>VLOOKUP(M797,'Cadastro Vendedores'!A:H,2,2)</f>
        <v>José</v>
      </c>
      <c r="O797" s="2"/>
      <c r="P797" s="16">
        <v>2000</v>
      </c>
      <c r="Q797" s="2">
        <f>VLOOKUP(B797,'Cadastro Produtos'!A:F,5,2)</f>
        <v>17.5</v>
      </c>
      <c r="R797" s="14">
        <f t="shared" si="60"/>
        <v>35000</v>
      </c>
    </row>
    <row r="798" spans="1:18" x14ac:dyDescent="0.25">
      <c r="A798">
        <v>797</v>
      </c>
      <c r="B798">
        <v>2</v>
      </c>
      <c r="C798" t="str">
        <f>VLOOKUP(B798,'Cadastro Produtos'!A:E,2,2)</f>
        <v>Limonada Beta com Açúcar 500 ml</v>
      </c>
      <c r="D798">
        <v>16</v>
      </c>
      <c r="E798" t="str">
        <f>VLOOKUP(D798,'Cadatro Clientes'!A:O,2,2)</f>
        <v>Norte Suco</v>
      </c>
      <c r="F798" t="str">
        <f>VLOOKUP(D798,'Cadatro Clientes'!A:O,9,2)</f>
        <v>Nordeste</v>
      </c>
      <c r="G798" s="15">
        <v>41943</v>
      </c>
      <c r="H798">
        <f t="shared" si="61"/>
        <v>6</v>
      </c>
      <c r="I798">
        <f t="shared" si="62"/>
        <v>31</v>
      </c>
      <c r="J798">
        <f t="shared" si="63"/>
        <v>10</v>
      </c>
      <c r="K798">
        <f t="shared" si="64"/>
        <v>2014</v>
      </c>
      <c r="M798">
        <v>4</v>
      </c>
      <c r="N798" t="str">
        <f>VLOOKUP(M798,'Cadastro Vendedores'!A:H,2,2)</f>
        <v>José</v>
      </c>
      <c r="O798" s="2"/>
      <c r="P798" s="16">
        <v>10400</v>
      </c>
      <c r="Q798" s="2">
        <f>VLOOKUP(B798,'Cadastro Produtos'!A:F,5,2)</f>
        <v>6.5</v>
      </c>
      <c r="R798" s="14">
        <f t="shared" si="60"/>
        <v>67600</v>
      </c>
    </row>
    <row r="799" spans="1:18" x14ac:dyDescent="0.25">
      <c r="A799">
        <v>798</v>
      </c>
      <c r="B799">
        <v>10</v>
      </c>
      <c r="C799" t="str">
        <f>VLOOKUP(B799,'Cadastro Produtos'!A:E,2,2)</f>
        <v>Limonada Alfa com Hortelã Zero 1 L</v>
      </c>
      <c r="D799">
        <v>7</v>
      </c>
      <c r="E799" t="str">
        <f>VLOOKUP(D799,'Cadatro Clientes'!A:O,2,2)</f>
        <v>Limo</v>
      </c>
      <c r="F799" t="str">
        <f>VLOOKUP(D799,'Cadatro Clientes'!A:O,9,2)</f>
        <v>Centro-Oeste</v>
      </c>
      <c r="G799" s="15">
        <v>41943</v>
      </c>
      <c r="H799">
        <f t="shared" si="61"/>
        <v>6</v>
      </c>
      <c r="I799">
        <f t="shared" si="62"/>
        <v>31</v>
      </c>
      <c r="J799">
        <f t="shared" si="63"/>
        <v>10</v>
      </c>
      <c r="K799">
        <f t="shared" si="64"/>
        <v>2014</v>
      </c>
      <c r="M799">
        <v>4</v>
      </c>
      <c r="N799" t="str">
        <f>VLOOKUP(M799,'Cadastro Vendedores'!A:H,2,2)</f>
        <v>José</v>
      </c>
      <c r="O799" s="2"/>
      <c r="P799" s="16">
        <v>1500</v>
      </c>
      <c r="Q799" s="2">
        <f>VLOOKUP(B799,'Cadastro Produtos'!A:F,5,2)</f>
        <v>21</v>
      </c>
      <c r="R799" s="14">
        <f t="shared" si="60"/>
        <v>31500</v>
      </c>
    </row>
    <row r="800" spans="1:18" x14ac:dyDescent="0.25">
      <c r="A800">
        <v>799</v>
      </c>
      <c r="B800">
        <v>5</v>
      </c>
      <c r="C800" t="str">
        <f>VLOOKUP(B800,'Cadastro Produtos'!A:E,2,2)</f>
        <v>Limonada Alfa com Açúcar 1 L</v>
      </c>
      <c r="D800">
        <v>20</v>
      </c>
      <c r="E800" t="str">
        <f>VLOOKUP(D800,'Cadatro Clientes'!A:O,2,2)</f>
        <v>Brasil Saúde</v>
      </c>
      <c r="F800" t="str">
        <f>VLOOKUP(D800,'Cadatro Clientes'!A:O,9,2)</f>
        <v>Nordeste</v>
      </c>
      <c r="G800" s="15">
        <v>41943</v>
      </c>
      <c r="H800">
        <f t="shared" si="61"/>
        <v>6</v>
      </c>
      <c r="I800">
        <f t="shared" si="62"/>
        <v>31</v>
      </c>
      <c r="J800">
        <f t="shared" si="63"/>
        <v>10</v>
      </c>
      <c r="K800">
        <f t="shared" si="64"/>
        <v>2014</v>
      </c>
      <c r="M800">
        <v>12</v>
      </c>
      <c r="N800" t="str">
        <f>VLOOKUP(M800,'Cadastro Vendedores'!A:H,2,2)</f>
        <v>Paulo</v>
      </c>
      <c r="O800" s="2"/>
      <c r="P800" s="16">
        <v>3900</v>
      </c>
      <c r="Q800" s="2">
        <f>VLOOKUP(B800,'Cadastro Produtos'!A:F,5,2)</f>
        <v>15</v>
      </c>
      <c r="R800" s="14">
        <f t="shared" si="60"/>
        <v>58500</v>
      </c>
    </row>
    <row r="801" spans="1:18" x14ac:dyDescent="0.25">
      <c r="A801">
        <v>800</v>
      </c>
      <c r="B801">
        <v>8</v>
      </c>
      <c r="C801" t="str">
        <f>VLOOKUP(B801,'Cadastro Produtos'!A:E,2,2)</f>
        <v>Limonada Beta Zero 1 L</v>
      </c>
      <c r="D801">
        <v>5</v>
      </c>
      <c r="E801" t="str">
        <f>VLOOKUP(D801,'Cadatro Clientes'!A:O,2,2)</f>
        <v>Axé com Limão</v>
      </c>
      <c r="F801" t="str">
        <f>VLOOKUP(D801,'Cadatro Clientes'!A:O,9,2)</f>
        <v>Nordeste</v>
      </c>
      <c r="G801" s="15">
        <v>41943</v>
      </c>
      <c r="H801">
        <f t="shared" si="61"/>
        <v>6</v>
      </c>
      <c r="I801">
        <f t="shared" si="62"/>
        <v>31</v>
      </c>
      <c r="J801">
        <f t="shared" si="63"/>
        <v>10</v>
      </c>
      <c r="K801">
        <f t="shared" si="64"/>
        <v>2014</v>
      </c>
      <c r="M801">
        <v>6</v>
      </c>
      <c r="N801" t="str">
        <f>VLOOKUP(M801,'Cadastro Vendedores'!A:H,2,2)</f>
        <v>Antônia</v>
      </c>
      <c r="O801" s="2"/>
      <c r="P801" s="16">
        <v>3900</v>
      </c>
      <c r="Q801" s="2">
        <f>VLOOKUP(B801,'Cadastro Produtos'!A:F,5,2)</f>
        <v>12</v>
      </c>
      <c r="R801" s="14">
        <f t="shared" si="60"/>
        <v>46800</v>
      </c>
    </row>
    <row r="802" spans="1:18" x14ac:dyDescent="0.25">
      <c r="A802">
        <v>801</v>
      </c>
      <c r="B802">
        <v>9</v>
      </c>
      <c r="C802" t="str">
        <f>VLOOKUP(B802,'Cadastro Produtos'!A:E,2,2)</f>
        <v>Limonada Alfa com Hortelã e Açúcar 1 L</v>
      </c>
      <c r="D802">
        <v>11</v>
      </c>
      <c r="E802" t="str">
        <f>VLOOKUP(D802,'Cadatro Clientes'!A:O,2,2)</f>
        <v>Red Lemon</v>
      </c>
      <c r="F802" t="str">
        <f>VLOOKUP(D802,'Cadatro Clientes'!A:O,9,2)</f>
        <v>Sul</v>
      </c>
      <c r="G802" s="15">
        <v>41943</v>
      </c>
      <c r="H802">
        <f t="shared" si="61"/>
        <v>6</v>
      </c>
      <c r="I802">
        <f t="shared" si="62"/>
        <v>31</v>
      </c>
      <c r="J802">
        <f t="shared" si="63"/>
        <v>10</v>
      </c>
      <c r="K802">
        <f t="shared" si="64"/>
        <v>2014</v>
      </c>
      <c r="M802">
        <v>9</v>
      </c>
      <c r="N802" t="str">
        <f>VLOOKUP(M802,'Cadastro Vendedores'!A:H,2,2)</f>
        <v>Adriana</v>
      </c>
      <c r="O802" s="2"/>
      <c r="P802" s="16">
        <v>2400</v>
      </c>
      <c r="Q802" s="2">
        <f>VLOOKUP(B802,'Cadastro Produtos'!A:F,5,2)</f>
        <v>17.5</v>
      </c>
      <c r="R802" s="14">
        <f t="shared" si="60"/>
        <v>42000</v>
      </c>
    </row>
    <row r="803" spans="1:18" x14ac:dyDescent="0.25">
      <c r="A803">
        <v>802</v>
      </c>
      <c r="B803">
        <v>8</v>
      </c>
      <c r="C803" t="str">
        <f>VLOOKUP(B803,'Cadastro Produtos'!A:E,2,2)</f>
        <v>Limonada Beta Zero 1 L</v>
      </c>
      <c r="D803">
        <v>18</v>
      </c>
      <c r="E803" t="str">
        <f>VLOOKUP(D803,'Cadatro Clientes'!A:O,2,2)</f>
        <v>Rio Branco Limonada Ltda</v>
      </c>
      <c r="F803" t="str">
        <f>VLOOKUP(D803,'Cadatro Clientes'!A:O,9,2)</f>
        <v>Norte</v>
      </c>
      <c r="G803" s="15">
        <v>41944</v>
      </c>
      <c r="H803">
        <f t="shared" si="61"/>
        <v>7</v>
      </c>
      <c r="I803">
        <f t="shared" si="62"/>
        <v>1</v>
      </c>
      <c r="J803">
        <f t="shared" si="63"/>
        <v>11</v>
      </c>
      <c r="K803">
        <f t="shared" si="64"/>
        <v>2014</v>
      </c>
      <c r="M803">
        <v>4</v>
      </c>
      <c r="N803" t="str">
        <f>VLOOKUP(M803,'Cadastro Vendedores'!A:H,2,2)</f>
        <v>José</v>
      </c>
      <c r="O803" s="2"/>
      <c r="P803" s="16">
        <v>3500</v>
      </c>
      <c r="Q803" s="2">
        <f>VLOOKUP(B803,'Cadastro Produtos'!A:F,5,2)</f>
        <v>12</v>
      </c>
      <c r="R803" s="14">
        <f t="shared" si="60"/>
        <v>42000</v>
      </c>
    </row>
    <row r="804" spans="1:18" x14ac:dyDescent="0.25">
      <c r="A804">
        <v>803</v>
      </c>
      <c r="B804">
        <v>5</v>
      </c>
      <c r="C804" t="str">
        <f>VLOOKUP(B804,'Cadastro Produtos'!A:E,2,2)</f>
        <v>Limonada Alfa com Açúcar 1 L</v>
      </c>
      <c r="D804">
        <v>13</v>
      </c>
      <c r="E804" t="str">
        <f>VLOOKUP(D804,'Cadatro Clientes'!A:O,2,2)</f>
        <v>Monster Lemon</v>
      </c>
      <c r="F804" t="str">
        <f>VLOOKUP(D804,'Cadatro Clientes'!A:O,9,2)</f>
        <v>Nordeste</v>
      </c>
      <c r="G804" s="15">
        <v>41944</v>
      </c>
      <c r="H804">
        <f t="shared" si="61"/>
        <v>7</v>
      </c>
      <c r="I804">
        <f t="shared" si="62"/>
        <v>1</v>
      </c>
      <c r="J804">
        <f t="shared" si="63"/>
        <v>11</v>
      </c>
      <c r="K804">
        <f t="shared" si="64"/>
        <v>2014</v>
      </c>
      <c r="M804">
        <v>6</v>
      </c>
      <c r="N804" t="str">
        <f>VLOOKUP(M804,'Cadastro Vendedores'!A:H,2,2)</f>
        <v>Antônia</v>
      </c>
      <c r="O804" s="2"/>
      <c r="P804" s="16">
        <v>3300</v>
      </c>
      <c r="Q804" s="2">
        <f>VLOOKUP(B804,'Cadastro Produtos'!A:F,5,2)</f>
        <v>15</v>
      </c>
      <c r="R804" s="14">
        <f t="shared" si="60"/>
        <v>49500</v>
      </c>
    </row>
    <row r="805" spans="1:18" x14ac:dyDescent="0.25">
      <c r="A805">
        <v>804</v>
      </c>
      <c r="B805">
        <v>2</v>
      </c>
      <c r="C805" t="str">
        <f>VLOOKUP(B805,'Cadastro Produtos'!A:E,2,2)</f>
        <v>Limonada Beta com Açúcar 500 ml</v>
      </c>
      <c r="D805">
        <v>7</v>
      </c>
      <c r="E805" t="str">
        <f>VLOOKUP(D805,'Cadatro Clientes'!A:O,2,2)</f>
        <v>Limo</v>
      </c>
      <c r="F805" t="str">
        <f>VLOOKUP(D805,'Cadatro Clientes'!A:O,9,2)</f>
        <v>Centro-Oeste</v>
      </c>
      <c r="G805" s="15">
        <v>41944</v>
      </c>
      <c r="H805">
        <f t="shared" si="61"/>
        <v>7</v>
      </c>
      <c r="I805">
        <f t="shared" si="62"/>
        <v>1</v>
      </c>
      <c r="J805">
        <f t="shared" si="63"/>
        <v>11</v>
      </c>
      <c r="K805">
        <f t="shared" si="64"/>
        <v>2014</v>
      </c>
      <c r="M805">
        <v>9</v>
      </c>
      <c r="N805" t="str">
        <f>VLOOKUP(M805,'Cadastro Vendedores'!A:H,2,2)</f>
        <v>Adriana</v>
      </c>
      <c r="O805" s="2"/>
      <c r="P805" s="16">
        <v>4800</v>
      </c>
      <c r="Q805" s="2">
        <f>VLOOKUP(B805,'Cadastro Produtos'!A:F,5,2)</f>
        <v>6.5</v>
      </c>
      <c r="R805" s="14">
        <f t="shared" si="60"/>
        <v>31200</v>
      </c>
    </row>
    <row r="806" spans="1:18" x14ac:dyDescent="0.25">
      <c r="A806">
        <v>805</v>
      </c>
      <c r="B806">
        <v>4</v>
      </c>
      <c r="C806" t="str">
        <f>VLOOKUP(B806,'Cadastro Produtos'!A:E,2,2)</f>
        <v>Limonada Beta Zero 500 ml</v>
      </c>
      <c r="D806">
        <v>13</v>
      </c>
      <c r="E806" t="str">
        <f>VLOOKUP(D806,'Cadatro Clientes'!A:O,2,2)</f>
        <v>Monster Lemon</v>
      </c>
      <c r="F806" t="str">
        <f>VLOOKUP(D806,'Cadatro Clientes'!A:O,9,2)</f>
        <v>Nordeste</v>
      </c>
      <c r="G806" s="15">
        <v>41945</v>
      </c>
      <c r="H806">
        <f t="shared" si="61"/>
        <v>1</v>
      </c>
      <c r="I806">
        <f t="shared" si="62"/>
        <v>2</v>
      </c>
      <c r="J806">
        <f t="shared" si="63"/>
        <v>11</v>
      </c>
      <c r="K806">
        <f t="shared" si="64"/>
        <v>2014</v>
      </c>
      <c r="M806">
        <v>4</v>
      </c>
      <c r="N806" t="str">
        <f>VLOOKUP(M806,'Cadastro Vendedores'!A:H,2,2)</f>
        <v>José</v>
      </c>
      <c r="O806" s="2"/>
      <c r="P806" s="16">
        <v>8900</v>
      </c>
      <c r="Q806" s="2">
        <f>VLOOKUP(B806,'Cadastro Produtos'!A:F,5,2)</f>
        <v>7</v>
      </c>
      <c r="R806" s="14">
        <f t="shared" si="60"/>
        <v>62300</v>
      </c>
    </row>
    <row r="807" spans="1:18" x14ac:dyDescent="0.25">
      <c r="A807">
        <v>806</v>
      </c>
      <c r="B807">
        <v>1</v>
      </c>
      <c r="C807" t="str">
        <f>VLOOKUP(B807,'Cadastro Produtos'!A:E,2,2)</f>
        <v>Limonada Alfa com Açúcar 500 ml</v>
      </c>
      <c r="D807">
        <v>20</v>
      </c>
      <c r="E807" t="str">
        <f>VLOOKUP(D807,'Cadatro Clientes'!A:O,2,2)</f>
        <v>Brasil Saúde</v>
      </c>
      <c r="F807" t="str">
        <f>VLOOKUP(D807,'Cadatro Clientes'!A:O,9,2)</f>
        <v>Nordeste</v>
      </c>
      <c r="G807" s="15">
        <v>41945</v>
      </c>
      <c r="H807">
        <f t="shared" si="61"/>
        <v>1</v>
      </c>
      <c r="I807">
        <f t="shared" si="62"/>
        <v>2</v>
      </c>
      <c r="J807">
        <f t="shared" si="63"/>
        <v>11</v>
      </c>
      <c r="K807">
        <f t="shared" si="64"/>
        <v>2014</v>
      </c>
      <c r="M807">
        <v>8</v>
      </c>
      <c r="N807" t="str">
        <f>VLOOKUP(M807,'Cadastro Vendedores'!A:H,2,2)</f>
        <v>Sérgio</v>
      </c>
      <c r="O807" s="2"/>
      <c r="P807" s="16">
        <v>5700</v>
      </c>
      <c r="Q807" s="2">
        <f>VLOOKUP(B807,'Cadastro Produtos'!A:F,5,2)</f>
        <v>8.5</v>
      </c>
      <c r="R807" s="14">
        <f t="shared" si="60"/>
        <v>48450</v>
      </c>
    </row>
    <row r="808" spans="1:18" x14ac:dyDescent="0.25">
      <c r="A808">
        <v>807</v>
      </c>
      <c r="B808">
        <v>8</v>
      </c>
      <c r="C808" t="str">
        <f>VLOOKUP(B808,'Cadastro Produtos'!A:E,2,2)</f>
        <v>Limonada Beta Zero 1 L</v>
      </c>
      <c r="D808">
        <v>14</v>
      </c>
      <c r="E808" t="str">
        <f>VLOOKUP(D808,'Cadatro Clientes'!A:O,2,2)</f>
        <v>Sprite</v>
      </c>
      <c r="F808" t="str">
        <f>VLOOKUP(D808,'Cadatro Clientes'!A:O,9,2)</f>
        <v>Norte</v>
      </c>
      <c r="G808" s="15">
        <v>41945</v>
      </c>
      <c r="H808">
        <f t="shared" si="61"/>
        <v>1</v>
      </c>
      <c r="I808">
        <f t="shared" si="62"/>
        <v>2</v>
      </c>
      <c r="J808">
        <f t="shared" si="63"/>
        <v>11</v>
      </c>
      <c r="K808">
        <f t="shared" si="64"/>
        <v>2014</v>
      </c>
      <c r="M808">
        <v>2</v>
      </c>
      <c r="N808" t="str">
        <f>VLOOKUP(M808,'Cadastro Vendedores'!A:H,2,2)</f>
        <v>Luis</v>
      </c>
      <c r="O808" s="2"/>
      <c r="P808" s="16">
        <v>5100</v>
      </c>
      <c r="Q808" s="2">
        <f>VLOOKUP(B808,'Cadastro Produtos'!A:F,5,2)</f>
        <v>12</v>
      </c>
      <c r="R808" s="14">
        <f t="shared" si="60"/>
        <v>61200</v>
      </c>
    </row>
    <row r="809" spans="1:18" x14ac:dyDescent="0.25">
      <c r="A809">
        <v>808</v>
      </c>
      <c r="B809">
        <v>1</v>
      </c>
      <c r="C809" t="str">
        <f>VLOOKUP(B809,'Cadastro Produtos'!A:E,2,2)</f>
        <v>Limonada Alfa com Açúcar 500 ml</v>
      </c>
      <c r="D809">
        <v>14</v>
      </c>
      <c r="E809" t="str">
        <f>VLOOKUP(D809,'Cadatro Clientes'!A:O,2,2)</f>
        <v>Sprite</v>
      </c>
      <c r="F809" t="str">
        <f>VLOOKUP(D809,'Cadatro Clientes'!A:O,9,2)</f>
        <v>Norte</v>
      </c>
      <c r="G809" s="15">
        <v>41946</v>
      </c>
      <c r="H809">
        <f t="shared" si="61"/>
        <v>2</v>
      </c>
      <c r="I809">
        <f t="shared" si="62"/>
        <v>3</v>
      </c>
      <c r="J809">
        <f t="shared" si="63"/>
        <v>11</v>
      </c>
      <c r="K809">
        <f t="shared" si="64"/>
        <v>2014</v>
      </c>
      <c r="M809">
        <v>6</v>
      </c>
      <c r="N809" t="str">
        <f>VLOOKUP(M809,'Cadastro Vendedores'!A:H,2,2)</f>
        <v>Antônia</v>
      </c>
      <c r="O809" s="2"/>
      <c r="P809" s="16">
        <v>4000</v>
      </c>
      <c r="Q809" s="2">
        <f>VLOOKUP(B809,'Cadastro Produtos'!A:F,5,2)</f>
        <v>8.5</v>
      </c>
      <c r="R809" s="14">
        <f t="shared" si="60"/>
        <v>34000</v>
      </c>
    </row>
    <row r="810" spans="1:18" x14ac:dyDescent="0.25">
      <c r="A810">
        <v>809</v>
      </c>
      <c r="B810">
        <v>6</v>
      </c>
      <c r="C810" t="str">
        <f>VLOOKUP(B810,'Cadastro Produtos'!A:E,2,2)</f>
        <v>Limonada Beta com Açúcar 1 L</v>
      </c>
      <c r="D810">
        <v>4</v>
      </c>
      <c r="E810" t="str">
        <f>VLOOKUP(D810,'Cadatro Clientes'!A:O,2,2)</f>
        <v>Limão Carioca e Cia</v>
      </c>
      <c r="F810" t="str">
        <f>VLOOKUP(D810,'Cadatro Clientes'!A:O,9,2)</f>
        <v>Sudeste</v>
      </c>
      <c r="G810" s="15">
        <v>41946</v>
      </c>
      <c r="H810">
        <f t="shared" si="61"/>
        <v>2</v>
      </c>
      <c r="I810">
        <f t="shared" si="62"/>
        <v>3</v>
      </c>
      <c r="J810">
        <f t="shared" si="63"/>
        <v>11</v>
      </c>
      <c r="K810">
        <f t="shared" si="64"/>
        <v>2014</v>
      </c>
      <c r="M810">
        <v>4</v>
      </c>
      <c r="N810" t="str">
        <f>VLOOKUP(M810,'Cadastro Vendedores'!A:H,2,2)</f>
        <v>José</v>
      </c>
      <c r="O810" s="2"/>
      <c r="P810" s="16">
        <v>5000</v>
      </c>
      <c r="Q810" s="2">
        <f>VLOOKUP(B810,'Cadastro Produtos'!A:F,5,2)</f>
        <v>12</v>
      </c>
      <c r="R810" s="14">
        <f t="shared" si="60"/>
        <v>60000</v>
      </c>
    </row>
    <row r="811" spans="1:18" x14ac:dyDescent="0.25">
      <c r="A811">
        <v>810</v>
      </c>
      <c r="B811">
        <v>10</v>
      </c>
      <c r="C811" t="str">
        <f>VLOOKUP(B811,'Cadastro Produtos'!A:E,2,2)</f>
        <v>Limonada Alfa com Hortelã Zero 1 L</v>
      </c>
      <c r="D811">
        <v>2</v>
      </c>
      <c r="E811" t="str">
        <f>VLOOKUP(D811,'Cadatro Clientes'!A:O,2,2)</f>
        <v>Limão S/A</v>
      </c>
      <c r="F811" t="str">
        <f>VLOOKUP(D811,'Cadatro Clientes'!A:O,9,2)</f>
        <v>Centro-Oeste</v>
      </c>
      <c r="G811" s="15">
        <v>41946</v>
      </c>
      <c r="H811">
        <f t="shared" si="61"/>
        <v>2</v>
      </c>
      <c r="I811">
        <f t="shared" si="62"/>
        <v>3</v>
      </c>
      <c r="J811">
        <f t="shared" si="63"/>
        <v>11</v>
      </c>
      <c r="K811">
        <f t="shared" si="64"/>
        <v>2014</v>
      </c>
      <c r="M811">
        <v>4</v>
      </c>
      <c r="N811" t="str">
        <f>VLOOKUP(M811,'Cadastro Vendedores'!A:H,2,2)</f>
        <v>José</v>
      </c>
      <c r="O811" s="2"/>
      <c r="P811" s="16">
        <v>1900</v>
      </c>
      <c r="Q811" s="2">
        <f>VLOOKUP(B811,'Cadastro Produtos'!A:F,5,2)</f>
        <v>21</v>
      </c>
      <c r="R811" s="14">
        <f t="shared" si="60"/>
        <v>39900</v>
      </c>
    </row>
    <row r="812" spans="1:18" x14ac:dyDescent="0.25">
      <c r="A812">
        <v>811</v>
      </c>
      <c r="B812">
        <v>10</v>
      </c>
      <c r="C812" t="str">
        <f>VLOOKUP(B812,'Cadastro Produtos'!A:E,2,2)</f>
        <v>Limonada Alfa com Hortelã Zero 1 L</v>
      </c>
      <c r="D812">
        <v>11</v>
      </c>
      <c r="E812" t="str">
        <f>VLOOKUP(D812,'Cadatro Clientes'!A:O,2,2)</f>
        <v>Red Lemon</v>
      </c>
      <c r="F812" t="str">
        <f>VLOOKUP(D812,'Cadatro Clientes'!A:O,9,2)</f>
        <v>Sul</v>
      </c>
      <c r="G812" s="15">
        <v>41946</v>
      </c>
      <c r="H812">
        <f t="shared" si="61"/>
        <v>2</v>
      </c>
      <c r="I812">
        <f t="shared" si="62"/>
        <v>3</v>
      </c>
      <c r="J812">
        <f t="shared" si="63"/>
        <v>11</v>
      </c>
      <c r="K812">
        <f t="shared" si="64"/>
        <v>2014</v>
      </c>
      <c r="M812">
        <v>6</v>
      </c>
      <c r="N812" t="str">
        <f>VLOOKUP(M812,'Cadastro Vendedores'!A:H,2,2)</f>
        <v>Antônia</v>
      </c>
      <c r="O812" s="2"/>
      <c r="P812" s="16">
        <v>1800</v>
      </c>
      <c r="Q812" s="2">
        <f>VLOOKUP(B812,'Cadastro Produtos'!A:F,5,2)</f>
        <v>21</v>
      </c>
      <c r="R812" s="14">
        <f t="shared" si="60"/>
        <v>37800</v>
      </c>
    </row>
    <row r="813" spans="1:18" x14ac:dyDescent="0.25">
      <c r="A813">
        <v>812</v>
      </c>
      <c r="B813">
        <v>4</v>
      </c>
      <c r="C813" t="str">
        <f>VLOOKUP(B813,'Cadastro Produtos'!A:E,2,2)</f>
        <v>Limonada Beta Zero 500 ml</v>
      </c>
      <c r="D813">
        <v>20</v>
      </c>
      <c r="E813" t="str">
        <f>VLOOKUP(D813,'Cadatro Clientes'!A:O,2,2)</f>
        <v>Brasil Saúde</v>
      </c>
      <c r="F813" t="str">
        <f>VLOOKUP(D813,'Cadatro Clientes'!A:O,9,2)</f>
        <v>Nordeste</v>
      </c>
      <c r="G813" s="15">
        <v>41947</v>
      </c>
      <c r="H813">
        <f t="shared" si="61"/>
        <v>3</v>
      </c>
      <c r="I813">
        <f t="shared" si="62"/>
        <v>4</v>
      </c>
      <c r="J813">
        <f t="shared" si="63"/>
        <v>11</v>
      </c>
      <c r="K813">
        <f t="shared" si="64"/>
        <v>2014</v>
      </c>
      <c r="M813">
        <v>2</v>
      </c>
      <c r="N813" t="str">
        <f>VLOOKUP(M813,'Cadastro Vendedores'!A:H,2,2)</f>
        <v>Luis</v>
      </c>
      <c r="O813" s="2"/>
      <c r="P813" s="16">
        <v>5300</v>
      </c>
      <c r="Q813" s="2">
        <f>VLOOKUP(B813,'Cadastro Produtos'!A:F,5,2)</f>
        <v>7</v>
      </c>
      <c r="R813" s="14">
        <f t="shared" si="60"/>
        <v>37100</v>
      </c>
    </row>
    <row r="814" spans="1:18" x14ac:dyDescent="0.25">
      <c r="A814">
        <v>813</v>
      </c>
      <c r="B814">
        <v>9</v>
      </c>
      <c r="C814" t="str">
        <f>VLOOKUP(B814,'Cadastro Produtos'!A:E,2,2)</f>
        <v>Limonada Alfa com Hortelã e Açúcar 1 L</v>
      </c>
      <c r="D814">
        <v>6</v>
      </c>
      <c r="E814" t="str">
        <f>VLOOKUP(D814,'Cadatro Clientes'!A:O,2,2)</f>
        <v>Lemonade</v>
      </c>
      <c r="F814" t="str">
        <f>VLOOKUP(D814,'Cadatro Clientes'!A:O,9,2)</f>
        <v>Norte</v>
      </c>
      <c r="G814" s="15">
        <v>41947</v>
      </c>
      <c r="H814">
        <f t="shared" si="61"/>
        <v>3</v>
      </c>
      <c r="I814">
        <f t="shared" si="62"/>
        <v>4</v>
      </c>
      <c r="J814">
        <f t="shared" si="63"/>
        <v>11</v>
      </c>
      <c r="K814">
        <f t="shared" si="64"/>
        <v>2014</v>
      </c>
      <c r="M814">
        <v>4</v>
      </c>
      <c r="N814" t="str">
        <f>VLOOKUP(M814,'Cadastro Vendedores'!A:H,2,2)</f>
        <v>José</v>
      </c>
      <c r="O814" s="2"/>
      <c r="P814" s="16">
        <v>2700</v>
      </c>
      <c r="Q814" s="2">
        <f>VLOOKUP(B814,'Cadastro Produtos'!A:F,5,2)</f>
        <v>17.5</v>
      </c>
      <c r="R814" s="14">
        <f t="shared" si="60"/>
        <v>47250</v>
      </c>
    </row>
    <row r="815" spans="1:18" x14ac:dyDescent="0.25">
      <c r="A815">
        <v>814</v>
      </c>
      <c r="B815">
        <v>9</v>
      </c>
      <c r="C815" t="str">
        <f>VLOOKUP(B815,'Cadastro Produtos'!A:E,2,2)</f>
        <v>Limonada Alfa com Hortelã e Açúcar 1 L</v>
      </c>
      <c r="D815">
        <v>13</v>
      </c>
      <c r="E815" t="str">
        <f>VLOOKUP(D815,'Cadatro Clientes'!A:O,2,2)</f>
        <v>Monster Lemon</v>
      </c>
      <c r="F815" t="str">
        <f>VLOOKUP(D815,'Cadatro Clientes'!A:O,9,2)</f>
        <v>Nordeste</v>
      </c>
      <c r="G815" s="15">
        <v>41947</v>
      </c>
      <c r="H815">
        <f t="shared" si="61"/>
        <v>3</v>
      </c>
      <c r="I815">
        <f t="shared" si="62"/>
        <v>4</v>
      </c>
      <c r="J815">
        <f t="shared" si="63"/>
        <v>11</v>
      </c>
      <c r="K815">
        <f t="shared" si="64"/>
        <v>2014</v>
      </c>
      <c r="M815">
        <v>12</v>
      </c>
      <c r="N815" t="str">
        <f>VLOOKUP(M815,'Cadastro Vendedores'!A:H,2,2)</f>
        <v>Paulo</v>
      </c>
      <c r="O815" s="2"/>
      <c r="P815" s="16">
        <v>2800</v>
      </c>
      <c r="Q815" s="2">
        <f>VLOOKUP(B815,'Cadastro Produtos'!A:F,5,2)</f>
        <v>17.5</v>
      </c>
      <c r="R815" s="14">
        <f t="shared" si="60"/>
        <v>49000</v>
      </c>
    </row>
    <row r="816" spans="1:18" x14ac:dyDescent="0.25">
      <c r="A816">
        <v>815</v>
      </c>
      <c r="B816">
        <v>2</v>
      </c>
      <c r="C816" t="str">
        <f>VLOOKUP(B816,'Cadastro Produtos'!A:E,2,2)</f>
        <v>Limonada Beta com Açúcar 500 ml</v>
      </c>
      <c r="D816">
        <v>17</v>
      </c>
      <c r="E816" t="str">
        <f>VLOOKUP(D816,'Cadatro Clientes'!A:O,2,2)</f>
        <v>Aracasuco</v>
      </c>
      <c r="F816" t="str">
        <f>VLOOKUP(D816,'Cadatro Clientes'!A:O,9,2)</f>
        <v>Nordeste</v>
      </c>
      <c r="G816" s="15">
        <v>41947</v>
      </c>
      <c r="H816">
        <f t="shared" si="61"/>
        <v>3</v>
      </c>
      <c r="I816">
        <f t="shared" si="62"/>
        <v>4</v>
      </c>
      <c r="J816">
        <f t="shared" si="63"/>
        <v>11</v>
      </c>
      <c r="K816">
        <f t="shared" si="64"/>
        <v>2014</v>
      </c>
      <c r="M816">
        <v>3</v>
      </c>
      <c r="N816" t="str">
        <f>VLOOKUP(M816,'Cadastro Vendedores'!A:H,2,2)</f>
        <v>Antônia</v>
      </c>
      <c r="O816" s="2"/>
      <c r="P816" s="16">
        <v>5200</v>
      </c>
      <c r="Q816" s="2">
        <f>VLOOKUP(B816,'Cadastro Produtos'!A:F,5,2)</f>
        <v>6.5</v>
      </c>
      <c r="R816" s="14">
        <f t="shared" si="60"/>
        <v>33800</v>
      </c>
    </row>
    <row r="817" spans="1:18" x14ac:dyDescent="0.25">
      <c r="A817">
        <v>816</v>
      </c>
      <c r="B817">
        <v>2</v>
      </c>
      <c r="C817" t="str">
        <f>VLOOKUP(B817,'Cadastro Produtos'!A:E,2,2)</f>
        <v>Limonada Beta com Açúcar 500 ml</v>
      </c>
      <c r="D817">
        <v>8</v>
      </c>
      <c r="E817" t="str">
        <f>VLOOKUP(D817,'Cadatro Clientes'!A:O,2,2)</f>
        <v>Refresko</v>
      </c>
      <c r="F817" t="str">
        <f>VLOOKUP(D817,'Cadatro Clientes'!A:O,9,2)</f>
        <v>Sul</v>
      </c>
      <c r="G817" s="15">
        <v>41948</v>
      </c>
      <c r="H817">
        <f t="shared" si="61"/>
        <v>4</v>
      </c>
      <c r="I817">
        <f t="shared" si="62"/>
        <v>5</v>
      </c>
      <c r="J817">
        <f t="shared" si="63"/>
        <v>11</v>
      </c>
      <c r="K817">
        <f t="shared" si="64"/>
        <v>2014</v>
      </c>
      <c r="M817">
        <v>7</v>
      </c>
      <c r="N817" t="str">
        <f>VLOOKUP(M817,'Cadastro Vendedores'!A:H,2,2)</f>
        <v>Benedito</v>
      </c>
      <c r="O817" s="2"/>
      <c r="P817" s="16">
        <v>8400</v>
      </c>
      <c r="Q817" s="2">
        <f>VLOOKUP(B817,'Cadastro Produtos'!A:F,5,2)</f>
        <v>6.5</v>
      </c>
      <c r="R817" s="14">
        <f t="shared" si="60"/>
        <v>54600</v>
      </c>
    </row>
    <row r="818" spans="1:18" x14ac:dyDescent="0.25">
      <c r="A818">
        <v>817</v>
      </c>
      <c r="B818">
        <v>5</v>
      </c>
      <c r="C818" t="str">
        <f>VLOOKUP(B818,'Cadastro Produtos'!A:E,2,2)</f>
        <v>Limonada Alfa com Açúcar 1 L</v>
      </c>
      <c r="D818">
        <v>19</v>
      </c>
      <c r="E818" t="str">
        <f>VLOOKUP(D818,'Cadatro Clientes'!A:O,2,2)</f>
        <v>Lima Limão</v>
      </c>
      <c r="F818" t="str">
        <f>VLOOKUP(D818,'Cadatro Clientes'!A:O,9,2)</f>
        <v>Sudeste</v>
      </c>
      <c r="G818" s="15">
        <v>41948</v>
      </c>
      <c r="H818">
        <f t="shared" si="61"/>
        <v>4</v>
      </c>
      <c r="I818">
        <f t="shared" si="62"/>
        <v>5</v>
      </c>
      <c r="J818">
        <f t="shared" si="63"/>
        <v>11</v>
      </c>
      <c r="K818">
        <f t="shared" si="64"/>
        <v>2014</v>
      </c>
      <c r="M818">
        <v>12</v>
      </c>
      <c r="N818" t="str">
        <f>VLOOKUP(M818,'Cadastro Vendedores'!A:H,2,2)</f>
        <v>Paulo</v>
      </c>
      <c r="O818" s="2"/>
      <c r="P818" s="16">
        <v>3700</v>
      </c>
      <c r="Q818" s="2">
        <f>VLOOKUP(B818,'Cadastro Produtos'!A:F,5,2)</f>
        <v>15</v>
      </c>
      <c r="R818" s="14">
        <f t="shared" si="60"/>
        <v>55500</v>
      </c>
    </row>
    <row r="819" spans="1:18" x14ac:dyDescent="0.25">
      <c r="A819">
        <v>818</v>
      </c>
      <c r="B819">
        <v>1</v>
      </c>
      <c r="C819" t="str">
        <f>VLOOKUP(B819,'Cadastro Produtos'!A:E,2,2)</f>
        <v>Limonada Alfa com Açúcar 500 ml</v>
      </c>
      <c r="D819">
        <v>20</v>
      </c>
      <c r="E819" t="str">
        <f>VLOOKUP(D819,'Cadatro Clientes'!A:O,2,2)</f>
        <v>Brasil Saúde</v>
      </c>
      <c r="F819" t="str">
        <f>VLOOKUP(D819,'Cadatro Clientes'!A:O,9,2)</f>
        <v>Nordeste</v>
      </c>
      <c r="G819" s="15">
        <v>41948</v>
      </c>
      <c r="H819">
        <f t="shared" si="61"/>
        <v>4</v>
      </c>
      <c r="I819">
        <f t="shared" si="62"/>
        <v>5</v>
      </c>
      <c r="J819">
        <f t="shared" si="63"/>
        <v>11</v>
      </c>
      <c r="K819">
        <f t="shared" si="64"/>
        <v>2014</v>
      </c>
      <c r="M819">
        <v>4</v>
      </c>
      <c r="N819" t="str">
        <f>VLOOKUP(M819,'Cadastro Vendedores'!A:H,2,2)</f>
        <v>José</v>
      </c>
      <c r="O819" s="2"/>
      <c r="P819" s="16">
        <v>3700</v>
      </c>
      <c r="Q819" s="2">
        <f>VLOOKUP(B819,'Cadastro Produtos'!A:F,5,2)</f>
        <v>8.5</v>
      </c>
      <c r="R819" s="14">
        <f t="shared" si="60"/>
        <v>31450</v>
      </c>
    </row>
    <row r="820" spans="1:18" x14ac:dyDescent="0.25">
      <c r="A820">
        <v>819</v>
      </c>
      <c r="B820">
        <v>1</v>
      </c>
      <c r="C820" t="str">
        <f>VLOOKUP(B820,'Cadastro Produtos'!A:E,2,2)</f>
        <v>Limonada Alfa com Açúcar 500 ml</v>
      </c>
      <c r="D820">
        <v>7</v>
      </c>
      <c r="E820" t="str">
        <f>VLOOKUP(D820,'Cadatro Clientes'!A:O,2,2)</f>
        <v>Limo</v>
      </c>
      <c r="F820" t="str">
        <f>VLOOKUP(D820,'Cadatro Clientes'!A:O,9,2)</f>
        <v>Centro-Oeste</v>
      </c>
      <c r="G820" s="15">
        <v>41949</v>
      </c>
      <c r="H820">
        <f t="shared" si="61"/>
        <v>5</v>
      </c>
      <c r="I820">
        <f t="shared" si="62"/>
        <v>6</v>
      </c>
      <c r="J820">
        <f t="shared" si="63"/>
        <v>11</v>
      </c>
      <c r="K820">
        <f t="shared" si="64"/>
        <v>2014</v>
      </c>
      <c r="M820">
        <v>4</v>
      </c>
      <c r="N820" t="str">
        <f>VLOOKUP(M820,'Cadastro Vendedores'!A:H,2,2)</f>
        <v>José</v>
      </c>
      <c r="O820" s="2"/>
      <c r="P820" s="16">
        <v>5300</v>
      </c>
      <c r="Q820" s="2">
        <f>VLOOKUP(B820,'Cadastro Produtos'!A:F,5,2)</f>
        <v>8.5</v>
      </c>
      <c r="R820" s="14">
        <f t="shared" si="60"/>
        <v>45050</v>
      </c>
    </row>
    <row r="821" spans="1:18" x14ac:dyDescent="0.25">
      <c r="A821">
        <v>820</v>
      </c>
      <c r="B821">
        <v>4</v>
      </c>
      <c r="C821" t="str">
        <f>VLOOKUP(B821,'Cadastro Produtos'!A:E,2,2)</f>
        <v>Limonada Beta Zero 500 ml</v>
      </c>
      <c r="D821">
        <v>14</v>
      </c>
      <c r="E821" t="str">
        <f>VLOOKUP(D821,'Cadatro Clientes'!A:O,2,2)</f>
        <v>Sprite</v>
      </c>
      <c r="F821" t="str">
        <f>VLOOKUP(D821,'Cadatro Clientes'!A:O,9,2)</f>
        <v>Norte</v>
      </c>
      <c r="G821" s="15">
        <v>41949</v>
      </c>
      <c r="H821">
        <f t="shared" si="61"/>
        <v>5</v>
      </c>
      <c r="I821">
        <f t="shared" si="62"/>
        <v>6</v>
      </c>
      <c r="J821">
        <f t="shared" si="63"/>
        <v>11</v>
      </c>
      <c r="K821">
        <f t="shared" si="64"/>
        <v>2014</v>
      </c>
      <c r="M821">
        <v>12</v>
      </c>
      <c r="N821" t="str">
        <f>VLOOKUP(M821,'Cadastro Vendedores'!A:H,2,2)</f>
        <v>Paulo</v>
      </c>
      <c r="O821" s="2"/>
      <c r="P821" s="16">
        <v>9000</v>
      </c>
      <c r="Q821" s="2">
        <f>VLOOKUP(B821,'Cadastro Produtos'!A:F,5,2)</f>
        <v>7</v>
      </c>
      <c r="R821" s="14">
        <f t="shared" si="60"/>
        <v>63000</v>
      </c>
    </row>
    <row r="822" spans="1:18" x14ac:dyDescent="0.25">
      <c r="A822">
        <v>821</v>
      </c>
      <c r="B822">
        <v>2</v>
      </c>
      <c r="C822" t="str">
        <f>VLOOKUP(B822,'Cadastro Produtos'!A:E,2,2)</f>
        <v>Limonada Beta com Açúcar 500 ml</v>
      </c>
      <c r="D822">
        <v>6</v>
      </c>
      <c r="E822" t="str">
        <f>VLOOKUP(D822,'Cadatro Clientes'!A:O,2,2)</f>
        <v>Lemonade</v>
      </c>
      <c r="F822" t="str">
        <f>VLOOKUP(D822,'Cadatro Clientes'!A:O,9,2)</f>
        <v>Norte</v>
      </c>
      <c r="G822" s="15">
        <v>41949</v>
      </c>
      <c r="H822">
        <f t="shared" si="61"/>
        <v>5</v>
      </c>
      <c r="I822">
        <f t="shared" si="62"/>
        <v>6</v>
      </c>
      <c r="J822">
        <f t="shared" si="63"/>
        <v>11</v>
      </c>
      <c r="K822">
        <f t="shared" si="64"/>
        <v>2014</v>
      </c>
      <c r="M822">
        <v>4</v>
      </c>
      <c r="N822" t="str">
        <f>VLOOKUP(M822,'Cadastro Vendedores'!A:H,2,2)</f>
        <v>José</v>
      </c>
      <c r="O822" s="2"/>
      <c r="P822" s="16">
        <v>8600</v>
      </c>
      <c r="Q822" s="2">
        <f>VLOOKUP(B822,'Cadastro Produtos'!A:F,5,2)</f>
        <v>6.5</v>
      </c>
      <c r="R822" s="14">
        <f t="shared" si="60"/>
        <v>55900</v>
      </c>
    </row>
    <row r="823" spans="1:18" x14ac:dyDescent="0.25">
      <c r="A823">
        <v>822</v>
      </c>
      <c r="B823">
        <v>10</v>
      </c>
      <c r="C823" t="str">
        <f>VLOOKUP(B823,'Cadastro Produtos'!A:E,2,2)</f>
        <v>Limonada Alfa com Hortelã Zero 1 L</v>
      </c>
      <c r="D823">
        <v>6</v>
      </c>
      <c r="E823" t="str">
        <f>VLOOKUP(D823,'Cadatro Clientes'!A:O,2,2)</f>
        <v>Lemonade</v>
      </c>
      <c r="F823" t="str">
        <f>VLOOKUP(D823,'Cadatro Clientes'!A:O,9,2)</f>
        <v>Norte</v>
      </c>
      <c r="G823" s="15">
        <v>41949</v>
      </c>
      <c r="H823">
        <f t="shared" si="61"/>
        <v>5</v>
      </c>
      <c r="I823">
        <f t="shared" si="62"/>
        <v>6</v>
      </c>
      <c r="J823">
        <f t="shared" si="63"/>
        <v>11</v>
      </c>
      <c r="K823">
        <f t="shared" si="64"/>
        <v>2014</v>
      </c>
      <c r="M823">
        <v>9</v>
      </c>
      <c r="N823" t="str">
        <f>VLOOKUP(M823,'Cadastro Vendedores'!A:H,2,2)</f>
        <v>Adriana</v>
      </c>
      <c r="O823" s="2"/>
      <c r="P823" s="16">
        <v>900</v>
      </c>
      <c r="Q823" s="2">
        <f>VLOOKUP(B823,'Cadastro Produtos'!A:F,5,2)</f>
        <v>21</v>
      </c>
      <c r="R823" s="14">
        <f t="shared" si="60"/>
        <v>18900</v>
      </c>
    </row>
    <row r="824" spans="1:18" x14ac:dyDescent="0.25">
      <c r="A824">
        <v>823</v>
      </c>
      <c r="B824">
        <v>2</v>
      </c>
      <c r="C824" t="str">
        <f>VLOOKUP(B824,'Cadastro Produtos'!A:E,2,2)</f>
        <v>Limonada Beta com Açúcar 500 ml</v>
      </c>
      <c r="D824">
        <v>6</v>
      </c>
      <c r="E824" t="str">
        <f>VLOOKUP(D824,'Cadatro Clientes'!A:O,2,2)</f>
        <v>Lemonade</v>
      </c>
      <c r="F824" t="str">
        <f>VLOOKUP(D824,'Cadatro Clientes'!A:O,9,2)</f>
        <v>Norte</v>
      </c>
      <c r="G824" s="15">
        <v>41950</v>
      </c>
      <c r="H824">
        <f t="shared" si="61"/>
        <v>6</v>
      </c>
      <c r="I824">
        <f t="shared" si="62"/>
        <v>7</v>
      </c>
      <c r="J824">
        <f t="shared" si="63"/>
        <v>11</v>
      </c>
      <c r="K824">
        <f t="shared" si="64"/>
        <v>2014</v>
      </c>
      <c r="M824">
        <v>13</v>
      </c>
      <c r="N824" t="str">
        <f>VLOOKUP(M824,'Cadastro Vendedores'!A:H,2,2)</f>
        <v>Andre</v>
      </c>
      <c r="O824" s="2"/>
      <c r="P824" s="16">
        <v>9100</v>
      </c>
      <c r="Q824" s="2">
        <f>VLOOKUP(B824,'Cadastro Produtos'!A:F,5,2)</f>
        <v>6.5</v>
      </c>
      <c r="R824" s="14">
        <f t="shared" si="60"/>
        <v>59150</v>
      </c>
    </row>
    <row r="825" spans="1:18" x14ac:dyDescent="0.25">
      <c r="A825">
        <v>824</v>
      </c>
      <c r="B825">
        <v>1</v>
      </c>
      <c r="C825" t="str">
        <f>VLOOKUP(B825,'Cadastro Produtos'!A:E,2,2)</f>
        <v>Limonada Alfa com Açúcar 500 ml</v>
      </c>
      <c r="D825">
        <v>11</v>
      </c>
      <c r="E825" t="str">
        <f>VLOOKUP(D825,'Cadatro Clientes'!A:O,2,2)</f>
        <v>Red Lemon</v>
      </c>
      <c r="F825" t="str">
        <f>VLOOKUP(D825,'Cadatro Clientes'!A:O,9,2)</f>
        <v>Sul</v>
      </c>
      <c r="G825" s="15">
        <v>41950</v>
      </c>
      <c r="H825">
        <f t="shared" si="61"/>
        <v>6</v>
      </c>
      <c r="I825">
        <f t="shared" si="62"/>
        <v>7</v>
      </c>
      <c r="J825">
        <f t="shared" si="63"/>
        <v>11</v>
      </c>
      <c r="K825">
        <f t="shared" si="64"/>
        <v>2014</v>
      </c>
      <c r="M825">
        <v>7</v>
      </c>
      <c r="N825" t="str">
        <f>VLOOKUP(M825,'Cadastro Vendedores'!A:H,2,2)</f>
        <v>Benedito</v>
      </c>
      <c r="O825" s="2"/>
      <c r="P825" s="16">
        <v>6600</v>
      </c>
      <c r="Q825" s="2">
        <f>VLOOKUP(B825,'Cadastro Produtos'!A:F,5,2)</f>
        <v>8.5</v>
      </c>
      <c r="R825" s="14">
        <f t="shared" si="60"/>
        <v>56100</v>
      </c>
    </row>
    <row r="826" spans="1:18" x14ac:dyDescent="0.25">
      <c r="A826">
        <v>825</v>
      </c>
      <c r="B826">
        <v>6</v>
      </c>
      <c r="C826" t="str">
        <f>VLOOKUP(B826,'Cadastro Produtos'!A:E,2,2)</f>
        <v>Limonada Beta com Açúcar 1 L</v>
      </c>
      <c r="D826">
        <v>11</v>
      </c>
      <c r="E826" t="str">
        <f>VLOOKUP(D826,'Cadatro Clientes'!A:O,2,2)</f>
        <v>Red Lemon</v>
      </c>
      <c r="F826" t="str">
        <f>VLOOKUP(D826,'Cadatro Clientes'!A:O,9,2)</f>
        <v>Sul</v>
      </c>
      <c r="G826" s="15">
        <v>41950</v>
      </c>
      <c r="H826">
        <f t="shared" si="61"/>
        <v>6</v>
      </c>
      <c r="I826">
        <f t="shared" si="62"/>
        <v>7</v>
      </c>
      <c r="J826">
        <f t="shared" si="63"/>
        <v>11</v>
      </c>
      <c r="K826">
        <f t="shared" si="64"/>
        <v>2014</v>
      </c>
      <c r="M826">
        <v>7</v>
      </c>
      <c r="N826" t="str">
        <f>VLOOKUP(M826,'Cadastro Vendedores'!A:H,2,2)</f>
        <v>Benedito</v>
      </c>
      <c r="O826" s="2"/>
      <c r="P826" s="16">
        <v>2100</v>
      </c>
      <c r="Q826" s="2">
        <f>VLOOKUP(B826,'Cadastro Produtos'!A:F,5,2)</f>
        <v>12</v>
      </c>
      <c r="R826" s="14">
        <f t="shared" si="60"/>
        <v>25200</v>
      </c>
    </row>
    <row r="827" spans="1:18" x14ac:dyDescent="0.25">
      <c r="A827">
        <v>826</v>
      </c>
      <c r="B827">
        <v>7</v>
      </c>
      <c r="C827" t="str">
        <f>VLOOKUP(B827,'Cadastro Produtos'!A:E,2,2)</f>
        <v>Limonada Alfa Zero 1 L</v>
      </c>
      <c r="D827">
        <v>13</v>
      </c>
      <c r="E827" t="str">
        <f>VLOOKUP(D827,'Cadatro Clientes'!A:O,2,2)</f>
        <v>Monster Lemon</v>
      </c>
      <c r="F827" t="str">
        <f>VLOOKUP(D827,'Cadatro Clientes'!A:O,9,2)</f>
        <v>Nordeste</v>
      </c>
      <c r="G827" s="15">
        <v>41951</v>
      </c>
      <c r="H827">
        <f t="shared" si="61"/>
        <v>7</v>
      </c>
      <c r="I827">
        <f t="shared" si="62"/>
        <v>8</v>
      </c>
      <c r="J827">
        <f t="shared" si="63"/>
        <v>11</v>
      </c>
      <c r="K827">
        <f t="shared" si="64"/>
        <v>2014</v>
      </c>
      <c r="M827">
        <v>12</v>
      </c>
      <c r="N827" t="str">
        <f>VLOOKUP(M827,'Cadastro Vendedores'!A:H,2,2)</f>
        <v>Paulo</v>
      </c>
      <c r="O827" s="2"/>
      <c r="P827" s="16">
        <v>3500</v>
      </c>
      <c r="Q827" s="2">
        <f>VLOOKUP(B827,'Cadastro Produtos'!A:F,5,2)</f>
        <v>15</v>
      </c>
      <c r="R827" s="14">
        <f t="shared" si="60"/>
        <v>52500</v>
      </c>
    </row>
    <row r="828" spans="1:18" x14ac:dyDescent="0.25">
      <c r="A828">
        <v>827</v>
      </c>
      <c r="B828">
        <v>9</v>
      </c>
      <c r="C828" t="str">
        <f>VLOOKUP(B828,'Cadastro Produtos'!A:E,2,2)</f>
        <v>Limonada Alfa com Hortelã e Açúcar 1 L</v>
      </c>
      <c r="D828">
        <v>9</v>
      </c>
      <c r="E828" t="str">
        <f>VLOOKUP(D828,'Cadatro Clientes'!A:O,2,2)</f>
        <v>Fresh Lemon</v>
      </c>
      <c r="F828" t="str">
        <f>VLOOKUP(D828,'Cadatro Clientes'!A:O,9,2)</f>
        <v>Sudeste</v>
      </c>
      <c r="G828" s="15">
        <v>41951</v>
      </c>
      <c r="H828">
        <f t="shared" si="61"/>
        <v>7</v>
      </c>
      <c r="I828">
        <f t="shared" si="62"/>
        <v>8</v>
      </c>
      <c r="J828">
        <f t="shared" si="63"/>
        <v>11</v>
      </c>
      <c r="K828">
        <f t="shared" si="64"/>
        <v>2014</v>
      </c>
      <c r="M828">
        <v>12</v>
      </c>
      <c r="N828" t="str">
        <f>VLOOKUP(M828,'Cadastro Vendedores'!A:H,2,2)</f>
        <v>Paulo</v>
      </c>
      <c r="O828" s="2"/>
      <c r="P828" s="16">
        <v>4000</v>
      </c>
      <c r="Q828" s="2">
        <f>VLOOKUP(B828,'Cadastro Produtos'!A:F,5,2)</f>
        <v>17.5</v>
      </c>
      <c r="R828" s="14">
        <f t="shared" si="60"/>
        <v>70000</v>
      </c>
    </row>
    <row r="829" spans="1:18" x14ac:dyDescent="0.25">
      <c r="A829">
        <v>828</v>
      </c>
      <c r="B829">
        <v>6</v>
      </c>
      <c r="C829" t="str">
        <f>VLOOKUP(B829,'Cadastro Produtos'!A:E,2,2)</f>
        <v>Limonada Beta com Açúcar 1 L</v>
      </c>
      <c r="D829">
        <v>6</v>
      </c>
      <c r="E829" t="str">
        <f>VLOOKUP(D829,'Cadatro Clientes'!A:O,2,2)</f>
        <v>Lemonade</v>
      </c>
      <c r="F829" t="str">
        <f>VLOOKUP(D829,'Cadatro Clientes'!A:O,9,2)</f>
        <v>Norte</v>
      </c>
      <c r="G829" s="15">
        <v>41951</v>
      </c>
      <c r="H829">
        <f t="shared" si="61"/>
        <v>7</v>
      </c>
      <c r="I829">
        <f t="shared" si="62"/>
        <v>8</v>
      </c>
      <c r="J829">
        <f t="shared" si="63"/>
        <v>11</v>
      </c>
      <c r="K829">
        <f t="shared" si="64"/>
        <v>2014</v>
      </c>
      <c r="M829">
        <v>8</v>
      </c>
      <c r="N829" t="str">
        <f>VLOOKUP(M829,'Cadastro Vendedores'!A:H,2,2)</f>
        <v>Sérgio</v>
      </c>
      <c r="O829" s="2"/>
      <c r="P829" s="16">
        <v>5000</v>
      </c>
      <c r="Q829" s="2">
        <f>VLOOKUP(B829,'Cadastro Produtos'!A:F,5,2)</f>
        <v>12</v>
      </c>
      <c r="R829" s="14">
        <f t="shared" si="60"/>
        <v>60000</v>
      </c>
    </row>
    <row r="830" spans="1:18" x14ac:dyDescent="0.25">
      <c r="A830">
        <v>829</v>
      </c>
      <c r="B830">
        <v>10</v>
      </c>
      <c r="C830" t="str">
        <f>VLOOKUP(B830,'Cadastro Produtos'!A:E,2,2)</f>
        <v>Limonada Alfa com Hortelã Zero 1 L</v>
      </c>
      <c r="D830">
        <v>20</v>
      </c>
      <c r="E830" t="str">
        <f>VLOOKUP(D830,'Cadatro Clientes'!A:O,2,2)</f>
        <v>Brasil Saúde</v>
      </c>
      <c r="F830" t="str">
        <f>VLOOKUP(D830,'Cadatro Clientes'!A:O,9,2)</f>
        <v>Nordeste</v>
      </c>
      <c r="G830" s="15">
        <v>41952</v>
      </c>
      <c r="H830">
        <f t="shared" si="61"/>
        <v>1</v>
      </c>
      <c r="I830">
        <f t="shared" si="62"/>
        <v>9</v>
      </c>
      <c r="J830">
        <f t="shared" si="63"/>
        <v>11</v>
      </c>
      <c r="K830">
        <f t="shared" si="64"/>
        <v>2014</v>
      </c>
      <c r="M830">
        <v>12</v>
      </c>
      <c r="N830" t="str">
        <f>VLOOKUP(M830,'Cadastro Vendedores'!A:H,2,2)</f>
        <v>Paulo</v>
      </c>
      <c r="O830" s="2"/>
      <c r="P830" s="16">
        <v>1700</v>
      </c>
      <c r="Q830" s="2">
        <f>VLOOKUP(B830,'Cadastro Produtos'!A:F,5,2)</f>
        <v>21</v>
      </c>
      <c r="R830" s="14">
        <f t="shared" si="60"/>
        <v>35700</v>
      </c>
    </row>
    <row r="831" spans="1:18" x14ac:dyDescent="0.25">
      <c r="A831">
        <v>830</v>
      </c>
      <c r="B831">
        <v>8</v>
      </c>
      <c r="C831" t="str">
        <f>VLOOKUP(B831,'Cadastro Produtos'!A:E,2,2)</f>
        <v>Limonada Beta Zero 1 L</v>
      </c>
      <c r="D831">
        <v>14</v>
      </c>
      <c r="E831" t="str">
        <f>VLOOKUP(D831,'Cadatro Clientes'!A:O,2,2)</f>
        <v>Sprite</v>
      </c>
      <c r="F831" t="str">
        <f>VLOOKUP(D831,'Cadatro Clientes'!A:O,9,2)</f>
        <v>Norte</v>
      </c>
      <c r="G831" s="15">
        <v>41953</v>
      </c>
      <c r="H831">
        <f t="shared" si="61"/>
        <v>2</v>
      </c>
      <c r="I831">
        <f t="shared" si="62"/>
        <v>10</v>
      </c>
      <c r="J831">
        <f t="shared" si="63"/>
        <v>11</v>
      </c>
      <c r="K831">
        <f t="shared" si="64"/>
        <v>2014</v>
      </c>
      <c r="M831">
        <v>2</v>
      </c>
      <c r="N831" t="str">
        <f>VLOOKUP(M831,'Cadastro Vendedores'!A:H,2,2)</f>
        <v>Luis</v>
      </c>
      <c r="O831" s="2"/>
      <c r="P831" s="16">
        <v>2300</v>
      </c>
      <c r="Q831" s="2">
        <f>VLOOKUP(B831,'Cadastro Produtos'!A:F,5,2)</f>
        <v>12</v>
      </c>
      <c r="R831" s="14">
        <f t="shared" si="60"/>
        <v>27600</v>
      </c>
    </row>
    <row r="832" spans="1:18" x14ac:dyDescent="0.25">
      <c r="A832">
        <v>831</v>
      </c>
      <c r="B832">
        <v>7</v>
      </c>
      <c r="C832" t="str">
        <f>VLOOKUP(B832,'Cadastro Produtos'!A:E,2,2)</f>
        <v>Limonada Alfa Zero 1 L</v>
      </c>
      <c r="D832">
        <v>20</v>
      </c>
      <c r="E832" t="str">
        <f>VLOOKUP(D832,'Cadatro Clientes'!A:O,2,2)</f>
        <v>Brasil Saúde</v>
      </c>
      <c r="F832" t="str">
        <f>VLOOKUP(D832,'Cadatro Clientes'!A:O,9,2)</f>
        <v>Nordeste</v>
      </c>
      <c r="G832" s="15">
        <v>41953</v>
      </c>
      <c r="H832">
        <f t="shared" si="61"/>
        <v>2</v>
      </c>
      <c r="I832">
        <f t="shared" si="62"/>
        <v>10</v>
      </c>
      <c r="J832">
        <f t="shared" si="63"/>
        <v>11</v>
      </c>
      <c r="K832">
        <f t="shared" si="64"/>
        <v>2014</v>
      </c>
      <c r="M832">
        <v>3</v>
      </c>
      <c r="N832" t="str">
        <f>VLOOKUP(M832,'Cadastro Vendedores'!A:H,2,2)</f>
        <v>Antônia</v>
      </c>
      <c r="O832" s="2"/>
      <c r="P832" s="16">
        <v>2800</v>
      </c>
      <c r="Q832" s="2">
        <f>VLOOKUP(B832,'Cadastro Produtos'!A:F,5,2)</f>
        <v>15</v>
      </c>
      <c r="R832" s="14">
        <f t="shared" si="60"/>
        <v>42000</v>
      </c>
    </row>
    <row r="833" spans="1:18" x14ac:dyDescent="0.25">
      <c r="A833">
        <v>832</v>
      </c>
      <c r="B833">
        <v>3</v>
      </c>
      <c r="C833" t="str">
        <f>VLOOKUP(B833,'Cadastro Produtos'!A:E,2,2)</f>
        <v>Limonada Alfa Zero 500 ml</v>
      </c>
      <c r="D833">
        <v>9</v>
      </c>
      <c r="E833" t="str">
        <f>VLOOKUP(D833,'Cadatro Clientes'!A:O,2,2)</f>
        <v>Fresh Lemon</v>
      </c>
      <c r="F833" t="str">
        <f>VLOOKUP(D833,'Cadatro Clientes'!A:O,9,2)</f>
        <v>Sudeste</v>
      </c>
      <c r="G833" s="15">
        <v>41953</v>
      </c>
      <c r="H833">
        <f t="shared" si="61"/>
        <v>2</v>
      </c>
      <c r="I833">
        <f t="shared" si="62"/>
        <v>10</v>
      </c>
      <c r="J833">
        <f t="shared" si="63"/>
        <v>11</v>
      </c>
      <c r="K833">
        <f t="shared" si="64"/>
        <v>2014</v>
      </c>
      <c r="M833">
        <v>2</v>
      </c>
      <c r="N833" t="str">
        <f>VLOOKUP(M833,'Cadastro Vendedores'!A:H,2,2)</f>
        <v>Luis</v>
      </c>
      <c r="O833" s="2"/>
      <c r="P833" s="16">
        <v>2000</v>
      </c>
      <c r="Q833" s="2">
        <f>VLOOKUP(B833,'Cadastro Produtos'!A:F,5,2)</f>
        <v>9</v>
      </c>
      <c r="R833" s="14">
        <f t="shared" si="60"/>
        <v>18000</v>
      </c>
    </row>
    <row r="834" spans="1:18" x14ac:dyDescent="0.25">
      <c r="A834">
        <v>833</v>
      </c>
      <c r="B834">
        <v>9</v>
      </c>
      <c r="C834" t="str">
        <f>VLOOKUP(B834,'Cadastro Produtos'!A:E,2,2)</f>
        <v>Limonada Alfa com Hortelã e Açúcar 1 L</v>
      </c>
      <c r="D834">
        <v>6</v>
      </c>
      <c r="E834" t="str">
        <f>VLOOKUP(D834,'Cadatro Clientes'!A:O,2,2)</f>
        <v>Lemonade</v>
      </c>
      <c r="F834" t="str">
        <f>VLOOKUP(D834,'Cadatro Clientes'!A:O,9,2)</f>
        <v>Norte</v>
      </c>
      <c r="G834" s="15">
        <v>41953</v>
      </c>
      <c r="H834">
        <f t="shared" si="61"/>
        <v>2</v>
      </c>
      <c r="I834">
        <f t="shared" si="62"/>
        <v>10</v>
      </c>
      <c r="J834">
        <f t="shared" si="63"/>
        <v>11</v>
      </c>
      <c r="K834">
        <f t="shared" si="64"/>
        <v>2014</v>
      </c>
      <c r="M834">
        <v>2</v>
      </c>
      <c r="N834" t="str">
        <f>VLOOKUP(M834,'Cadastro Vendedores'!A:H,2,2)</f>
        <v>Luis</v>
      </c>
      <c r="O834" s="2"/>
      <c r="P834" s="16">
        <v>3900</v>
      </c>
      <c r="Q834" s="2">
        <f>VLOOKUP(B834,'Cadastro Produtos'!A:F,5,2)</f>
        <v>17.5</v>
      </c>
      <c r="R834" s="14">
        <f t="shared" ref="R834:R897" si="65">Q834*P834</f>
        <v>68250</v>
      </c>
    </row>
    <row r="835" spans="1:18" x14ac:dyDescent="0.25">
      <c r="A835">
        <v>834</v>
      </c>
      <c r="B835">
        <v>1</v>
      </c>
      <c r="C835" t="str">
        <f>VLOOKUP(B835,'Cadastro Produtos'!A:E,2,2)</f>
        <v>Limonada Alfa com Açúcar 500 ml</v>
      </c>
      <c r="D835">
        <v>2</v>
      </c>
      <c r="E835" t="str">
        <f>VLOOKUP(D835,'Cadatro Clientes'!A:O,2,2)</f>
        <v>Limão S/A</v>
      </c>
      <c r="F835" t="str">
        <f>VLOOKUP(D835,'Cadatro Clientes'!A:O,9,2)</f>
        <v>Centro-Oeste</v>
      </c>
      <c r="G835" s="15">
        <v>41954</v>
      </c>
      <c r="H835">
        <f t="shared" ref="H835:H898" si="66">WEEKDAY(G835)</f>
        <v>3</v>
      </c>
      <c r="I835">
        <f t="shared" ref="I835:I898" si="67">DAY(G835)</f>
        <v>11</v>
      </c>
      <c r="J835">
        <f t="shared" ref="J835:J898" si="68">MONTH(G835)</f>
        <v>11</v>
      </c>
      <c r="K835">
        <f t="shared" ref="K835:K898" si="69">YEAR(G835)</f>
        <v>2014</v>
      </c>
      <c r="M835">
        <v>4</v>
      </c>
      <c r="N835" t="str">
        <f>VLOOKUP(M835,'Cadastro Vendedores'!A:H,2,2)</f>
        <v>José</v>
      </c>
      <c r="O835" s="2"/>
      <c r="P835" s="16">
        <v>2600</v>
      </c>
      <c r="Q835" s="2">
        <f>VLOOKUP(B835,'Cadastro Produtos'!A:F,5,2)</f>
        <v>8.5</v>
      </c>
      <c r="R835" s="14">
        <f t="shared" si="65"/>
        <v>22100</v>
      </c>
    </row>
    <row r="836" spans="1:18" x14ac:dyDescent="0.25">
      <c r="A836">
        <v>835</v>
      </c>
      <c r="B836">
        <v>1</v>
      </c>
      <c r="C836" t="str">
        <f>VLOOKUP(B836,'Cadastro Produtos'!A:E,2,2)</f>
        <v>Limonada Alfa com Açúcar 500 ml</v>
      </c>
      <c r="D836">
        <v>17</v>
      </c>
      <c r="E836" t="str">
        <f>VLOOKUP(D836,'Cadatro Clientes'!A:O,2,2)</f>
        <v>Aracasuco</v>
      </c>
      <c r="F836" t="str">
        <f>VLOOKUP(D836,'Cadatro Clientes'!A:O,9,2)</f>
        <v>Nordeste</v>
      </c>
      <c r="G836" s="15">
        <v>41954</v>
      </c>
      <c r="H836">
        <f t="shared" si="66"/>
        <v>3</v>
      </c>
      <c r="I836">
        <f t="shared" si="67"/>
        <v>11</v>
      </c>
      <c r="J836">
        <f t="shared" si="68"/>
        <v>11</v>
      </c>
      <c r="K836">
        <f t="shared" si="69"/>
        <v>2014</v>
      </c>
      <c r="M836">
        <v>4</v>
      </c>
      <c r="N836" t="str">
        <f>VLOOKUP(M836,'Cadastro Vendedores'!A:H,2,2)</f>
        <v>José</v>
      </c>
      <c r="O836" s="2"/>
      <c r="P836" s="16">
        <v>1800</v>
      </c>
      <c r="Q836" s="2">
        <f>VLOOKUP(B836,'Cadastro Produtos'!A:F,5,2)</f>
        <v>8.5</v>
      </c>
      <c r="R836" s="14">
        <f t="shared" si="65"/>
        <v>15300</v>
      </c>
    </row>
    <row r="837" spans="1:18" x14ac:dyDescent="0.25">
      <c r="A837">
        <v>836</v>
      </c>
      <c r="B837">
        <v>3</v>
      </c>
      <c r="C837" t="str">
        <f>VLOOKUP(B837,'Cadastro Produtos'!A:E,2,2)</f>
        <v>Limonada Alfa Zero 500 ml</v>
      </c>
      <c r="D837">
        <v>8</v>
      </c>
      <c r="E837" t="str">
        <f>VLOOKUP(D837,'Cadatro Clientes'!A:O,2,2)</f>
        <v>Refresko</v>
      </c>
      <c r="F837" t="str">
        <f>VLOOKUP(D837,'Cadatro Clientes'!A:O,9,2)</f>
        <v>Sul</v>
      </c>
      <c r="G837" s="15">
        <v>41954</v>
      </c>
      <c r="H837">
        <f t="shared" si="66"/>
        <v>3</v>
      </c>
      <c r="I837">
        <f t="shared" si="67"/>
        <v>11</v>
      </c>
      <c r="J837">
        <f t="shared" si="68"/>
        <v>11</v>
      </c>
      <c r="K837">
        <f t="shared" si="69"/>
        <v>2014</v>
      </c>
      <c r="M837">
        <v>6</v>
      </c>
      <c r="N837" t="str">
        <f>VLOOKUP(M837,'Cadastro Vendedores'!A:H,2,2)</f>
        <v>Antônia</v>
      </c>
      <c r="O837" s="2"/>
      <c r="P837" s="16">
        <v>1600</v>
      </c>
      <c r="Q837" s="2">
        <f>VLOOKUP(B837,'Cadastro Produtos'!A:F,5,2)</f>
        <v>9</v>
      </c>
      <c r="R837" s="14">
        <f t="shared" si="65"/>
        <v>14400</v>
      </c>
    </row>
    <row r="838" spans="1:18" x14ac:dyDescent="0.25">
      <c r="A838">
        <v>837</v>
      </c>
      <c r="B838">
        <v>7</v>
      </c>
      <c r="C838" t="str">
        <f>VLOOKUP(B838,'Cadastro Produtos'!A:E,2,2)</f>
        <v>Limonada Alfa Zero 1 L</v>
      </c>
      <c r="D838">
        <v>16</v>
      </c>
      <c r="E838" t="str">
        <f>VLOOKUP(D838,'Cadatro Clientes'!A:O,2,2)</f>
        <v>Norte Suco</v>
      </c>
      <c r="F838" t="str">
        <f>VLOOKUP(D838,'Cadatro Clientes'!A:O,9,2)</f>
        <v>Nordeste</v>
      </c>
      <c r="G838" s="15">
        <v>41955</v>
      </c>
      <c r="H838">
        <f t="shared" si="66"/>
        <v>4</v>
      </c>
      <c r="I838">
        <f t="shared" si="67"/>
        <v>12</v>
      </c>
      <c r="J838">
        <f t="shared" si="68"/>
        <v>11</v>
      </c>
      <c r="K838">
        <f t="shared" si="69"/>
        <v>2014</v>
      </c>
      <c r="M838">
        <v>8</v>
      </c>
      <c r="N838" t="str">
        <f>VLOOKUP(M838,'Cadastro Vendedores'!A:H,2,2)</f>
        <v>Sérgio</v>
      </c>
      <c r="O838" s="2"/>
      <c r="P838" s="16">
        <v>2000</v>
      </c>
      <c r="Q838" s="2">
        <f>VLOOKUP(B838,'Cadastro Produtos'!A:F,5,2)</f>
        <v>15</v>
      </c>
      <c r="R838" s="14">
        <f t="shared" si="65"/>
        <v>30000</v>
      </c>
    </row>
    <row r="839" spans="1:18" x14ac:dyDescent="0.25">
      <c r="A839">
        <v>838</v>
      </c>
      <c r="B839">
        <v>3</v>
      </c>
      <c r="C839" t="str">
        <f>VLOOKUP(B839,'Cadastro Produtos'!A:E,2,2)</f>
        <v>Limonada Alfa Zero 500 ml</v>
      </c>
      <c r="D839">
        <v>13</v>
      </c>
      <c r="E839" t="str">
        <f>VLOOKUP(D839,'Cadatro Clientes'!A:O,2,2)</f>
        <v>Monster Lemon</v>
      </c>
      <c r="F839" t="str">
        <f>VLOOKUP(D839,'Cadatro Clientes'!A:O,9,2)</f>
        <v>Nordeste</v>
      </c>
      <c r="G839" s="15">
        <v>41955</v>
      </c>
      <c r="H839">
        <f t="shared" si="66"/>
        <v>4</v>
      </c>
      <c r="I839">
        <f t="shared" si="67"/>
        <v>12</v>
      </c>
      <c r="J839">
        <f t="shared" si="68"/>
        <v>11</v>
      </c>
      <c r="K839">
        <f t="shared" si="69"/>
        <v>2014</v>
      </c>
      <c r="M839">
        <v>4</v>
      </c>
      <c r="N839" t="str">
        <f>VLOOKUP(M839,'Cadastro Vendedores'!A:H,2,2)</f>
        <v>José</v>
      </c>
      <c r="O839" s="2"/>
      <c r="P839" s="16">
        <v>1900</v>
      </c>
      <c r="Q839" s="2">
        <f>VLOOKUP(B839,'Cadastro Produtos'!A:F,5,2)</f>
        <v>9</v>
      </c>
      <c r="R839" s="14">
        <f t="shared" si="65"/>
        <v>17100</v>
      </c>
    </row>
    <row r="840" spans="1:18" x14ac:dyDescent="0.25">
      <c r="A840">
        <v>839</v>
      </c>
      <c r="B840">
        <v>3</v>
      </c>
      <c r="C840" t="str">
        <f>VLOOKUP(B840,'Cadastro Produtos'!A:E,2,2)</f>
        <v>Limonada Alfa Zero 500 ml</v>
      </c>
      <c r="D840">
        <v>11</v>
      </c>
      <c r="E840" t="str">
        <f>VLOOKUP(D840,'Cadatro Clientes'!A:O,2,2)</f>
        <v>Red Lemon</v>
      </c>
      <c r="F840" t="str">
        <f>VLOOKUP(D840,'Cadatro Clientes'!A:O,9,2)</f>
        <v>Sul</v>
      </c>
      <c r="G840" s="15">
        <v>41956</v>
      </c>
      <c r="H840">
        <f t="shared" si="66"/>
        <v>5</v>
      </c>
      <c r="I840">
        <f t="shared" si="67"/>
        <v>13</v>
      </c>
      <c r="J840">
        <f t="shared" si="68"/>
        <v>11</v>
      </c>
      <c r="K840">
        <f t="shared" si="69"/>
        <v>2014</v>
      </c>
      <c r="M840">
        <v>4</v>
      </c>
      <c r="N840" t="str">
        <f>VLOOKUP(M840,'Cadastro Vendedores'!A:H,2,2)</f>
        <v>José</v>
      </c>
      <c r="O840" s="2"/>
      <c r="P840" s="16">
        <v>5600</v>
      </c>
      <c r="Q840" s="2">
        <f>VLOOKUP(B840,'Cadastro Produtos'!A:F,5,2)</f>
        <v>9</v>
      </c>
      <c r="R840" s="14">
        <f t="shared" si="65"/>
        <v>50400</v>
      </c>
    </row>
    <row r="841" spans="1:18" x14ac:dyDescent="0.25">
      <c r="A841">
        <v>840</v>
      </c>
      <c r="B841">
        <v>2</v>
      </c>
      <c r="C841" t="str">
        <f>VLOOKUP(B841,'Cadastro Produtos'!A:E,2,2)</f>
        <v>Limonada Beta com Açúcar 500 ml</v>
      </c>
      <c r="D841">
        <v>8</v>
      </c>
      <c r="E841" t="str">
        <f>VLOOKUP(D841,'Cadatro Clientes'!A:O,2,2)</f>
        <v>Refresko</v>
      </c>
      <c r="F841" t="str">
        <f>VLOOKUP(D841,'Cadatro Clientes'!A:O,9,2)</f>
        <v>Sul</v>
      </c>
      <c r="G841" s="15">
        <v>41956</v>
      </c>
      <c r="H841">
        <f t="shared" si="66"/>
        <v>5</v>
      </c>
      <c r="I841">
        <f t="shared" si="67"/>
        <v>13</v>
      </c>
      <c r="J841">
        <f t="shared" si="68"/>
        <v>11</v>
      </c>
      <c r="K841">
        <f t="shared" si="69"/>
        <v>2014</v>
      </c>
      <c r="M841">
        <v>3</v>
      </c>
      <c r="N841" t="str">
        <f>VLOOKUP(M841,'Cadastro Vendedores'!A:H,2,2)</f>
        <v>Antônia</v>
      </c>
      <c r="O841" s="2"/>
      <c r="P841" s="16">
        <v>8300</v>
      </c>
      <c r="Q841" s="2">
        <f>VLOOKUP(B841,'Cadastro Produtos'!A:F,5,2)</f>
        <v>6.5</v>
      </c>
      <c r="R841" s="14">
        <f t="shared" si="65"/>
        <v>53950</v>
      </c>
    </row>
    <row r="842" spans="1:18" x14ac:dyDescent="0.25">
      <c r="A842">
        <v>841</v>
      </c>
      <c r="B842">
        <v>2</v>
      </c>
      <c r="C842" t="str">
        <f>VLOOKUP(B842,'Cadastro Produtos'!A:E,2,2)</f>
        <v>Limonada Beta com Açúcar 500 ml</v>
      </c>
      <c r="D842">
        <v>6</v>
      </c>
      <c r="E842" t="str">
        <f>VLOOKUP(D842,'Cadatro Clientes'!A:O,2,2)</f>
        <v>Lemonade</v>
      </c>
      <c r="F842" t="str">
        <f>VLOOKUP(D842,'Cadatro Clientes'!A:O,9,2)</f>
        <v>Norte</v>
      </c>
      <c r="G842" s="15">
        <v>41956</v>
      </c>
      <c r="H842">
        <f t="shared" si="66"/>
        <v>5</v>
      </c>
      <c r="I842">
        <f t="shared" si="67"/>
        <v>13</v>
      </c>
      <c r="J842">
        <f t="shared" si="68"/>
        <v>11</v>
      </c>
      <c r="K842">
        <f t="shared" si="69"/>
        <v>2014</v>
      </c>
      <c r="M842">
        <v>3</v>
      </c>
      <c r="N842" t="str">
        <f>VLOOKUP(M842,'Cadastro Vendedores'!A:H,2,2)</f>
        <v>Antônia</v>
      </c>
      <c r="O842" s="2"/>
      <c r="P842" s="16">
        <v>8900</v>
      </c>
      <c r="Q842" s="2">
        <f>VLOOKUP(B842,'Cadastro Produtos'!A:F,5,2)</f>
        <v>6.5</v>
      </c>
      <c r="R842" s="14">
        <f t="shared" si="65"/>
        <v>57850</v>
      </c>
    </row>
    <row r="843" spans="1:18" x14ac:dyDescent="0.25">
      <c r="A843">
        <v>842</v>
      </c>
      <c r="B843">
        <v>8</v>
      </c>
      <c r="C843" t="str">
        <f>VLOOKUP(B843,'Cadastro Produtos'!A:E,2,2)</f>
        <v>Limonada Beta Zero 1 L</v>
      </c>
      <c r="D843">
        <v>7</v>
      </c>
      <c r="E843" t="str">
        <f>VLOOKUP(D843,'Cadatro Clientes'!A:O,2,2)</f>
        <v>Limo</v>
      </c>
      <c r="F843" t="str">
        <f>VLOOKUP(D843,'Cadatro Clientes'!A:O,9,2)</f>
        <v>Centro-Oeste</v>
      </c>
      <c r="G843" s="15">
        <v>41957</v>
      </c>
      <c r="H843">
        <f t="shared" si="66"/>
        <v>6</v>
      </c>
      <c r="I843">
        <f t="shared" si="67"/>
        <v>14</v>
      </c>
      <c r="J843">
        <f t="shared" si="68"/>
        <v>11</v>
      </c>
      <c r="K843">
        <f t="shared" si="69"/>
        <v>2014</v>
      </c>
      <c r="M843">
        <v>4</v>
      </c>
      <c r="N843" t="str">
        <f>VLOOKUP(M843,'Cadastro Vendedores'!A:H,2,2)</f>
        <v>José</v>
      </c>
      <c r="O843" s="2"/>
      <c r="P843" s="16">
        <v>4400</v>
      </c>
      <c r="Q843" s="2">
        <f>VLOOKUP(B843,'Cadastro Produtos'!A:F,5,2)</f>
        <v>12</v>
      </c>
      <c r="R843" s="14">
        <f t="shared" si="65"/>
        <v>52800</v>
      </c>
    </row>
    <row r="844" spans="1:18" x14ac:dyDescent="0.25">
      <c r="A844">
        <v>843</v>
      </c>
      <c r="B844">
        <v>7</v>
      </c>
      <c r="C844" t="str">
        <f>VLOOKUP(B844,'Cadastro Produtos'!A:E,2,2)</f>
        <v>Limonada Alfa Zero 1 L</v>
      </c>
      <c r="D844">
        <v>4</v>
      </c>
      <c r="E844" t="str">
        <f>VLOOKUP(D844,'Cadatro Clientes'!A:O,2,2)</f>
        <v>Limão Carioca e Cia</v>
      </c>
      <c r="F844" t="str">
        <f>VLOOKUP(D844,'Cadatro Clientes'!A:O,9,2)</f>
        <v>Sudeste</v>
      </c>
      <c r="G844" s="15">
        <v>41957</v>
      </c>
      <c r="H844">
        <f t="shared" si="66"/>
        <v>6</v>
      </c>
      <c r="I844">
        <f t="shared" si="67"/>
        <v>14</v>
      </c>
      <c r="J844">
        <f t="shared" si="68"/>
        <v>11</v>
      </c>
      <c r="K844">
        <f t="shared" si="69"/>
        <v>2014</v>
      </c>
      <c r="M844">
        <v>13</v>
      </c>
      <c r="N844" t="str">
        <f>VLOOKUP(M844,'Cadastro Vendedores'!A:H,2,2)</f>
        <v>Andre</v>
      </c>
      <c r="O844" s="2"/>
      <c r="P844" s="16">
        <v>3300</v>
      </c>
      <c r="Q844" s="2">
        <f>VLOOKUP(B844,'Cadastro Produtos'!A:F,5,2)</f>
        <v>15</v>
      </c>
      <c r="R844" s="14">
        <f t="shared" si="65"/>
        <v>49500</v>
      </c>
    </row>
    <row r="845" spans="1:18" x14ac:dyDescent="0.25">
      <c r="A845">
        <v>844</v>
      </c>
      <c r="B845">
        <v>10</v>
      </c>
      <c r="C845" t="str">
        <f>VLOOKUP(B845,'Cadastro Produtos'!A:E,2,2)</f>
        <v>Limonada Alfa com Hortelã Zero 1 L</v>
      </c>
      <c r="D845">
        <v>6</v>
      </c>
      <c r="E845" t="str">
        <f>VLOOKUP(D845,'Cadatro Clientes'!A:O,2,2)</f>
        <v>Lemonade</v>
      </c>
      <c r="F845" t="str">
        <f>VLOOKUP(D845,'Cadatro Clientes'!A:O,9,2)</f>
        <v>Norte</v>
      </c>
      <c r="G845" s="15">
        <v>41957</v>
      </c>
      <c r="H845">
        <f t="shared" si="66"/>
        <v>6</v>
      </c>
      <c r="I845">
        <f t="shared" si="67"/>
        <v>14</v>
      </c>
      <c r="J845">
        <f t="shared" si="68"/>
        <v>11</v>
      </c>
      <c r="K845">
        <f t="shared" si="69"/>
        <v>2014</v>
      </c>
      <c r="M845">
        <v>8</v>
      </c>
      <c r="N845" t="str">
        <f>VLOOKUP(M845,'Cadastro Vendedores'!A:H,2,2)</f>
        <v>Sérgio</v>
      </c>
      <c r="O845" s="2"/>
      <c r="P845" s="16">
        <v>1300</v>
      </c>
      <c r="Q845" s="2">
        <f>VLOOKUP(B845,'Cadastro Produtos'!A:F,5,2)</f>
        <v>21</v>
      </c>
      <c r="R845" s="14">
        <f t="shared" si="65"/>
        <v>27300</v>
      </c>
    </row>
    <row r="846" spans="1:18" x14ac:dyDescent="0.25">
      <c r="A846">
        <v>845</v>
      </c>
      <c r="B846">
        <v>10</v>
      </c>
      <c r="C846" t="str">
        <f>VLOOKUP(B846,'Cadastro Produtos'!A:E,2,2)</f>
        <v>Limonada Alfa com Hortelã Zero 1 L</v>
      </c>
      <c r="D846">
        <v>5</v>
      </c>
      <c r="E846" t="str">
        <f>VLOOKUP(D846,'Cadatro Clientes'!A:O,2,2)</f>
        <v>Axé com Limão</v>
      </c>
      <c r="F846" t="str">
        <f>VLOOKUP(D846,'Cadatro Clientes'!A:O,9,2)</f>
        <v>Nordeste</v>
      </c>
      <c r="G846" s="15">
        <v>41958</v>
      </c>
      <c r="H846">
        <f t="shared" si="66"/>
        <v>7</v>
      </c>
      <c r="I846">
        <f t="shared" si="67"/>
        <v>15</v>
      </c>
      <c r="J846">
        <f t="shared" si="68"/>
        <v>11</v>
      </c>
      <c r="K846">
        <f t="shared" si="69"/>
        <v>2014</v>
      </c>
      <c r="M846">
        <v>3</v>
      </c>
      <c r="N846" t="str">
        <f>VLOOKUP(M846,'Cadastro Vendedores'!A:H,2,2)</f>
        <v>Antônia</v>
      </c>
      <c r="O846" s="2"/>
      <c r="P846" s="16">
        <v>3000</v>
      </c>
      <c r="Q846" s="2">
        <f>VLOOKUP(B846,'Cadastro Produtos'!A:F,5,2)</f>
        <v>21</v>
      </c>
      <c r="R846" s="14">
        <f t="shared" si="65"/>
        <v>63000</v>
      </c>
    </row>
    <row r="847" spans="1:18" x14ac:dyDescent="0.25">
      <c r="A847">
        <v>846</v>
      </c>
      <c r="B847">
        <v>5</v>
      </c>
      <c r="C847" t="str">
        <f>VLOOKUP(B847,'Cadastro Produtos'!A:E,2,2)</f>
        <v>Limonada Alfa com Açúcar 1 L</v>
      </c>
      <c r="D847">
        <v>2</v>
      </c>
      <c r="E847" t="str">
        <f>VLOOKUP(D847,'Cadatro Clientes'!A:O,2,2)</f>
        <v>Limão S/A</v>
      </c>
      <c r="F847" t="str">
        <f>VLOOKUP(D847,'Cadatro Clientes'!A:O,9,2)</f>
        <v>Centro-Oeste</v>
      </c>
      <c r="G847" s="15">
        <v>41958</v>
      </c>
      <c r="H847">
        <f t="shared" si="66"/>
        <v>7</v>
      </c>
      <c r="I847">
        <f t="shared" si="67"/>
        <v>15</v>
      </c>
      <c r="J847">
        <f t="shared" si="68"/>
        <v>11</v>
      </c>
      <c r="K847">
        <f t="shared" si="69"/>
        <v>2014</v>
      </c>
      <c r="M847">
        <v>4</v>
      </c>
      <c r="N847" t="str">
        <f>VLOOKUP(M847,'Cadastro Vendedores'!A:H,2,2)</f>
        <v>José</v>
      </c>
      <c r="O847" s="2"/>
      <c r="P847" s="16">
        <v>3800</v>
      </c>
      <c r="Q847" s="2">
        <f>VLOOKUP(B847,'Cadastro Produtos'!A:F,5,2)</f>
        <v>15</v>
      </c>
      <c r="R847" s="14">
        <f t="shared" si="65"/>
        <v>57000</v>
      </c>
    </row>
    <row r="848" spans="1:18" x14ac:dyDescent="0.25">
      <c r="A848">
        <v>847</v>
      </c>
      <c r="B848">
        <v>7</v>
      </c>
      <c r="C848" t="str">
        <f>VLOOKUP(B848,'Cadastro Produtos'!A:E,2,2)</f>
        <v>Limonada Alfa Zero 1 L</v>
      </c>
      <c r="D848">
        <v>8</v>
      </c>
      <c r="E848" t="str">
        <f>VLOOKUP(D848,'Cadatro Clientes'!A:O,2,2)</f>
        <v>Refresko</v>
      </c>
      <c r="F848" t="str">
        <f>VLOOKUP(D848,'Cadatro Clientes'!A:O,9,2)</f>
        <v>Sul</v>
      </c>
      <c r="G848" s="15">
        <v>41959</v>
      </c>
      <c r="H848">
        <f t="shared" si="66"/>
        <v>1</v>
      </c>
      <c r="I848">
        <f t="shared" si="67"/>
        <v>16</v>
      </c>
      <c r="J848">
        <f t="shared" si="68"/>
        <v>11</v>
      </c>
      <c r="K848">
        <f t="shared" si="69"/>
        <v>2014</v>
      </c>
      <c r="M848">
        <v>3</v>
      </c>
      <c r="N848" t="str">
        <f>VLOOKUP(M848,'Cadastro Vendedores'!A:H,2,2)</f>
        <v>Antônia</v>
      </c>
      <c r="O848" s="2"/>
      <c r="P848" s="16">
        <v>3300</v>
      </c>
      <c r="Q848" s="2">
        <f>VLOOKUP(B848,'Cadastro Produtos'!A:F,5,2)</f>
        <v>15</v>
      </c>
      <c r="R848" s="14">
        <f t="shared" si="65"/>
        <v>49500</v>
      </c>
    </row>
    <row r="849" spans="1:18" x14ac:dyDescent="0.25">
      <c r="A849">
        <v>848</v>
      </c>
      <c r="B849">
        <v>3</v>
      </c>
      <c r="C849" t="str">
        <f>VLOOKUP(B849,'Cadastro Produtos'!A:E,2,2)</f>
        <v>Limonada Alfa Zero 500 ml</v>
      </c>
      <c r="D849">
        <v>19</v>
      </c>
      <c r="E849" t="str">
        <f>VLOOKUP(D849,'Cadatro Clientes'!A:O,2,2)</f>
        <v>Lima Limão</v>
      </c>
      <c r="F849" t="str">
        <f>VLOOKUP(D849,'Cadatro Clientes'!A:O,9,2)</f>
        <v>Sudeste</v>
      </c>
      <c r="G849" s="15">
        <v>41959</v>
      </c>
      <c r="H849">
        <f t="shared" si="66"/>
        <v>1</v>
      </c>
      <c r="I849">
        <f t="shared" si="67"/>
        <v>16</v>
      </c>
      <c r="J849">
        <f t="shared" si="68"/>
        <v>11</v>
      </c>
      <c r="K849">
        <f t="shared" si="69"/>
        <v>2014</v>
      </c>
      <c r="M849">
        <v>6</v>
      </c>
      <c r="N849" t="str">
        <f>VLOOKUP(M849,'Cadastro Vendedores'!A:H,2,2)</f>
        <v>Antônia</v>
      </c>
      <c r="O849" s="2"/>
      <c r="P849" s="16">
        <v>1500</v>
      </c>
      <c r="Q849" s="2">
        <f>VLOOKUP(B849,'Cadastro Produtos'!A:F,5,2)</f>
        <v>9</v>
      </c>
      <c r="R849" s="14">
        <f t="shared" si="65"/>
        <v>13500</v>
      </c>
    </row>
    <row r="850" spans="1:18" x14ac:dyDescent="0.25">
      <c r="A850">
        <v>849</v>
      </c>
      <c r="B850">
        <v>5</v>
      </c>
      <c r="C850" t="str">
        <f>VLOOKUP(B850,'Cadastro Produtos'!A:E,2,2)</f>
        <v>Limonada Alfa com Açúcar 1 L</v>
      </c>
      <c r="D850">
        <v>1</v>
      </c>
      <c r="E850" t="str">
        <f>VLOOKUP(D850,'Cadatro Clientes'!A:O,2,2)</f>
        <v>Meu Suco de Limão</v>
      </c>
      <c r="F850" t="str">
        <f>VLOOKUP(D850,'Cadatro Clientes'!A:O,9,2)</f>
        <v>Norte</v>
      </c>
      <c r="G850" s="15">
        <v>41960</v>
      </c>
      <c r="H850">
        <f t="shared" si="66"/>
        <v>2</v>
      </c>
      <c r="I850">
        <f t="shared" si="67"/>
        <v>17</v>
      </c>
      <c r="J850">
        <f t="shared" si="68"/>
        <v>11</v>
      </c>
      <c r="K850">
        <f t="shared" si="69"/>
        <v>2014</v>
      </c>
      <c r="M850">
        <v>7</v>
      </c>
      <c r="N850" t="str">
        <f>VLOOKUP(M850,'Cadastro Vendedores'!A:H,2,2)</f>
        <v>Benedito</v>
      </c>
      <c r="O850" s="2"/>
      <c r="P850" s="16">
        <v>3600</v>
      </c>
      <c r="Q850" s="2">
        <f>VLOOKUP(B850,'Cadastro Produtos'!A:F,5,2)</f>
        <v>15</v>
      </c>
      <c r="R850" s="14">
        <f t="shared" si="65"/>
        <v>54000</v>
      </c>
    </row>
    <row r="851" spans="1:18" x14ac:dyDescent="0.25">
      <c r="A851">
        <v>850</v>
      </c>
      <c r="B851">
        <v>5</v>
      </c>
      <c r="C851" t="str">
        <f>VLOOKUP(B851,'Cadastro Produtos'!A:E,2,2)</f>
        <v>Limonada Alfa com Açúcar 1 L</v>
      </c>
      <c r="D851">
        <v>6</v>
      </c>
      <c r="E851" t="str">
        <f>VLOOKUP(D851,'Cadatro Clientes'!A:O,2,2)</f>
        <v>Lemonade</v>
      </c>
      <c r="F851" t="str">
        <f>VLOOKUP(D851,'Cadatro Clientes'!A:O,9,2)</f>
        <v>Norte</v>
      </c>
      <c r="G851" s="15">
        <v>41960</v>
      </c>
      <c r="H851">
        <f t="shared" si="66"/>
        <v>2</v>
      </c>
      <c r="I851">
        <f t="shared" si="67"/>
        <v>17</v>
      </c>
      <c r="J851">
        <f t="shared" si="68"/>
        <v>11</v>
      </c>
      <c r="K851">
        <f t="shared" si="69"/>
        <v>2014</v>
      </c>
      <c r="M851">
        <v>4</v>
      </c>
      <c r="N851" t="str">
        <f>VLOOKUP(M851,'Cadastro Vendedores'!A:H,2,2)</f>
        <v>José</v>
      </c>
      <c r="O851" s="2"/>
      <c r="P851" s="16">
        <v>2000</v>
      </c>
      <c r="Q851" s="2">
        <f>VLOOKUP(B851,'Cadastro Produtos'!A:F,5,2)</f>
        <v>15</v>
      </c>
      <c r="R851" s="14">
        <f t="shared" si="65"/>
        <v>30000</v>
      </c>
    </row>
    <row r="852" spans="1:18" x14ac:dyDescent="0.25">
      <c r="A852">
        <v>851</v>
      </c>
      <c r="B852">
        <v>7</v>
      </c>
      <c r="C852" t="str">
        <f>VLOOKUP(B852,'Cadastro Produtos'!A:E,2,2)</f>
        <v>Limonada Alfa Zero 1 L</v>
      </c>
      <c r="D852">
        <v>2</v>
      </c>
      <c r="E852" t="str">
        <f>VLOOKUP(D852,'Cadatro Clientes'!A:O,2,2)</f>
        <v>Limão S/A</v>
      </c>
      <c r="F852" t="str">
        <f>VLOOKUP(D852,'Cadatro Clientes'!A:O,9,2)</f>
        <v>Centro-Oeste</v>
      </c>
      <c r="G852" s="15">
        <v>41960</v>
      </c>
      <c r="H852">
        <f t="shared" si="66"/>
        <v>2</v>
      </c>
      <c r="I852">
        <f t="shared" si="67"/>
        <v>17</v>
      </c>
      <c r="J852">
        <f t="shared" si="68"/>
        <v>11</v>
      </c>
      <c r="K852">
        <f t="shared" si="69"/>
        <v>2014</v>
      </c>
      <c r="M852">
        <v>4</v>
      </c>
      <c r="N852" t="str">
        <f>VLOOKUP(M852,'Cadastro Vendedores'!A:H,2,2)</f>
        <v>José</v>
      </c>
      <c r="O852" s="2"/>
      <c r="P852" s="16">
        <v>2500</v>
      </c>
      <c r="Q852" s="2">
        <f>VLOOKUP(B852,'Cadastro Produtos'!A:F,5,2)</f>
        <v>15</v>
      </c>
      <c r="R852" s="14">
        <f t="shared" si="65"/>
        <v>37500</v>
      </c>
    </row>
    <row r="853" spans="1:18" x14ac:dyDescent="0.25">
      <c r="A853">
        <v>852</v>
      </c>
      <c r="B853">
        <v>6</v>
      </c>
      <c r="C853" t="str">
        <f>VLOOKUP(B853,'Cadastro Produtos'!A:E,2,2)</f>
        <v>Limonada Beta com Açúcar 1 L</v>
      </c>
      <c r="D853">
        <v>19</v>
      </c>
      <c r="E853" t="str">
        <f>VLOOKUP(D853,'Cadatro Clientes'!A:O,2,2)</f>
        <v>Lima Limão</v>
      </c>
      <c r="F853" t="str">
        <f>VLOOKUP(D853,'Cadatro Clientes'!A:O,9,2)</f>
        <v>Sudeste</v>
      </c>
      <c r="G853" s="15">
        <v>41960</v>
      </c>
      <c r="H853">
        <f t="shared" si="66"/>
        <v>2</v>
      </c>
      <c r="I853">
        <f t="shared" si="67"/>
        <v>17</v>
      </c>
      <c r="J853">
        <f t="shared" si="68"/>
        <v>11</v>
      </c>
      <c r="K853">
        <f t="shared" si="69"/>
        <v>2014</v>
      </c>
      <c r="M853">
        <v>4</v>
      </c>
      <c r="N853" t="str">
        <f>VLOOKUP(M853,'Cadastro Vendedores'!A:H,2,2)</f>
        <v>José</v>
      </c>
      <c r="O853" s="2"/>
      <c r="P853" s="16">
        <v>3400</v>
      </c>
      <c r="Q853" s="2">
        <f>VLOOKUP(B853,'Cadastro Produtos'!A:F,5,2)</f>
        <v>12</v>
      </c>
      <c r="R853" s="14">
        <f t="shared" si="65"/>
        <v>40800</v>
      </c>
    </row>
    <row r="854" spans="1:18" x14ac:dyDescent="0.25">
      <c r="A854">
        <v>853</v>
      </c>
      <c r="B854">
        <v>1</v>
      </c>
      <c r="C854" t="str">
        <f>VLOOKUP(B854,'Cadastro Produtos'!A:E,2,2)</f>
        <v>Limonada Alfa com Açúcar 500 ml</v>
      </c>
      <c r="D854">
        <v>9</v>
      </c>
      <c r="E854" t="str">
        <f>VLOOKUP(D854,'Cadatro Clientes'!A:O,2,2)</f>
        <v>Fresh Lemon</v>
      </c>
      <c r="F854" t="str">
        <f>VLOOKUP(D854,'Cadatro Clientes'!A:O,9,2)</f>
        <v>Sudeste</v>
      </c>
      <c r="G854" s="15">
        <v>41960</v>
      </c>
      <c r="H854">
        <f t="shared" si="66"/>
        <v>2</v>
      </c>
      <c r="I854">
        <f t="shared" si="67"/>
        <v>17</v>
      </c>
      <c r="J854">
        <f t="shared" si="68"/>
        <v>11</v>
      </c>
      <c r="K854">
        <f t="shared" si="69"/>
        <v>2014</v>
      </c>
      <c r="M854">
        <v>9</v>
      </c>
      <c r="N854" t="str">
        <f>VLOOKUP(M854,'Cadastro Vendedores'!A:H,2,2)</f>
        <v>Adriana</v>
      </c>
      <c r="O854" s="2"/>
      <c r="P854" s="16">
        <v>7300</v>
      </c>
      <c r="Q854" s="2">
        <f>VLOOKUP(B854,'Cadastro Produtos'!A:F,5,2)</f>
        <v>8.5</v>
      </c>
      <c r="R854" s="14">
        <f t="shared" si="65"/>
        <v>62050</v>
      </c>
    </row>
    <row r="855" spans="1:18" x14ac:dyDescent="0.25">
      <c r="A855">
        <v>854</v>
      </c>
      <c r="B855">
        <v>10</v>
      </c>
      <c r="C855" t="str">
        <f>VLOOKUP(B855,'Cadastro Produtos'!A:E,2,2)</f>
        <v>Limonada Alfa com Hortelã Zero 1 L</v>
      </c>
      <c r="D855">
        <v>12</v>
      </c>
      <c r="E855" t="str">
        <f>VLOOKUP(D855,'Cadatro Clientes'!A:O,2,2)</f>
        <v>Limão da Ilha</v>
      </c>
      <c r="F855" t="str">
        <f>VLOOKUP(D855,'Cadatro Clientes'!A:O,9,2)</f>
        <v>Sul</v>
      </c>
      <c r="G855" s="15">
        <v>41960</v>
      </c>
      <c r="H855">
        <f t="shared" si="66"/>
        <v>2</v>
      </c>
      <c r="I855">
        <f t="shared" si="67"/>
        <v>17</v>
      </c>
      <c r="J855">
        <f t="shared" si="68"/>
        <v>11</v>
      </c>
      <c r="K855">
        <f t="shared" si="69"/>
        <v>2014</v>
      </c>
      <c r="M855">
        <v>4</v>
      </c>
      <c r="N855" t="str">
        <f>VLOOKUP(M855,'Cadastro Vendedores'!A:H,2,2)</f>
        <v>José</v>
      </c>
      <c r="O855" s="2"/>
      <c r="P855" s="16">
        <v>2200</v>
      </c>
      <c r="Q855" s="2">
        <f>VLOOKUP(B855,'Cadastro Produtos'!A:F,5,2)</f>
        <v>21</v>
      </c>
      <c r="R855" s="14">
        <f t="shared" si="65"/>
        <v>46200</v>
      </c>
    </row>
    <row r="856" spans="1:18" x14ac:dyDescent="0.25">
      <c r="A856">
        <v>855</v>
      </c>
      <c r="B856">
        <v>9</v>
      </c>
      <c r="C856" t="str">
        <f>VLOOKUP(B856,'Cadastro Produtos'!A:E,2,2)</f>
        <v>Limonada Alfa com Hortelã e Açúcar 1 L</v>
      </c>
      <c r="D856">
        <v>5</v>
      </c>
      <c r="E856" t="str">
        <f>VLOOKUP(D856,'Cadatro Clientes'!A:O,2,2)</f>
        <v>Axé com Limão</v>
      </c>
      <c r="F856" t="str">
        <f>VLOOKUP(D856,'Cadatro Clientes'!A:O,9,2)</f>
        <v>Nordeste</v>
      </c>
      <c r="G856" s="15">
        <v>41961</v>
      </c>
      <c r="H856">
        <f t="shared" si="66"/>
        <v>3</v>
      </c>
      <c r="I856">
        <f t="shared" si="67"/>
        <v>18</v>
      </c>
      <c r="J856">
        <f t="shared" si="68"/>
        <v>11</v>
      </c>
      <c r="K856">
        <f t="shared" si="69"/>
        <v>2014</v>
      </c>
      <c r="M856">
        <v>9</v>
      </c>
      <c r="N856" t="str">
        <f>VLOOKUP(M856,'Cadastro Vendedores'!A:H,2,2)</f>
        <v>Adriana</v>
      </c>
      <c r="O856" s="2"/>
      <c r="P856" s="16">
        <v>800</v>
      </c>
      <c r="Q856" s="2">
        <f>VLOOKUP(B856,'Cadastro Produtos'!A:F,5,2)</f>
        <v>17.5</v>
      </c>
      <c r="R856" s="14">
        <f t="shared" si="65"/>
        <v>14000</v>
      </c>
    </row>
    <row r="857" spans="1:18" x14ac:dyDescent="0.25">
      <c r="A857">
        <v>856</v>
      </c>
      <c r="B857">
        <v>6</v>
      </c>
      <c r="C857" t="str">
        <f>VLOOKUP(B857,'Cadastro Produtos'!A:E,2,2)</f>
        <v>Limonada Beta com Açúcar 1 L</v>
      </c>
      <c r="D857">
        <v>2</v>
      </c>
      <c r="E857" t="str">
        <f>VLOOKUP(D857,'Cadatro Clientes'!A:O,2,2)</f>
        <v>Limão S/A</v>
      </c>
      <c r="F857" t="str">
        <f>VLOOKUP(D857,'Cadatro Clientes'!A:O,9,2)</f>
        <v>Centro-Oeste</v>
      </c>
      <c r="G857" s="15">
        <v>41961</v>
      </c>
      <c r="H857">
        <f t="shared" si="66"/>
        <v>3</v>
      </c>
      <c r="I857">
        <f t="shared" si="67"/>
        <v>18</v>
      </c>
      <c r="J857">
        <f t="shared" si="68"/>
        <v>11</v>
      </c>
      <c r="K857">
        <f t="shared" si="69"/>
        <v>2014</v>
      </c>
      <c r="M857">
        <v>2</v>
      </c>
      <c r="N857" t="str">
        <f>VLOOKUP(M857,'Cadastro Vendedores'!A:H,2,2)</f>
        <v>Luis</v>
      </c>
      <c r="O857" s="2"/>
      <c r="P857" s="16">
        <v>2800</v>
      </c>
      <c r="Q857" s="2">
        <f>VLOOKUP(B857,'Cadastro Produtos'!A:F,5,2)</f>
        <v>12</v>
      </c>
      <c r="R857" s="14">
        <f t="shared" si="65"/>
        <v>33600</v>
      </c>
    </row>
    <row r="858" spans="1:18" x14ac:dyDescent="0.25">
      <c r="A858">
        <v>857</v>
      </c>
      <c r="B858">
        <v>7</v>
      </c>
      <c r="C858" t="str">
        <f>VLOOKUP(B858,'Cadastro Produtos'!A:E,2,2)</f>
        <v>Limonada Alfa Zero 1 L</v>
      </c>
      <c r="D858">
        <v>19</v>
      </c>
      <c r="E858" t="str">
        <f>VLOOKUP(D858,'Cadatro Clientes'!A:O,2,2)</f>
        <v>Lima Limão</v>
      </c>
      <c r="F858" t="str">
        <f>VLOOKUP(D858,'Cadatro Clientes'!A:O,9,2)</f>
        <v>Sudeste</v>
      </c>
      <c r="G858" s="15">
        <v>41961</v>
      </c>
      <c r="H858">
        <f t="shared" si="66"/>
        <v>3</v>
      </c>
      <c r="I858">
        <f t="shared" si="67"/>
        <v>18</v>
      </c>
      <c r="J858">
        <f t="shared" si="68"/>
        <v>11</v>
      </c>
      <c r="K858">
        <f t="shared" si="69"/>
        <v>2014</v>
      </c>
      <c r="M858">
        <v>2</v>
      </c>
      <c r="N858" t="str">
        <f>VLOOKUP(M858,'Cadastro Vendedores'!A:H,2,2)</f>
        <v>Luis</v>
      </c>
      <c r="O858" s="2"/>
      <c r="P858" s="16">
        <v>2500</v>
      </c>
      <c r="Q858" s="2">
        <f>VLOOKUP(B858,'Cadastro Produtos'!A:F,5,2)</f>
        <v>15</v>
      </c>
      <c r="R858" s="14">
        <f t="shared" si="65"/>
        <v>37500</v>
      </c>
    </row>
    <row r="859" spans="1:18" x14ac:dyDescent="0.25">
      <c r="A859">
        <v>858</v>
      </c>
      <c r="B859">
        <v>5</v>
      </c>
      <c r="C859" t="str">
        <f>VLOOKUP(B859,'Cadastro Produtos'!A:E,2,2)</f>
        <v>Limonada Alfa com Açúcar 1 L</v>
      </c>
      <c r="D859">
        <v>6</v>
      </c>
      <c r="E859" t="str">
        <f>VLOOKUP(D859,'Cadatro Clientes'!A:O,2,2)</f>
        <v>Lemonade</v>
      </c>
      <c r="F859" t="str">
        <f>VLOOKUP(D859,'Cadatro Clientes'!A:O,9,2)</f>
        <v>Norte</v>
      </c>
      <c r="G859" s="15">
        <v>41961</v>
      </c>
      <c r="H859">
        <f t="shared" si="66"/>
        <v>3</v>
      </c>
      <c r="I859">
        <f t="shared" si="67"/>
        <v>18</v>
      </c>
      <c r="J859">
        <f t="shared" si="68"/>
        <v>11</v>
      </c>
      <c r="K859">
        <f t="shared" si="69"/>
        <v>2014</v>
      </c>
      <c r="M859">
        <v>4</v>
      </c>
      <c r="N859" t="str">
        <f>VLOOKUP(M859,'Cadastro Vendedores'!A:H,2,2)</f>
        <v>José</v>
      </c>
      <c r="O859" s="2"/>
      <c r="P859" s="16">
        <v>2200</v>
      </c>
      <c r="Q859" s="2">
        <f>VLOOKUP(B859,'Cadastro Produtos'!A:F,5,2)</f>
        <v>15</v>
      </c>
      <c r="R859" s="14">
        <f t="shared" si="65"/>
        <v>33000</v>
      </c>
    </row>
    <row r="860" spans="1:18" x14ac:dyDescent="0.25">
      <c r="A860">
        <v>859</v>
      </c>
      <c r="B860">
        <v>8</v>
      </c>
      <c r="C860" t="str">
        <f>VLOOKUP(B860,'Cadastro Produtos'!A:E,2,2)</f>
        <v>Limonada Beta Zero 1 L</v>
      </c>
      <c r="D860">
        <v>6</v>
      </c>
      <c r="E860" t="str">
        <f>VLOOKUP(D860,'Cadatro Clientes'!A:O,2,2)</f>
        <v>Lemonade</v>
      </c>
      <c r="F860" t="str">
        <f>VLOOKUP(D860,'Cadatro Clientes'!A:O,9,2)</f>
        <v>Norte</v>
      </c>
      <c r="G860" s="15">
        <v>41962</v>
      </c>
      <c r="H860">
        <f t="shared" si="66"/>
        <v>4</v>
      </c>
      <c r="I860">
        <f t="shared" si="67"/>
        <v>19</v>
      </c>
      <c r="J860">
        <f t="shared" si="68"/>
        <v>11</v>
      </c>
      <c r="K860">
        <f t="shared" si="69"/>
        <v>2014</v>
      </c>
      <c r="M860">
        <v>3</v>
      </c>
      <c r="N860" t="str">
        <f>VLOOKUP(M860,'Cadastro Vendedores'!A:H,2,2)</f>
        <v>Antônia</v>
      </c>
      <c r="O860" s="2"/>
      <c r="P860" s="16">
        <v>3300</v>
      </c>
      <c r="Q860" s="2">
        <f>VLOOKUP(B860,'Cadastro Produtos'!A:F,5,2)</f>
        <v>12</v>
      </c>
      <c r="R860" s="14">
        <f t="shared" si="65"/>
        <v>39600</v>
      </c>
    </row>
    <row r="861" spans="1:18" x14ac:dyDescent="0.25">
      <c r="A861">
        <v>860</v>
      </c>
      <c r="B861">
        <v>2</v>
      </c>
      <c r="C861" t="str">
        <f>VLOOKUP(B861,'Cadastro Produtos'!A:E,2,2)</f>
        <v>Limonada Beta com Açúcar 500 ml</v>
      </c>
      <c r="D861">
        <v>8</v>
      </c>
      <c r="E861" t="str">
        <f>VLOOKUP(D861,'Cadatro Clientes'!A:O,2,2)</f>
        <v>Refresko</v>
      </c>
      <c r="F861" t="str">
        <f>VLOOKUP(D861,'Cadatro Clientes'!A:O,9,2)</f>
        <v>Sul</v>
      </c>
      <c r="G861" s="15">
        <v>41962</v>
      </c>
      <c r="H861">
        <f t="shared" si="66"/>
        <v>4</v>
      </c>
      <c r="I861">
        <f t="shared" si="67"/>
        <v>19</v>
      </c>
      <c r="J861">
        <f t="shared" si="68"/>
        <v>11</v>
      </c>
      <c r="K861">
        <f t="shared" si="69"/>
        <v>2014</v>
      </c>
      <c r="M861">
        <v>12</v>
      </c>
      <c r="N861" t="str">
        <f>VLOOKUP(M861,'Cadastro Vendedores'!A:H,2,2)</f>
        <v>Paulo</v>
      </c>
      <c r="O861" s="2"/>
      <c r="P861" s="16">
        <v>2800</v>
      </c>
      <c r="Q861" s="2">
        <f>VLOOKUP(B861,'Cadastro Produtos'!A:F,5,2)</f>
        <v>6.5</v>
      </c>
      <c r="R861" s="14">
        <f t="shared" si="65"/>
        <v>18200</v>
      </c>
    </row>
    <row r="862" spans="1:18" x14ac:dyDescent="0.25">
      <c r="A862">
        <v>861</v>
      </c>
      <c r="B862">
        <v>6</v>
      </c>
      <c r="C862" t="str">
        <f>VLOOKUP(B862,'Cadastro Produtos'!A:E,2,2)</f>
        <v>Limonada Beta com Açúcar 1 L</v>
      </c>
      <c r="D862">
        <v>4</v>
      </c>
      <c r="E862" t="str">
        <f>VLOOKUP(D862,'Cadatro Clientes'!A:O,2,2)</f>
        <v>Limão Carioca e Cia</v>
      </c>
      <c r="F862" t="str">
        <f>VLOOKUP(D862,'Cadatro Clientes'!A:O,9,2)</f>
        <v>Sudeste</v>
      </c>
      <c r="G862" s="15">
        <v>41963</v>
      </c>
      <c r="H862">
        <f t="shared" si="66"/>
        <v>5</v>
      </c>
      <c r="I862">
        <f t="shared" si="67"/>
        <v>20</v>
      </c>
      <c r="J862">
        <f t="shared" si="68"/>
        <v>11</v>
      </c>
      <c r="K862">
        <f t="shared" si="69"/>
        <v>2014</v>
      </c>
      <c r="M862">
        <v>7</v>
      </c>
      <c r="N862" t="str">
        <f>VLOOKUP(M862,'Cadastro Vendedores'!A:H,2,2)</f>
        <v>Benedito</v>
      </c>
      <c r="O862" s="2"/>
      <c r="P862" s="16">
        <v>4300</v>
      </c>
      <c r="Q862" s="2">
        <f>VLOOKUP(B862,'Cadastro Produtos'!A:F,5,2)</f>
        <v>12</v>
      </c>
      <c r="R862" s="14">
        <f t="shared" si="65"/>
        <v>51600</v>
      </c>
    </row>
    <row r="863" spans="1:18" x14ac:dyDescent="0.25">
      <c r="A863">
        <v>862</v>
      </c>
      <c r="B863">
        <v>3</v>
      </c>
      <c r="C863" t="str">
        <f>VLOOKUP(B863,'Cadastro Produtos'!A:E,2,2)</f>
        <v>Limonada Alfa Zero 500 ml</v>
      </c>
      <c r="D863">
        <v>11</v>
      </c>
      <c r="E863" t="str">
        <f>VLOOKUP(D863,'Cadatro Clientes'!A:O,2,2)</f>
        <v>Red Lemon</v>
      </c>
      <c r="F863" t="str">
        <f>VLOOKUP(D863,'Cadatro Clientes'!A:O,9,2)</f>
        <v>Sul</v>
      </c>
      <c r="G863" s="15">
        <v>41964</v>
      </c>
      <c r="H863">
        <f t="shared" si="66"/>
        <v>6</v>
      </c>
      <c r="I863">
        <f t="shared" si="67"/>
        <v>21</v>
      </c>
      <c r="J863">
        <f t="shared" si="68"/>
        <v>11</v>
      </c>
      <c r="K863">
        <f t="shared" si="69"/>
        <v>2014</v>
      </c>
      <c r="M863">
        <v>7</v>
      </c>
      <c r="N863" t="str">
        <f>VLOOKUP(M863,'Cadastro Vendedores'!A:H,2,2)</f>
        <v>Benedito</v>
      </c>
      <c r="O863" s="2"/>
      <c r="P863" s="16">
        <v>6200</v>
      </c>
      <c r="Q863" s="2">
        <f>VLOOKUP(B863,'Cadastro Produtos'!A:F,5,2)</f>
        <v>9</v>
      </c>
      <c r="R863" s="14">
        <f t="shared" si="65"/>
        <v>55800</v>
      </c>
    </row>
    <row r="864" spans="1:18" x14ac:dyDescent="0.25">
      <c r="A864">
        <v>863</v>
      </c>
      <c r="B864">
        <v>7</v>
      </c>
      <c r="C864" t="str">
        <f>VLOOKUP(B864,'Cadastro Produtos'!A:E,2,2)</f>
        <v>Limonada Alfa Zero 1 L</v>
      </c>
      <c r="D864">
        <v>8</v>
      </c>
      <c r="E864" t="str">
        <f>VLOOKUP(D864,'Cadatro Clientes'!A:O,2,2)</f>
        <v>Refresko</v>
      </c>
      <c r="F864" t="str">
        <f>VLOOKUP(D864,'Cadatro Clientes'!A:O,9,2)</f>
        <v>Sul</v>
      </c>
      <c r="G864" s="15">
        <v>41964</v>
      </c>
      <c r="H864">
        <f t="shared" si="66"/>
        <v>6</v>
      </c>
      <c r="I864">
        <f t="shared" si="67"/>
        <v>21</v>
      </c>
      <c r="J864">
        <f t="shared" si="68"/>
        <v>11</v>
      </c>
      <c r="K864">
        <f t="shared" si="69"/>
        <v>2014</v>
      </c>
      <c r="M864">
        <v>7</v>
      </c>
      <c r="N864" t="str">
        <f>VLOOKUP(M864,'Cadastro Vendedores'!A:H,2,2)</f>
        <v>Benedito</v>
      </c>
      <c r="O864" s="2"/>
      <c r="P864" s="16">
        <v>3000</v>
      </c>
      <c r="Q864" s="2">
        <f>VLOOKUP(B864,'Cadastro Produtos'!A:F,5,2)</f>
        <v>15</v>
      </c>
      <c r="R864" s="14">
        <f t="shared" si="65"/>
        <v>45000</v>
      </c>
    </row>
    <row r="865" spans="1:18" x14ac:dyDescent="0.25">
      <c r="A865">
        <v>864</v>
      </c>
      <c r="B865">
        <v>8</v>
      </c>
      <c r="C865" t="str">
        <f>VLOOKUP(B865,'Cadastro Produtos'!A:E,2,2)</f>
        <v>Limonada Beta Zero 1 L</v>
      </c>
      <c r="D865">
        <v>6</v>
      </c>
      <c r="E865" t="str">
        <f>VLOOKUP(D865,'Cadatro Clientes'!A:O,2,2)</f>
        <v>Lemonade</v>
      </c>
      <c r="F865" t="str">
        <f>VLOOKUP(D865,'Cadatro Clientes'!A:O,9,2)</f>
        <v>Norte</v>
      </c>
      <c r="G865" s="15">
        <v>41964</v>
      </c>
      <c r="H865">
        <f t="shared" si="66"/>
        <v>6</v>
      </c>
      <c r="I865">
        <f t="shared" si="67"/>
        <v>21</v>
      </c>
      <c r="J865">
        <f t="shared" si="68"/>
        <v>11</v>
      </c>
      <c r="K865">
        <f t="shared" si="69"/>
        <v>2014</v>
      </c>
      <c r="M865">
        <v>13</v>
      </c>
      <c r="N865" t="str">
        <f>VLOOKUP(M865,'Cadastro Vendedores'!A:H,2,2)</f>
        <v>Andre</v>
      </c>
      <c r="O865" s="2"/>
      <c r="P865" s="16">
        <v>1800</v>
      </c>
      <c r="Q865" s="2">
        <f>VLOOKUP(B865,'Cadastro Produtos'!A:F,5,2)</f>
        <v>12</v>
      </c>
      <c r="R865" s="14">
        <f t="shared" si="65"/>
        <v>21600</v>
      </c>
    </row>
    <row r="866" spans="1:18" x14ac:dyDescent="0.25">
      <c r="A866">
        <v>865</v>
      </c>
      <c r="B866">
        <v>3</v>
      </c>
      <c r="C866" t="str">
        <f>VLOOKUP(B866,'Cadastro Produtos'!A:E,2,2)</f>
        <v>Limonada Alfa Zero 500 ml</v>
      </c>
      <c r="D866">
        <v>12</v>
      </c>
      <c r="E866" t="str">
        <f>VLOOKUP(D866,'Cadatro Clientes'!A:O,2,2)</f>
        <v>Limão da Ilha</v>
      </c>
      <c r="F866" t="str">
        <f>VLOOKUP(D866,'Cadatro Clientes'!A:O,9,2)</f>
        <v>Sul</v>
      </c>
      <c r="G866" s="15">
        <v>41965</v>
      </c>
      <c r="H866">
        <f t="shared" si="66"/>
        <v>7</v>
      </c>
      <c r="I866">
        <f t="shared" si="67"/>
        <v>22</v>
      </c>
      <c r="J866">
        <f t="shared" si="68"/>
        <v>11</v>
      </c>
      <c r="K866">
        <f t="shared" si="69"/>
        <v>2014</v>
      </c>
      <c r="M866">
        <v>9</v>
      </c>
      <c r="N866" t="str">
        <f>VLOOKUP(M866,'Cadastro Vendedores'!A:H,2,2)</f>
        <v>Adriana</v>
      </c>
      <c r="O866" s="2"/>
      <c r="P866" s="16">
        <v>2700</v>
      </c>
      <c r="Q866" s="2">
        <f>VLOOKUP(B866,'Cadastro Produtos'!A:F,5,2)</f>
        <v>9</v>
      </c>
      <c r="R866" s="14">
        <f t="shared" si="65"/>
        <v>24300</v>
      </c>
    </row>
    <row r="867" spans="1:18" x14ac:dyDescent="0.25">
      <c r="A867">
        <v>866</v>
      </c>
      <c r="B867">
        <v>1</v>
      </c>
      <c r="C867" t="str">
        <f>VLOOKUP(B867,'Cadastro Produtos'!A:E,2,2)</f>
        <v>Limonada Alfa com Açúcar 500 ml</v>
      </c>
      <c r="D867">
        <v>11</v>
      </c>
      <c r="E867" t="str">
        <f>VLOOKUP(D867,'Cadatro Clientes'!A:O,2,2)</f>
        <v>Red Lemon</v>
      </c>
      <c r="F867" t="str">
        <f>VLOOKUP(D867,'Cadatro Clientes'!A:O,9,2)</f>
        <v>Sul</v>
      </c>
      <c r="G867" s="15">
        <v>41966</v>
      </c>
      <c r="H867">
        <f t="shared" si="66"/>
        <v>1</v>
      </c>
      <c r="I867">
        <f t="shared" si="67"/>
        <v>23</v>
      </c>
      <c r="J867">
        <f t="shared" si="68"/>
        <v>11</v>
      </c>
      <c r="K867">
        <f t="shared" si="69"/>
        <v>2014</v>
      </c>
      <c r="M867">
        <v>3</v>
      </c>
      <c r="N867" t="str">
        <f>VLOOKUP(M867,'Cadastro Vendedores'!A:H,2,2)</f>
        <v>Antônia</v>
      </c>
      <c r="O867" s="2"/>
      <c r="P867" s="16">
        <v>5300</v>
      </c>
      <c r="Q867" s="2">
        <f>VLOOKUP(B867,'Cadastro Produtos'!A:F,5,2)</f>
        <v>8.5</v>
      </c>
      <c r="R867" s="14">
        <f t="shared" si="65"/>
        <v>45050</v>
      </c>
    </row>
    <row r="868" spans="1:18" x14ac:dyDescent="0.25">
      <c r="A868">
        <v>867</v>
      </c>
      <c r="B868">
        <v>5</v>
      </c>
      <c r="C868" t="str">
        <f>VLOOKUP(B868,'Cadastro Produtos'!A:E,2,2)</f>
        <v>Limonada Alfa com Açúcar 1 L</v>
      </c>
      <c r="D868">
        <v>5</v>
      </c>
      <c r="E868" t="str">
        <f>VLOOKUP(D868,'Cadatro Clientes'!A:O,2,2)</f>
        <v>Axé com Limão</v>
      </c>
      <c r="F868" t="str">
        <f>VLOOKUP(D868,'Cadatro Clientes'!A:O,9,2)</f>
        <v>Nordeste</v>
      </c>
      <c r="G868" s="15">
        <v>41966</v>
      </c>
      <c r="H868">
        <f t="shared" si="66"/>
        <v>1</v>
      </c>
      <c r="I868">
        <f t="shared" si="67"/>
        <v>23</v>
      </c>
      <c r="J868">
        <f t="shared" si="68"/>
        <v>11</v>
      </c>
      <c r="K868">
        <f t="shared" si="69"/>
        <v>2014</v>
      </c>
      <c r="M868">
        <v>12</v>
      </c>
      <c r="N868" t="str">
        <f>VLOOKUP(M868,'Cadastro Vendedores'!A:H,2,2)</f>
        <v>Paulo</v>
      </c>
      <c r="O868" s="2"/>
      <c r="P868" s="16">
        <v>3500</v>
      </c>
      <c r="Q868" s="2">
        <f>VLOOKUP(B868,'Cadastro Produtos'!A:F,5,2)</f>
        <v>15</v>
      </c>
      <c r="R868" s="14">
        <f t="shared" si="65"/>
        <v>52500</v>
      </c>
    </row>
    <row r="869" spans="1:18" x14ac:dyDescent="0.25">
      <c r="A869">
        <v>868</v>
      </c>
      <c r="B869">
        <v>1</v>
      </c>
      <c r="C869" t="str">
        <f>VLOOKUP(B869,'Cadastro Produtos'!A:E,2,2)</f>
        <v>Limonada Alfa com Açúcar 500 ml</v>
      </c>
      <c r="D869">
        <v>8</v>
      </c>
      <c r="E869" t="str">
        <f>VLOOKUP(D869,'Cadatro Clientes'!A:O,2,2)</f>
        <v>Refresko</v>
      </c>
      <c r="F869" t="str">
        <f>VLOOKUP(D869,'Cadatro Clientes'!A:O,9,2)</f>
        <v>Sul</v>
      </c>
      <c r="G869" s="15">
        <v>41967</v>
      </c>
      <c r="H869">
        <f t="shared" si="66"/>
        <v>2</v>
      </c>
      <c r="I869">
        <f t="shared" si="67"/>
        <v>24</v>
      </c>
      <c r="J869">
        <f t="shared" si="68"/>
        <v>11</v>
      </c>
      <c r="K869">
        <f t="shared" si="69"/>
        <v>2014</v>
      </c>
      <c r="M869">
        <v>13</v>
      </c>
      <c r="N869" t="str">
        <f>VLOOKUP(M869,'Cadastro Vendedores'!A:H,2,2)</f>
        <v>Andre</v>
      </c>
      <c r="O869" s="2"/>
      <c r="P869" s="16">
        <v>1900</v>
      </c>
      <c r="Q869" s="2">
        <f>VLOOKUP(B869,'Cadastro Produtos'!A:F,5,2)</f>
        <v>8.5</v>
      </c>
      <c r="R869" s="14">
        <f t="shared" si="65"/>
        <v>16150</v>
      </c>
    </row>
    <row r="870" spans="1:18" x14ac:dyDescent="0.25">
      <c r="A870">
        <v>869</v>
      </c>
      <c r="B870">
        <v>7</v>
      </c>
      <c r="C870" t="str">
        <f>VLOOKUP(B870,'Cadastro Produtos'!A:E,2,2)</f>
        <v>Limonada Alfa Zero 1 L</v>
      </c>
      <c r="D870">
        <v>2</v>
      </c>
      <c r="E870" t="str">
        <f>VLOOKUP(D870,'Cadatro Clientes'!A:O,2,2)</f>
        <v>Limão S/A</v>
      </c>
      <c r="F870" t="str">
        <f>VLOOKUP(D870,'Cadatro Clientes'!A:O,9,2)</f>
        <v>Centro-Oeste</v>
      </c>
      <c r="G870" s="15">
        <v>41967</v>
      </c>
      <c r="H870">
        <f t="shared" si="66"/>
        <v>2</v>
      </c>
      <c r="I870">
        <f t="shared" si="67"/>
        <v>24</v>
      </c>
      <c r="J870">
        <f t="shared" si="68"/>
        <v>11</v>
      </c>
      <c r="K870">
        <f t="shared" si="69"/>
        <v>2014</v>
      </c>
      <c r="M870">
        <v>6</v>
      </c>
      <c r="N870" t="str">
        <f>VLOOKUP(M870,'Cadastro Vendedores'!A:H,2,2)</f>
        <v>Antônia</v>
      </c>
      <c r="O870" s="2"/>
      <c r="P870" s="16">
        <v>2700</v>
      </c>
      <c r="Q870" s="2">
        <f>VLOOKUP(B870,'Cadastro Produtos'!A:F,5,2)</f>
        <v>15</v>
      </c>
      <c r="R870" s="14">
        <f t="shared" si="65"/>
        <v>40500</v>
      </c>
    </row>
    <row r="871" spans="1:18" x14ac:dyDescent="0.25">
      <c r="A871">
        <v>870</v>
      </c>
      <c r="B871">
        <v>6</v>
      </c>
      <c r="C871" t="str">
        <f>VLOOKUP(B871,'Cadastro Produtos'!A:E,2,2)</f>
        <v>Limonada Beta com Açúcar 1 L</v>
      </c>
      <c r="D871">
        <v>1</v>
      </c>
      <c r="E871" t="str">
        <f>VLOOKUP(D871,'Cadatro Clientes'!A:O,2,2)</f>
        <v>Meu Suco de Limão</v>
      </c>
      <c r="F871" t="str">
        <f>VLOOKUP(D871,'Cadatro Clientes'!A:O,9,2)</f>
        <v>Norte</v>
      </c>
      <c r="G871" s="15">
        <v>41968</v>
      </c>
      <c r="H871">
        <f t="shared" si="66"/>
        <v>3</v>
      </c>
      <c r="I871">
        <f t="shared" si="67"/>
        <v>25</v>
      </c>
      <c r="J871">
        <f t="shared" si="68"/>
        <v>11</v>
      </c>
      <c r="K871">
        <f t="shared" si="69"/>
        <v>2014</v>
      </c>
      <c r="M871">
        <v>4</v>
      </c>
      <c r="N871" t="str">
        <f>VLOOKUP(M871,'Cadastro Vendedores'!A:H,2,2)</f>
        <v>José</v>
      </c>
      <c r="O871" s="2"/>
      <c r="P871" s="16">
        <v>1700</v>
      </c>
      <c r="Q871" s="2">
        <f>VLOOKUP(B871,'Cadastro Produtos'!A:F,5,2)</f>
        <v>12</v>
      </c>
      <c r="R871" s="14">
        <f t="shared" si="65"/>
        <v>20400</v>
      </c>
    </row>
    <row r="872" spans="1:18" x14ac:dyDescent="0.25">
      <c r="A872">
        <v>871</v>
      </c>
      <c r="B872">
        <v>3</v>
      </c>
      <c r="C872" t="str">
        <f>VLOOKUP(B872,'Cadastro Produtos'!A:E,2,2)</f>
        <v>Limonada Alfa Zero 500 ml</v>
      </c>
      <c r="D872">
        <v>19</v>
      </c>
      <c r="E872" t="str">
        <f>VLOOKUP(D872,'Cadatro Clientes'!A:O,2,2)</f>
        <v>Lima Limão</v>
      </c>
      <c r="F872" t="str">
        <f>VLOOKUP(D872,'Cadatro Clientes'!A:O,9,2)</f>
        <v>Sudeste</v>
      </c>
      <c r="G872" s="15">
        <v>41968</v>
      </c>
      <c r="H872">
        <f t="shared" si="66"/>
        <v>3</v>
      </c>
      <c r="I872">
        <f t="shared" si="67"/>
        <v>25</v>
      </c>
      <c r="J872">
        <f t="shared" si="68"/>
        <v>11</v>
      </c>
      <c r="K872">
        <f t="shared" si="69"/>
        <v>2014</v>
      </c>
      <c r="M872">
        <v>7</v>
      </c>
      <c r="N872" t="str">
        <f>VLOOKUP(M872,'Cadastro Vendedores'!A:H,2,2)</f>
        <v>Benedito</v>
      </c>
      <c r="O872" s="2"/>
      <c r="P872" s="16">
        <v>2000</v>
      </c>
      <c r="Q872" s="2">
        <f>VLOOKUP(B872,'Cadastro Produtos'!A:F,5,2)</f>
        <v>9</v>
      </c>
      <c r="R872" s="14">
        <f t="shared" si="65"/>
        <v>18000</v>
      </c>
    </row>
    <row r="873" spans="1:18" x14ac:dyDescent="0.25">
      <c r="A873">
        <v>872</v>
      </c>
      <c r="B873">
        <v>1</v>
      </c>
      <c r="C873" t="str">
        <f>VLOOKUP(B873,'Cadastro Produtos'!A:E,2,2)</f>
        <v>Limonada Alfa com Açúcar 500 ml</v>
      </c>
      <c r="D873">
        <v>14</v>
      </c>
      <c r="E873" t="str">
        <f>VLOOKUP(D873,'Cadatro Clientes'!A:O,2,2)</f>
        <v>Sprite</v>
      </c>
      <c r="F873" t="str">
        <f>VLOOKUP(D873,'Cadatro Clientes'!A:O,9,2)</f>
        <v>Norte</v>
      </c>
      <c r="G873" s="15">
        <v>41968</v>
      </c>
      <c r="H873">
        <f t="shared" si="66"/>
        <v>3</v>
      </c>
      <c r="I873">
        <f t="shared" si="67"/>
        <v>25</v>
      </c>
      <c r="J873">
        <f t="shared" si="68"/>
        <v>11</v>
      </c>
      <c r="K873">
        <f t="shared" si="69"/>
        <v>2014</v>
      </c>
      <c r="M873">
        <v>4</v>
      </c>
      <c r="N873" t="str">
        <f>VLOOKUP(M873,'Cadastro Vendedores'!A:H,2,2)</f>
        <v>José</v>
      </c>
      <c r="O873" s="2"/>
      <c r="P873" s="16">
        <v>6500</v>
      </c>
      <c r="Q873" s="2">
        <f>VLOOKUP(B873,'Cadastro Produtos'!A:F,5,2)</f>
        <v>8.5</v>
      </c>
      <c r="R873" s="14">
        <f t="shared" si="65"/>
        <v>55250</v>
      </c>
    </row>
    <row r="874" spans="1:18" x14ac:dyDescent="0.25">
      <c r="A874">
        <v>873</v>
      </c>
      <c r="B874">
        <v>7</v>
      </c>
      <c r="C874" t="str">
        <f>VLOOKUP(B874,'Cadastro Produtos'!A:E,2,2)</f>
        <v>Limonada Alfa Zero 1 L</v>
      </c>
      <c r="D874">
        <v>11</v>
      </c>
      <c r="E874" t="str">
        <f>VLOOKUP(D874,'Cadatro Clientes'!A:O,2,2)</f>
        <v>Red Lemon</v>
      </c>
      <c r="F874" t="str">
        <f>VLOOKUP(D874,'Cadatro Clientes'!A:O,9,2)</f>
        <v>Sul</v>
      </c>
      <c r="G874" s="15">
        <v>41968</v>
      </c>
      <c r="H874">
        <f t="shared" si="66"/>
        <v>3</v>
      </c>
      <c r="I874">
        <f t="shared" si="67"/>
        <v>25</v>
      </c>
      <c r="J874">
        <f t="shared" si="68"/>
        <v>11</v>
      </c>
      <c r="K874">
        <f t="shared" si="69"/>
        <v>2014</v>
      </c>
      <c r="M874">
        <v>4</v>
      </c>
      <c r="N874" t="str">
        <f>VLOOKUP(M874,'Cadastro Vendedores'!A:H,2,2)</f>
        <v>José</v>
      </c>
      <c r="O874" s="2"/>
      <c r="P874" s="16">
        <v>3300</v>
      </c>
      <c r="Q874" s="2">
        <f>VLOOKUP(B874,'Cadastro Produtos'!A:F,5,2)</f>
        <v>15</v>
      </c>
      <c r="R874" s="14">
        <f t="shared" si="65"/>
        <v>49500</v>
      </c>
    </row>
    <row r="875" spans="1:18" x14ac:dyDescent="0.25">
      <c r="A875">
        <v>874</v>
      </c>
      <c r="B875">
        <v>1</v>
      </c>
      <c r="C875" t="str">
        <f>VLOOKUP(B875,'Cadastro Produtos'!A:E,2,2)</f>
        <v>Limonada Alfa com Açúcar 500 ml</v>
      </c>
      <c r="D875">
        <v>17</v>
      </c>
      <c r="E875" t="str">
        <f>VLOOKUP(D875,'Cadatro Clientes'!A:O,2,2)</f>
        <v>Aracasuco</v>
      </c>
      <c r="F875" t="str">
        <f>VLOOKUP(D875,'Cadatro Clientes'!A:O,9,2)</f>
        <v>Nordeste</v>
      </c>
      <c r="G875" s="15">
        <v>41969</v>
      </c>
      <c r="H875">
        <f t="shared" si="66"/>
        <v>4</v>
      </c>
      <c r="I875">
        <f t="shared" si="67"/>
        <v>26</v>
      </c>
      <c r="J875">
        <f t="shared" si="68"/>
        <v>11</v>
      </c>
      <c r="K875">
        <f t="shared" si="69"/>
        <v>2014</v>
      </c>
      <c r="M875">
        <v>13</v>
      </c>
      <c r="N875" t="str">
        <f>VLOOKUP(M875,'Cadastro Vendedores'!A:H,2,2)</f>
        <v>Andre</v>
      </c>
      <c r="O875" s="2"/>
      <c r="P875" s="16">
        <v>3600</v>
      </c>
      <c r="Q875" s="2">
        <f>VLOOKUP(B875,'Cadastro Produtos'!A:F,5,2)</f>
        <v>8.5</v>
      </c>
      <c r="R875" s="14">
        <f t="shared" si="65"/>
        <v>30600</v>
      </c>
    </row>
    <row r="876" spans="1:18" x14ac:dyDescent="0.25">
      <c r="A876">
        <v>875</v>
      </c>
      <c r="B876">
        <v>6</v>
      </c>
      <c r="C876" t="str">
        <f>VLOOKUP(B876,'Cadastro Produtos'!A:E,2,2)</f>
        <v>Limonada Beta com Açúcar 1 L</v>
      </c>
      <c r="D876">
        <v>16</v>
      </c>
      <c r="E876" t="str">
        <f>VLOOKUP(D876,'Cadatro Clientes'!A:O,2,2)</f>
        <v>Norte Suco</v>
      </c>
      <c r="F876" t="str">
        <f>VLOOKUP(D876,'Cadatro Clientes'!A:O,9,2)</f>
        <v>Nordeste</v>
      </c>
      <c r="G876" s="15">
        <v>41969</v>
      </c>
      <c r="H876">
        <f t="shared" si="66"/>
        <v>4</v>
      </c>
      <c r="I876">
        <f t="shared" si="67"/>
        <v>26</v>
      </c>
      <c r="J876">
        <f t="shared" si="68"/>
        <v>11</v>
      </c>
      <c r="K876">
        <f t="shared" si="69"/>
        <v>2014</v>
      </c>
      <c r="M876">
        <v>4</v>
      </c>
      <c r="N876" t="str">
        <f>VLOOKUP(M876,'Cadastro Vendedores'!A:H,2,2)</f>
        <v>José</v>
      </c>
      <c r="O876" s="2"/>
      <c r="P876" s="16">
        <v>2300</v>
      </c>
      <c r="Q876" s="2">
        <f>VLOOKUP(B876,'Cadastro Produtos'!A:F,5,2)</f>
        <v>12</v>
      </c>
      <c r="R876" s="14">
        <f t="shared" si="65"/>
        <v>27600</v>
      </c>
    </row>
    <row r="877" spans="1:18" x14ac:dyDescent="0.25">
      <c r="A877">
        <v>876</v>
      </c>
      <c r="B877">
        <v>9</v>
      </c>
      <c r="C877" t="str">
        <f>VLOOKUP(B877,'Cadastro Produtos'!A:E,2,2)</f>
        <v>Limonada Alfa com Hortelã e Açúcar 1 L</v>
      </c>
      <c r="D877">
        <v>12</v>
      </c>
      <c r="E877" t="str">
        <f>VLOOKUP(D877,'Cadatro Clientes'!A:O,2,2)</f>
        <v>Limão da Ilha</v>
      </c>
      <c r="F877" t="str">
        <f>VLOOKUP(D877,'Cadatro Clientes'!A:O,9,2)</f>
        <v>Sul</v>
      </c>
      <c r="G877" s="15">
        <v>41969</v>
      </c>
      <c r="H877">
        <f t="shared" si="66"/>
        <v>4</v>
      </c>
      <c r="I877">
        <f t="shared" si="67"/>
        <v>26</v>
      </c>
      <c r="J877">
        <f t="shared" si="68"/>
        <v>11</v>
      </c>
      <c r="K877">
        <f t="shared" si="69"/>
        <v>2014</v>
      </c>
      <c r="M877">
        <v>8</v>
      </c>
      <c r="N877" t="str">
        <f>VLOOKUP(M877,'Cadastro Vendedores'!A:H,2,2)</f>
        <v>Sérgio</v>
      </c>
      <c r="O877" s="2"/>
      <c r="P877" s="16">
        <v>1900</v>
      </c>
      <c r="Q877" s="2">
        <f>VLOOKUP(B877,'Cadastro Produtos'!A:F,5,2)</f>
        <v>17.5</v>
      </c>
      <c r="R877" s="14">
        <f t="shared" si="65"/>
        <v>33250</v>
      </c>
    </row>
    <row r="878" spans="1:18" x14ac:dyDescent="0.25">
      <c r="A878">
        <v>877</v>
      </c>
      <c r="B878">
        <v>3</v>
      </c>
      <c r="C878" t="str">
        <f>VLOOKUP(B878,'Cadastro Produtos'!A:E,2,2)</f>
        <v>Limonada Alfa Zero 500 ml</v>
      </c>
      <c r="D878">
        <v>11</v>
      </c>
      <c r="E878" t="str">
        <f>VLOOKUP(D878,'Cadatro Clientes'!A:O,2,2)</f>
        <v>Red Lemon</v>
      </c>
      <c r="F878" t="str">
        <f>VLOOKUP(D878,'Cadatro Clientes'!A:O,9,2)</f>
        <v>Sul</v>
      </c>
      <c r="G878" s="15">
        <v>41970</v>
      </c>
      <c r="H878">
        <f t="shared" si="66"/>
        <v>5</v>
      </c>
      <c r="I878">
        <f t="shared" si="67"/>
        <v>27</v>
      </c>
      <c r="J878">
        <f t="shared" si="68"/>
        <v>11</v>
      </c>
      <c r="K878">
        <f t="shared" si="69"/>
        <v>2014</v>
      </c>
      <c r="M878">
        <v>2</v>
      </c>
      <c r="N878" t="str">
        <f>VLOOKUP(M878,'Cadastro Vendedores'!A:H,2,2)</f>
        <v>Luis</v>
      </c>
      <c r="O878" s="2"/>
      <c r="P878" s="16">
        <v>7300</v>
      </c>
      <c r="Q878" s="2">
        <f>VLOOKUP(B878,'Cadastro Produtos'!A:F,5,2)</f>
        <v>9</v>
      </c>
      <c r="R878" s="14">
        <f t="shared" si="65"/>
        <v>65700</v>
      </c>
    </row>
    <row r="879" spans="1:18" x14ac:dyDescent="0.25">
      <c r="A879">
        <v>878</v>
      </c>
      <c r="B879">
        <v>2</v>
      </c>
      <c r="C879" t="str">
        <f>VLOOKUP(B879,'Cadastro Produtos'!A:E,2,2)</f>
        <v>Limonada Beta com Açúcar 500 ml</v>
      </c>
      <c r="D879">
        <v>2</v>
      </c>
      <c r="E879" t="str">
        <f>VLOOKUP(D879,'Cadatro Clientes'!A:O,2,2)</f>
        <v>Limão S/A</v>
      </c>
      <c r="F879" t="str">
        <f>VLOOKUP(D879,'Cadatro Clientes'!A:O,9,2)</f>
        <v>Centro-Oeste</v>
      </c>
      <c r="G879" s="15">
        <v>41970</v>
      </c>
      <c r="H879">
        <f t="shared" si="66"/>
        <v>5</v>
      </c>
      <c r="I879">
        <f t="shared" si="67"/>
        <v>27</v>
      </c>
      <c r="J879">
        <f t="shared" si="68"/>
        <v>11</v>
      </c>
      <c r="K879">
        <f t="shared" si="69"/>
        <v>2014</v>
      </c>
      <c r="M879">
        <v>8</v>
      </c>
      <c r="N879" t="str">
        <f>VLOOKUP(M879,'Cadastro Vendedores'!A:H,2,2)</f>
        <v>Sérgio</v>
      </c>
      <c r="O879" s="2"/>
      <c r="P879" s="16">
        <v>7700</v>
      </c>
      <c r="Q879" s="2">
        <f>VLOOKUP(B879,'Cadastro Produtos'!A:F,5,2)</f>
        <v>6.5</v>
      </c>
      <c r="R879" s="14">
        <f t="shared" si="65"/>
        <v>50050</v>
      </c>
    </row>
    <row r="880" spans="1:18" x14ac:dyDescent="0.25">
      <c r="A880">
        <v>879</v>
      </c>
      <c r="B880">
        <v>2</v>
      </c>
      <c r="C880" t="str">
        <f>VLOOKUP(B880,'Cadastro Produtos'!A:E,2,2)</f>
        <v>Limonada Beta com Açúcar 500 ml</v>
      </c>
      <c r="D880">
        <v>20</v>
      </c>
      <c r="E880" t="str">
        <f>VLOOKUP(D880,'Cadatro Clientes'!A:O,2,2)</f>
        <v>Brasil Saúde</v>
      </c>
      <c r="F880" t="str">
        <f>VLOOKUP(D880,'Cadatro Clientes'!A:O,9,2)</f>
        <v>Nordeste</v>
      </c>
      <c r="G880" s="15">
        <v>41971</v>
      </c>
      <c r="H880">
        <f t="shared" si="66"/>
        <v>6</v>
      </c>
      <c r="I880">
        <f t="shared" si="67"/>
        <v>28</v>
      </c>
      <c r="J880">
        <f t="shared" si="68"/>
        <v>11</v>
      </c>
      <c r="K880">
        <f t="shared" si="69"/>
        <v>2014</v>
      </c>
      <c r="M880">
        <v>4</v>
      </c>
      <c r="N880" t="str">
        <f>VLOOKUP(M880,'Cadastro Vendedores'!A:H,2,2)</f>
        <v>José</v>
      </c>
      <c r="O880" s="2"/>
      <c r="P880" s="16">
        <v>4300</v>
      </c>
      <c r="Q880" s="2">
        <f>VLOOKUP(B880,'Cadastro Produtos'!A:F,5,2)</f>
        <v>6.5</v>
      </c>
      <c r="R880" s="14">
        <f t="shared" si="65"/>
        <v>27950</v>
      </c>
    </row>
    <row r="881" spans="1:18" x14ac:dyDescent="0.25">
      <c r="A881">
        <v>880</v>
      </c>
      <c r="B881">
        <v>10</v>
      </c>
      <c r="C881" t="str">
        <f>VLOOKUP(B881,'Cadastro Produtos'!A:E,2,2)</f>
        <v>Limonada Alfa com Hortelã Zero 1 L</v>
      </c>
      <c r="D881">
        <v>12</v>
      </c>
      <c r="E881" t="str">
        <f>VLOOKUP(D881,'Cadatro Clientes'!A:O,2,2)</f>
        <v>Limão da Ilha</v>
      </c>
      <c r="F881" t="str">
        <f>VLOOKUP(D881,'Cadatro Clientes'!A:O,9,2)</f>
        <v>Sul</v>
      </c>
      <c r="G881" s="15">
        <v>41971</v>
      </c>
      <c r="H881">
        <f t="shared" si="66"/>
        <v>6</v>
      </c>
      <c r="I881">
        <f t="shared" si="67"/>
        <v>28</v>
      </c>
      <c r="J881">
        <f t="shared" si="68"/>
        <v>11</v>
      </c>
      <c r="K881">
        <f t="shared" si="69"/>
        <v>2014</v>
      </c>
      <c r="M881">
        <v>4</v>
      </c>
      <c r="N881" t="str">
        <f>VLOOKUP(M881,'Cadastro Vendedores'!A:H,2,2)</f>
        <v>José</v>
      </c>
      <c r="O881" s="2"/>
      <c r="P881" s="16">
        <v>800</v>
      </c>
      <c r="Q881" s="2">
        <f>VLOOKUP(B881,'Cadastro Produtos'!A:F,5,2)</f>
        <v>21</v>
      </c>
      <c r="R881" s="14">
        <f t="shared" si="65"/>
        <v>16800</v>
      </c>
    </row>
    <row r="882" spans="1:18" x14ac:dyDescent="0.25">
      <c r="A882">
        <v>881</v>
      </c>
      <c r="B882">
        <v>7</v>
      </c>
      <c r="C882" t="str">
        <f>VLOOKUP(B882,'Cadastro Produtos'!A:E,2,2)</f>
        <v>Limonada Alfa Zero 1 L</v>
      </c>
      <c r="D882">
        <v>11</v>
      </c>
      <c r="E882" t="str">
        <f>VLOOKUP(D882,'Cadatro Clientes'!A:O,2,2)</f>
        <v>Red Lemon</v>
      </c>
      <c r="F882" t="str">
        <f>VLOOKUP(D882,'Cadatro Clientes'!A:O,9,2)</f>
        <v>Sul</v>
      </c>
      <c r="G882" s="15">
        <v>41972</v>
      </c>
      <c r="H882">
        <f t="shared" si="66"/>
        <v>7</v>
      </c>
      <c r="I882">
        <f t="shared" si="67"/>
        <v>29</v>
      </c>
      <c r="J882">
        <f t="shared" si="68"/>
        <v>11</v>
      </c>
      <c r="K882">
        <f t="shared" si="69"/>
        <v>2014</v>
      </c>
      <c r="M882">
        <v>4</v>
      </c>
      <c r="N882" t="str">
        <f>VLOOKUP(M882,'Cadastro Vendedores'!A:H,2,2)</f>
        <v>José</v>
      </c>
      <c r="O882" s="2"/>
      <c r="P882" s="16">
        <v>2300</v>
      </c>
      <c r="Q882" s="2">
        <f>VLOOKUP(B882,'Cadastro Produtos'!A:F,5,2)</f>
        <v>15</v>
      </c>
      <c r="R882" s="14">
        <f t="shared" si="65"/>
        <v>34500</v>
      </c>
    </row>
    <row r="883" spans="1:18" x14ac:dyDescent="0.25">
      <c r="A883">
        <v>882</v>
      </c>
      <c r="B883">
        <v>10</v>
      </c>
      <c r="C883" t="str">
        <f>VLOOKUP(B883,'Cadastro Produtos'!A:E,2,2)</f>
        <v>Limonada Alfa com Hortelã Zero 1 L</v>
      </c>
      <c r="D883">
        <v>14</v>
      </c>
      <c r="E883" t="str">
        <f>VLOOKUP(D883,'Cadatro Clientes'!A:O,2,2)</f>
        <v>Sprite</v>
      </c>
      <c r="F883" t="str">
        <f>VLOOKUP(D883,'Cadatro Clientes'!A:O,9,2)</f>
        <v>Norte</v>
      </c>
      <c r="G883" s="15">
        <v>41972</v>
      </c>
      <c r="H883">
        <f t="shared" si="66"/>
        <v>7</v>
      </c>
      <c r="I883">
        <f t="shared" si="67"/>
        <v>29</v>
      </c>
      <c r="J883">
        <f t="shared" si="68"/>
        <v>11</v>
      </c>
      <c r="K883">
        <f t="shared" si="69"/>
        <v>2014</v>
      </c>
      <c r="M883">
        <v>12</v>
      </c>
      <c r="N883" t="str">
        <f>VLOOKUP(M883,'Cadastro Vendedores'!A:H,2,2)</f>
        <v>Paulo</v>
      </c>
      <c r="O883" s="2"/>
      <c r="P883" s="16">
        <v>1900</v>
      </c>
      <c r="Q883" s="2">
        <f>VLOOKUP(B883,'Cadastro Produtos'!A:F,5,2)</f>
        <v>21</v>
      </c>
      <c r="R883" s="14">
        <f t="shared" si="65"/>
        <v>39900</v>
      </c>
    </row>
    <row r="884" spans="1:18" x14ac:dyDescent="0.25">
      <c r="A884">
        <v>883</v>
      </c>
      <c r="B884">
        <v>6</v>
      </c>
      <c r="C884" t="str">
        <f>VLOOKUP(B884,'Cadastro Produtos'!A:E,2,2)</f>
        <v>Limonada Beta com Açúcar 1 L</v>
      </c>
      <c r="D884">
        <v>8</v>
      </c>
      <c r="E884" t="str">
        <f>VLOOKUP(D884,'Cadatro Clientes'!A:O,2,2)</f>
        <v>Refresko</v>
      </c>
      <c r="F884" t="str">
        <f>VLOOKUP(D884,'Cadatro Clientes'!A:O,9,2)</f>
        <v>Sul</v>
      </c>
      <c r="G884" s="15">
        <v>41972</v>
      </c>
      <c r="H884">
        <f t="shared" si="66"/>
        <v>7</v>
      </c>
      <c r="I884">
        <f t="shared" si="67"/>
        <v>29</v>
      </c>
      <c r="J884">
        <f t="shared" si="68"/>
        <v>11</v>
      </c>
      <c r="K884">
        <f t="shared" si="69"/>
        <v>2014</v>
      </c>
      <c r="M884">
        <v>4</v>
      </c>
      <c r="N884" t="str">
        <f>VLOOKUP(M884,'Cadastro Vendedores'!A:H,2,2)</f>
        <v>José</v>
      </c>
      <c r="O884" s="2"/>
      <c r="P884" s="16">
        <v>3700</v>
      </c>
      <c r="Q884" s="2">
        <f>VLOOKUP(B884,'Cadastro Produtos'!A:F,5,2)</f>
        <v>12</v>
      </c>
      <c r="R884" s="14">
        <f t="shared" si="65"/>
        <v>44400</v>
      </c>
    </row>
    <row r="885" spans="1:18" x14ac:dyDescent="0.25">
      <c r="A885">
        <v>884</v>
      </c>
      <c r="B885">
        <v>4</v>
      </c>
      <c r="C885" t="str">
        <f>VLOOKUP(B885,'Cadastro Produtos'!A:E,2,2)</f>
        <v>Limonada Beta Zero 500 ml</v>
      </c>
      <c r="D885">
        <v>11</v>
      </c>
      <c r="E885" t="str">
        <f>VLOOKUP(D885,'Cadatro Clientes'!A:O,2,2)</f>
        <v>Red Lemon</v>
      </c>
      <c r="F885" t="str">
        <f>VLOOKUP(D885,'Cadatro Clientes'!A:O,9,2)</f>
        <v>Sul</v>
      </c>
      <c r="G885" s="15">
        <v>41972</v>
      </c>
      <c r="H885">
        <f t="shared" si="66"/>
        <v>7</v>
      </c>
      <c r="I885">
        <f t="shared" si="67"/>
        <v>29</v>
      </c>
      <c r="J885">
        <f t="shared" si="68"/>
        <v>11</v>
      </c>
      <c r="K885">
        <f t="shared" si="69"/>
        <v>2014</v>
      </c>
      <c r="M885">
        <v>4</v>
      </c>
      <c r="N885" t="str">
        <f>VLOOKUP(M885,'Cadastro Vendedores'!A:H,2,2)</f>
        <v>José</v>
      </c>
      <c r="O885" s="2"/>
      <c r="P885" s="16">
        <v>4400</v>
      </c>
      <c r="Q885" s="2">
        <f>VLOOKUP(B885,'Cadastro Produtos'!A:F,5,2)</f>
        <v>7</v>
      </c>
      <c r="R885" s="14">
        <f t="shared" si="65"/>
        <v>30800</v>
      </c>
    </row>
    <row r="886" spans="1:18" x14ac:dyDescent="0.25">
      <c r="A886">
        <v>885</v>
      </c>
      <c r="B886">
        <v>2</v>
      </c>
      <c r="C886" t="str">
        <f>VLOOKUP(B886,'Cadastro Produtos'!A:E,2,2)</f>
        <v>Limonada Beta com Açúcar 500 ml</v>
      </c>
      <c r="D886">
        <v>1</v>
      </c>
      <c r="E886" t="str">
        <f>VLOOKUP(D886,'Cadatro Clientes'!A:O,2,2)</f>
        <v>Meu Suco de Limão</v>
      </c>
      <c r="F886" t="str">
        <f>VLOOKUP(D886,'Cadatro Clientes'!A:O,9,2)</f>
        <v>Norte</v>
      </c>
      <c r="G886" s="15">
        <v>41973</v>
      </c>
      <c r="H886">
        <f t="shared" si="66"/>
        <v>1</v>
      </c>
      <c r="I886">
        <f t="shared" si="67"/>
        <v>30</v>
      </c>
      <c r="J886">
        <f t="shared" si="68"/>
        <v>11</v>
      </c>
      <c r="K886">
        <f t="shared" si="69"/>
        <v>2014</v>
      </c>
      <c r="M886">
        <v>3</v>
      </c>
      <c r="N886" t="str">
        <f>VLOOKUP(M886,'Cadastro Vendedores'!A:H,2,2)</f>
        <v>Antônia</v>
      </c>
      <c r="O886" s="2"/>
      <c r="P886" s="16">
        <v>5000</v>
      </c>
      <c r="Q886" s="2">
        <f>VLOOKUP(B886,'Cadastro Produtos'!A:F,5,2)</f>
        <v>6.5</v>
      </c>
      <c r="R886" s="14">
        <f t="shared" si="65"/>
        <v>32500</v>
      </c>
    </row>
    <row r="887" spans="1:18" x14ac:dyDescent="0.25">
      <c r="A887">
        <v>886</v>
      </c>
      <c r="B887">
        <v>3</v>
      </c>
      <c r="C887" t="str">
        <f>VLOOKUP(B887,'Cadastro Produtos'!A:E,2,2)</f>
        <v>Limonada Alfa Zero 500 ml</v>
      </c>
      <c r="D887">
        <v>1</v>
      </c>
      <c r="E887" t="str">
        <f>VLOOKUP(D887,'Cadatro Clientes'!A:O,2,2)</f>
        <v>Meu Suco de Limão</v>
      </c>
      <c r="F887" t="str">
        <f>VLOOKUP(D887,'Cadatro Clientes'!A:O,9,2)</f>
        <v>Norte</v>
      </c>
      <c r="G887" s="15">
        <v>41973</v>
      </c>
      <c r="H887">
        <f t="shared" si="66"/>
        <v>1</v>
      </c>
      <c r="I887">
        <f t="shared" si="67"/>
        <v>30</v>
      </c>
      <c r="J887">
        <f t="shared" si="68"/>
        <v>11</v>
      </c>
      <c r="K887">
        <f t="shared" si="69"/>
        <v>2014</v>
      </c>
      <c r="M887">
        <v>2</v>
      </c>
      <c r="N887" t="str">
        <f>VLOOKUP(M887,'Cadastro Vendedores'!A:H,2,2)</f>
        <v>Luis</v>
      </c>
      <c r="O887" s="2"/>
      <c r="P887" s="16">
        <v>4600</v>
      </c>
      <c r="Q887" s="2">
        <f>VLOOKUP(B887,'Cadastro Produtos'!A:F,5,2)</f>
        <v>9</v>
      </c>
      <c r="R887" s="14">
        <f t="shared" si="65"/>
        <v>41400</v>
      </c>
    </row>
    <row r="888" spans="1:18" x14ac:dyDescent="0.25">
      <c r="A888">
        <v>887</v>
      </c>
      <c r="B888">
        <v>3</v>
      </c>
      <c r="C888" t="str">
        <f>VLOOKUP(B888,'Cadastro Produtos'!A:E,2,2)</f>
        <v>Limonada Alfa Zero 500 ml</v>
      </c>
      <c r="D888">
        <v>6</v>
      </c>
      <c r="E888" t="str">
        <f>VLOOKUP(D888,'Cadatro Clientes'!A:O,2,2)</f>
        <v>Lemonade</v>
      </c>
      <c r="F888" t="str">
        <f>VLOOKUP(D888,'Cadatro Clientes'!A:O,9,2)</f>
        <v>Norte</v>
      </c>
      <c r="G888" s="15">
        <v>41973</v>
      </c>
      <c r="H888">
        <f t="shared" si="66"/>
        <v>1</v>
      </c>
      <c r="I888">
        <f t="shared" si="67"/>
        <v>30</v>
      </c>
      <c r="J888">
        <f t="shared" si="68"/>
        <v>11</v>
      </c>
      <c r="K888">
        <f t="shared" si="69"/>
        <v>2014</v>
      </c>
      <c r="M888">
        <v>12</v>
      </c>
      <c r="N888" t="str">
        <f>VLOOKUP(M888,'Cadastro Vendedores'!A:H,2,2)</f>
        <v>Paulo</v>
      </c>
      <c r="O888" s="2"/>
      <c r="P888" s="16">
        <v>6300</v>
      </c>
      <c r="Q888" s="2">
        <f>VLOOKUP(B888,'Cadastro Produtos'!A:F,5,2)</f>
        <v>9</v>
      </c>
      <c r="R888" s="14">
        <f t="shared" si="65"/>
        <v>56700</v>
      </c>
    </row>
    <row r="889" spans="1:18" x14ac:dyDescent="0.25">
      <c r="A889">
        <v>888</v>
      </c>
      <c r="B889">
        <v>5</v>
      </c>
      <c r="C889" t="str">
        <f>VLOOKUP(B889,'Cadastro Produtos'!A:E,2,2)</f>
        <v>Limonada Alfa com Açúcar 1 L</v>
      </c>
      <c r="D889">
        <v>17</v>
      </c>
      <c r="E889" t="str">
        <f>VLOOKUP(D889,'Cadatro Clientes'!A:O,2,2)</f>
        <v>Aracasuco</v>
      </c>
      <c r="F889" t="str">
        <f>VLOOKUP(D889,'Cadatro Clientes'!A:O,9,2)</f>
        <v>Nordeste</v>
      </c>
      <c r="G889" s="15">
        <v>41973</v>
      </c>
      <c r="H889">
        <f t="shared" si="66"/>
        <v>1</v>
      </c>
      <c r="I889">
        <f t="shared" si="67"/>
        <v>30</v>
      </c>
      <c r="J889">
        <f t="shared" si="68"/>
        <v>11</v>
      </c>
      <c r="K889">
        <f t="shared" si="69"/>
        <v>2014</v>
      </c>
      <c r="M889">
        <v>4</v>
      </c>
      <c r="N889" t="str">
        <f>VLOOKUP(M889,'Cadastro Vendedores'!A:H,2,2)</f>
        <v>José</v>
      </c>
      <c r="O889" s="2"/>
      <c r="P889" s="16">
        <v>2600</v>
      </c>
      <c r="Q889" s="2">
        <f>VLOOKUP(B889,'Cadastro Produtos'!A:F,5,2)</f>
        <v>15</v>
      </c>
      <c r="R889" s="14">
        <f t="shared" si="65"/>
        <v>39000</v>
      </c>
    </row>
    <row r="890" spans="1:18" x14ac:dyDescent="0.25">
      <c r="A890">
        <v>889</v>
      </c>
      <c r="B890">
        <v>1</v>
      </c>
      <c r="C890" t="str">
        <f>VLOOKUP(B890,'Cadastro Produtos'!A:E,2,2)</f>
        <v>Limonada Alfa com Açúcar 500 ml</v>
      </c>
      <c r="D890">
        <v>16</v>
      </c>
      <c r="E890" t="str">
        <f>VLOOKUP(D890,'Cadatro Clientes'!A:O,2,2)</f>
        <v>Norte Suco</v>
      </c>
      <c r="F890" t="str">
        <f>VLOOKUP(D890,'Cadatro Clientes'!A:O,9,2)</f>
        <v>Nordeste</v>
      </c>
      <c r="G890" s="15">
        <v>41973</v>
      </c>
      <c r="H890">
        <f t="shared" si="66"/>
        <v>1</v>
      </c>
      <c r="I890">
        <f t="shared" si="67"/>
        <v>30</v>
      </c>
      <c r="J890">
        <f t="shared" si="68"/>
        <v>11</v>
      </c>
      <c r="K890">
        <f t="shared" si="69"/>
        <v>2014</v>
      </c>
      <c r="M890">
        <v>6</v>
      </c>
      <c r="N890" t="str">
        <f>VLOOKUP(M890,'Cadastro Vendedores'!A:H,2,2)</f>
        <v>Antônia</v>
      </c>
      <c r="O890" s="2"/>
      <c r="P890" s="16">
        <v>3000</v>
      </c>
      <c r="Q890" s="2">
        <f>VLOOKUP(B890,'Cadastro Produtos'!A:F,5,2)</f>
        <v>8.5</v>
      </c>
      <c r="R890" s="14">
        <f t="shared" si="65"/>
        <v>25500</v>
      </c>
    </row>
    <row r="891" spans="1:18" x14ac:dyDescent="0.25">
      <c r="A891">
        <v>890</v>
      </c>
      <c r="B891">
        <v>4</v>
      </c>
      <c r="C891" t="str">
        <f>VLOOKUP(B891,'Cadastro Produtos'!A:E,2,2)</f>
        <v>Limonada Beta Zero 500 ml</v>
      </c>
      <c r="D891">
        <v>8</v>
      </c>
      <c r="E891" t="str">
        <f>VLOOKUP(D891,'Cadatro Clientes'!A:O,2,2)</f>
        <v>Refresko</v>
      </c>
      <c r="F891" t="str">
        <f>VLOOKUP(D891,'Cadatro Clientes'!A:O,9,2)</f>
        <v>Sul</v>
      </c>
      <c r="G891" s="15">
        <v>41974</v>
      </c>
      <c r="H891">
        <f t="shared" si="66"/>
        <v>2</v>
      </c>
      <c r="I891">
        <f t="shared" si="67"/>
        <v>1</v>
      </c>
      <c r="J891">
        <f t="shared" si="68"/>
        <v>12</v>
      </c>
      <c r="K891">
        <f t="shared" si="69"/>
        <v>2014</v>
      </c>
      <c r="M891">
        <v>13</v>
      </c>
      <c r="N891" t="str">
        <f>VLOOKUP(M891,'Cadastro Vendedores'!A:H,2,2)</f>
        <v>Andre</v>
      </c>
      <c r="O891" s="2"/>
      <c r="P891" s="16">
        <v>9200</v>
      </c>
      <c r="Q891" s="2">
        <f>VLOOKUP(B891,'Cadastro Produtos'!A:F,5,2)</f>
        <v>7</v>
      </c>
      <c r="R891" s="14">
        <f t="shared" si="65"/>
        <v>64400</v>
      </c>
    </row>
    <row r="892" spans="1:18" x14ac:dyDescent="0.25">
      <c r="A892">
        <v>891</v>
      </c>
      <c r="B892">
        <v>8</v>
      </c>
      <c r="C892" t="str">
        <f>VLOOKUP(B892,'Cadastro Produtos'!A:E,2,2)</f>
        <v>Limonada Beta Zero 1 L</v>
      </c>
      <c r="D892">
        <v>6</v>
      </c>
      <c r="E892" t="str">
        <f>VLOOKUP(D892,'Cadatro Clientes'!A:O,2,2)</f>
        <v>Lemonade</v>
      </c>
      <c r="F892" t="str">
        <f>VLOOKUP(D892,'Cadatro Clientes'!A:O,9,2)</f>
        <v>Norte</v>
      </c>
      <c r="G892" s="15">
        <v>41974</v>
      </c>
      <c r="H892">
        <f t="shared" si="66"/>
        <v>2</v>
      </c>
      <c r="I892">
        <f t="shared" si="67"/>
        <v>1</v>
      </c>
      <c r="J892">
        <f t="shared" si="68"/>
        <v>12</v>
      </c>
      <c r="K892">
        <f t="shared" si="69"/>
        <v>2014</v>
      </c>
      <c r="M892">
        <v>4</v>
      </c>
      <c r="N892" t="str">
        <f>VLOOKUP(M892,'Cadastro Vendedores'!A:H,2,2)</f>
        <v>José</v>
      </c>
      <c r="O892" s="2"/>
      <c r="P892" s="16">
        <v>4800</v>
      </c>
      <c r="Q892" s="2">
        <f>VLOOKUP(B892,'Cadastro Produtos'!A:F,5,2)</f>
        <v>12</v>
      </c>
      <c r="R892" s="14">
        <f t="shared" si="65"/>
        <v>57600</v>
      </c>
    </row>
    <row r="893" spans="1:18" x14ac:dyDescent="0.25">
      <c r="A893">
        <v>892</v>
      </c>
      <c r="B893">
        <v>10</v>
      </c>
      <c r="C893" t="str">
        <f>VLOOKUP(B893,'Cadastro Produtos'!A:E,2,2)</f>
        <v>Limonada Alfa com Hortelã Zero 1 L</v>
      </c>
      <c r="D893">
        <v>17</v>
      </c>
      <c r="E893" t="str">
        <f>VLOOKUP(D893,'Cadatro Clientes'!A:O,2,2)</f>
        <v>Aracasuco</v>
      </c>
      <c r="F893" t="str">
        <f>VLOOKUP(D893,'Cadatro Clientes'!A:O,9,2)</f>
        <v>Nordeste</v>
      </c>
      <c r="G893" s="15">
        <v>41974</v>
      </c>
      <c r="H893">
        <f t="shared" si="66"/>
        <v>2</v>
      </c>
      <c r="I893">
        <f t="shared" si="67"/>
        <v>1</v>
      </c>
      <c r="J893">
        <f t="shared" si="68"/>
        <v>12</v>
      </c>
      <c r="K893">
        <f t="shared" si="69"/>
        <v>2014</v>
      </c>
      <c r="M893">
        <v>15</v>
      </c>
      <c r="N893" t="str">
        <f>VLOOKUP(M893,'Cadastro Vendedores'!A:H,2,2)</f>
        <v>Luis</v>
      </c>
      <c r="O893" s="2"/>
      <c r="P893" s="16">
        <v>1800</v>
      </c>
      <c r="Q893" s="2">
        <f>VLOOKUP(B893,'Cadastro Produtos'!A:F,5,2)</f>
        <v>21</v>
      </c>
      <c r="R893" s="14">
        <f t="shared" si="65"/>
        <v>37800</v>
      </c>
    </row>
    <row r="894" spans="1:18" x14ac:dyDescent="0.25">
      <c r="A894">
        <v>893</v>
      </c>
      <c r="B894">
        <v>4</v>
      </c>
      <c r="C894" t="str">
        <f>VLOOKUP(B894,'Cadastro Produtos'!A:E,2,2)</f>
        <v>Limonada Beta Zero 500 ml</v>
      </c>
      <c r="D894">
        <v>9</v>
      </c>
      <c r="E894" t="str">
        <f>VLOOKUP(D894,'Cadatro Clientes'!A:O,2,2)</f>
        <v>Fresh Lemon</v>
      </c>
      <c r="F894" t="str">
        <f>VLOOKUP(D894,'Cadatro Clientes'!A:O,9,2)</f>
        <v>Sudeste</v>
      </c>
      <c r="G894" s="15">
        <v>41974</v>
      </c>
      <c r="H894">
        <f t="shared" si="66"/>
        <v>2</v>
      </c>
      <c r="I894">
        <f t="shared" si="67"/>
        <v>1</v>
      </c>
      <c r="J894">
        <f t="shared" si="68"/>
        <v>12</v>
      </c>
      <c r="K894">
        <f t="shared" si="69"/>
        <v>2014</v>
      </c>
      <c r="M894">
        <v>4</v>
      </c>
      <c r="N894" t="str">
        <f>VLOOKUP(M894,'Cadastro Vendedores'!A:H,2,2)</f>
        <v>José</v>
      </c>
      <c r="O894" s="2"/>
      <c r="P894" s="16">
        <v>9500</v>
      </c>
      <c r="Q894" s="2">
        <f>VLOOKUP(B894,'Cadastro Produtos'!A:F,5,2)</f>
        <v>7</v>
      </c>
      <c r="R894" s="14">
        <f t="shared" si="65"/>
        <v>66500</v>
      </c>
    </row>
    <row r="895" spans="1:18" x14ac:dyDescent="0.25">
      <c r="A895">
        <v>894</v>
      </c>
      <c r="B895">
        <v>5</v>
      </c>
      <c r="C895" t="str">
        <f>VLOOKUP(B895,'Cadastro Produtos'!A:E,2,2)</f>
        <v>Limonada Alfa com Açúcar 1 L</v>
      </c>
      <c r="D895">
        <v>16</v>
      </c>
      <c r="E895" t="str">
        <f>VLOOKUP(D895,'Cadatro Clientes'!A:O,2,2)</f>
        <v>Norte Suco</v>
      </c>
      <c r="F895" t="str">
        <f>VLOOKUP(D895,'Cadatro Clientes'!A:O,9,2)</f>
        <v>Nordeste</v>
      </c>
      <c r="G895" s="15">
        <v>41974</v>
      </c>
      <c r="H895">
        <f t="shared" si="66"/>
        <v>2</v>
      </c>
      <c r="I895">
        <f t="shared" si="67"/>
        <v>1</v>
      </c>
      <c r="J895">
        <f t="shared" si="68"/>
        <v>12</v>
      </c>
      <c r="K895">
        <f t="shared" si="69"/>
        <v>2014</v>
      </c>
      <c r="M895">
        <v>15</v>
      </c>
      <c r="N895" t="str">
        <f>VLOOKUP(M895,'Cadastro Vendedores'!A:H,2,2)</f>
        <v>Luis</v>
      </c>
      <c r="O895" s="2"/>
      <c r="P895" s="16">
        <v>2400</v>
      </c>
      <c r="Q895" s="2">
        <f>VLOOKUP(B895,'Cadastro Produtos'!A:F,5,2)</f>
        <v>15</v>
      </c>
      <c r="R895" s="14">
        <f t="shared" si="65"/>
        <v>36000</v>
      </c>
    </row>
    <row r="896" spans="1:18" x14ac:dyDescent="0.25">
      <c r="A896">
        <v>895</v>
      </c>
      <c r="B896">
        <v>7</v>
      </c>
      <c r="C896" t="str">
        <f>VLOOKUP(B896,'Cadastro Produtos'!A:E,2,2)</f>
        <v>Limonada Alfa Zero 1 L</v>
      </c>
      <c r="D896">
        <v>17</v>
      </c>
      <c r="E896" t="str">
        <f>VLOOKUP(D896,'Cadatro Clientes'!A:O,2,2)</f>
        <v>Aracasuco</v>
      </c>
      <c r="F896" t="str">
        <f>VLOOKUP(D896,'Cadatro Clientes'!A:O,9,2)</f>
        <v>Nordeste</v>
      </c>
      <c r="G896" s="15">
        <v>41974</v>
      </c>
      <c r="H896">
        <f t="shared" si="66"/>
        <v>2</v>
      </c>
      <c r="I896">
        <f t="shared" si="67"/>
        <v>1</v>
      </c>
      <c r="J896">
        <f t="shared" si="68"/>
        <v>12</v>
      </c>
      <c r="K896">
        <f t="shared" si="69"/>
        <v>2014</v>
      </c>
      <c r="M896">
        <v>12</v>
      </c>
      <c r="N896" t="str">
        <f>VLOOKUP(M896,'Cadastro Vendedores'!A:H,2,2)</f>
        <v>Paulo</v>
      </c>
      <c r="O896" s="2"/>
      <c r="P896" s="16">
        <v>1100</v>
      </c>
      <c r="Q896" s="2">
        <f>VLOOKUP(B896,'Cadastro Produtos'!A:F,5,2)</f>
        <v>15</v>
      </c>
      <c r="R896" s="14">
        <f t="shared" si="65"/>
        <v>16500</v>
      </c>
    </row>
    <row r="897" spans="1:18" x14ac:dyDescent="0.25">
      <c r="A897">
        <v>896</v>
      </c>
      <c r="B897">
        <v>9</v>
      </c>
      <c r="C897" t="str">
        <f>VLOOKUP(B897,'Cadastro Produtos'!A:E,2,2)</f>
        <v>Limonada Alfa com Hortelã e Açúcar 1 L</v>
      </c>
      <c r="D897">
        <v>16</v>
      </c>
      <c r="E897" t="str">
        <f>VLOOKUP(D897,'Cadatro Clientes'!A:O,2,2)</f>
        <v>Norte Suco</v>
      </c>
      <c r="F897" t="str">
        <f>VLOOKUP(D897,'Cadatro Clientes'!A:O,9,2)</f>
        <v>Nordeste</v>
      </c>
      <c r="G897" s="15">
        <v>41975</v>
      </c>
      <c r="H897">
        <f t="shared" si="66"/>
        <v>3</v>
      </c>
      <c r="I897">
        <f t="shared" si="67"/>
        <v>2</v>
      </c>
      <c r="J897">
        <f t="shared" si="68"/>
        <v>12</v>
      </c>
      <c r="K897">
        <f t="shared" si="69"/>
        <v>2014</v>
      </c>
      <c r="M897">
        <v>7</v>
      </c>
      <c r="N897" t="str">
        <f>VLOOKUP(M897,'Cadastro Vendedores'!A:H,2,2)</f>
        <v>Benedito</v>
      </c>
      <c r="O897" s="2"/>
      <c r="P897" s="16">
        <v>2900</v>
      </c>
      <c r="Q897" s="2">
        <f>VLOOKUP(B897,'Cadastro Produtos'!A:F,5,2)</f>
        <v>17.5</v>
      </c>
      <c r="R897" s="14">
        <f t="shared" si="65"/>
        <v>50750</v>
      </c>
    </row>
    <row r="898" spans="1:18" x14ac:dyDescent="0.25">
      <c r="A898">
        <v>897</v>
      </c>
      <c r="B898">
        <v>10</v>
      </c>
      <c r="C898" t="str">
        <f>VLOOKUP(B898,'Cadastro Produtos'!A:E,2,2)</f>
        <v>Limonada Alfa com Hortelã Zero 1 L</v>
      </c>
      <c r="D898">
        <v>7</v>
      </c>
      <c r="E898" t="str">
        <f>VLOOKUP(D898,'Cadatro Clientes'!A:O,2,2)</f>
        <v>Limo</v>
      </c>
      <c r="F898" t="str">
        <f>VLOOKUP(D898,'Cadatro Clientes'!A:O,9,2)</f>
        <v>Centro-Oeste</v>
      </c>
      <c r="G898" s="15">
        <v>41975</v>
      </c>
      <c r="H898">
        <f t="shared" si="66"/>
        <v>3</v>
      </c>
      <c r="I898">
        <f t="shared" si="67"/>
        <v>2</v>
      </c>
      <c r="J898">
        <f t="shared" si="68"/>
        <v>12</v>
      </c>
      <c r="K898">
        <f t="shared" si="69"/>
        <v>2014</v>
      </c>
      <c r="M898">
        <v>15</v>
      </c>
      <c r="N898" t="str">
        <f>VLOOKUP(M898,'Cadastro Vendedores'!A:H,2,2)</f>
        <v>Luis</v>
      </c>
      <c r="O898" s="2"/>
      <c r="P898" s="16">
        <v>1700</v>
      </c>
      <c r="Q898" s="2">
        <f>VLOOKUP(B898,'Cadastro Produtos'!A:F,5,2)</f>
        <v>21</v>
      </c>
      <c r="R898" s="14">
        <f t="shared" ref="R898:R961" si="70">Q898*P898</f>
        <v>35700</v>
      </c>
    </row>
    <row r="899" spans="1:18" x14ac:dyDescent="0.25">
      <c r="A899">
        <v>898</v>
      </c>
      <c r="B899">
        <v>3</v>
      </c>
      <c r="C899" t="str">
        <f>VLOOKUP(B899,'Cadastro Produtos'!A:E,2,2)</f>
        <v>Limonada Alfa Zero 500 ml</v>
      </c>
      <c r="D899">
        <v>11</v>
      </c>
      <c r="E899" t="str">
        <f>VLOOKUP(D899,'Cadatro Clientes'!A:O,2,2)</f>
        <v>Red Lemon</v>
      </c>
      <c r="F899" t="str">
        <f>VLOOKUP(D899,'Cadatro Clientes'!A:O,9,2)</f>
        <v>Sul</v>
      </c>
      <c r="G899" s="15">
        <v>41976</v>
      </c>
      <c r="H899">
        <f t="shared" ref="H899:H962" si="71">WEEKDAY(G899)</f>
        <v>4</v>
      </c>
      <c r="I899">
        <f t="shared" ref="I899:I962" si="72">DAY(G899)</f>
        <v>3</v>
      </c>
      <c r="J899">
        <f t="shared" ref="J899:J962" si="73">MONTH(G899)</f>
        <v>12</v>
      </c>
      <c r="K899">
        <f t="shared" ref="K899:K962" si="74">YEAR(G899)</f>
        <v>2014</v>
      </c>
      <c r="M899">
        <v>3</v>
      </c>
      <c r="N899" t="str">
        <f>VLOOKUP(M899,'Cadastro Vendedores'!A:H,2,2)</f>
        <v>Antônia</v>
      </c>
      <c r="O899" s="2"/>
      <c r="P899" s="16">
        <v>3100</v>
      </c>
      <c r="Q899" s="2">
        <f>VLOOKUP(B899,'Cadastro Produtos'!A:F,5,2)</f>
        <v>9</v>
      </c>
      <c r="R899" s="14">
        <f t="shared" si="70"/>
        <v>27900</v>
      </c>
    </row>
    <row r="900" spans="1:18" x14ac:dyDescent="0.25">
      <c r="A900">
        <v>899</v>
      </c>
      <c r="B900">
        <v>5</v>
      </c>
      <c r="C900" t="str">
        <f>VLOOKUP(B900,'Cadastro Produtos'!A:E,2,2)</f>
        <v>Limonada Alfa com Açúcar 1 L</v>
      </c>
      <c r="D900">
        <v>4</v>
      </c>
      <c r="E900" t="str">
        <f>VLOOKUP(D900,'Cadatro Clientes'!A:O,2,2)</f>
        <v>Limão Carioca e Cia</v>
      </c>
      <c r="F900" t="str">
        <f>VLOOKUP(D900,'Cadatro Clientes'!A:O,9,2)</f>
        <v>Sudeste</v>
      </c>
      <c r="G900" s="15">
        <v>41976</v>
      </c>
      <c r="H900">
        <f t="shared" si="71"/>
        <v>4</v>
      </c>
      <c r="I900">
        <f t="shared" si="72"/>
        <v>3</v>
      </c>
      <c r="J900">
        <f t="shared" si="73"/>
        <v>12</v>
      </c>
      <c r="K900">
        <f t="shared" si="74"/>
        <v>2014</v>
      </c>
      <c r="M900">
        <v>8</v>
      </c>
      <c r="N900" t="str">
        <f>VLOOKUP(M900,'Cadastro Vendedores'!A:H,2,2)</f>
        <v>Sérgio</v>
      </c>
      <c r="O900" s="2"/>
      <c r="P900" s="16">
        <v>2800</v>
      </c>
      <c r="Q900" s="2">
        <f>VLOOKUP(B900,'Cadastro Produtos'!A:F,5,2)</f>
        <v>15</v>
      </c>
      <c r="R900" s="14">
        <f t="shared" si="70"/>
        <v>42000</v>
      </c>
    </row>
    <row r="901" spans="1:18" x14ac:dyDescent="0.25">
      <c r="A901">
        <v>900</v>
      </c>
      <c r="B901">
        <v>2</v>
      </c>
      <c r="C901" t="str">
        <f>VLOOKUP(B901,'Cadastro Produtos'!A:E,2,2)</f>
        <v>Limonada Beta com Açúcar 500 ml</v>
      </c>
      <c r="D901">
        <v>13</v>
      </c>
      <c r="E901" t="str">
        <f>VLOOKUP(D901,'Cadatro Clientes'!A:O,2,2)</f>
        <v>Monster Lemon</v>
      </c>
      <c r="F901" t="str">
        <f>VLOOKUP(D901,'Cadatro Clientes'!A:O,9,2)</f>
        <v>Nordeste</v>
      </c>
      <c r="G901" s="15">
        <v>41977</v>
      </c>
      <c r="H901">
        <f t="shared" si="71"/>
        <v>5</v>
      </c>
      <c r="I901">
        <f t="shared" si="72"/>
        <v>4</v>
      </c>
      <c r="J901">
        <f t="shared" si="73"/>
        <v>12</v>
      </c>
      <c r="K901">
        <f t="shared" si="74"/>
        <v>2014</v>
      </c>
      <c r="M901">
        <v>4</v>
      </c>
      <c r="N901" t="str">
        <f>VLOOKUP(M901,'Cadastro Vendedores'!A:H,2,2)</f>
        <v>José</v>
      </c>
      <c r="O901" s="2"/>
      <c r="P901" s="16">
        <v>5500</v>
      </c>
      <c r="Q901" s="2">
        <f>VLOOKUP(B901,'Cadastro Produtos'!A:F,5,2)</f>
        <v>6.5</v>
      </c>
      <c r="R901" s="14">
        <f t="shared" si="70"/>
        <v>35750</v>
      </c>
    </row>
    <row r="902" spans="1:18" x14ac:dyDescent="0.25">
      <c r="A902">
        <v>901</v>
      </c>
      <c r="B902">
        <v>9</v>
      </c>
      <c r="C902" t="str">
        <f>VLOOKUP(B902,'Cadastro Produtos'!A:E,2,2)</f>
        <v>Limonada Alfa com Hortelã e Açúcar 1 L</v>
      </c>
      <c r="D902">
        <v>12</v>
      </c>
      <c r="E902" t="str">
        <f>VLOOKUP(D902,'Cadatro Clientes'!A:O,2,2)</f>
        <v>Limão da Ilha</v>
      </c>
      <c r="F902" t="str">
        <f>VLOOKUP(D902,'Cadatro Clientes'!A:O,9,2)</f>
        <v>Sul</v>
      </c>
      <c r="G902" s="15">
        <v>41977</v>
      </c>
      <c r="H902">
        <f t="shared" si="71"/>
        <v>5</v>
      </c>
      <c r="I902">
        <f t="shared" si="72"/>
        <v>4</v>
      </c>
      <c r="J902">
        <f t="shared" si="73"/>
        <v>12</v>
      </c>
      <c r="K902">
        <f t="shared" si="74"/>
        <v>2014</v>
      </c>
      <c r="M902">
        <v>4</v>
      </c>
      <c r="N902" t="str">
        <f>VLOOKUP(M902,'Cadastro Vendedores'!A:H,2,2)</f>
        <v>José</v>
      </c>
      <c r="O902" s="2"/>
      <c r="P902" s="16">
        <v>2800</v>
      </c>
      <c r="Q902" s="2">
        <f>VLOOKUP(B902,'Cadastro Produtos'!A:F,5,2)</f>
        <v>17.5</v>
      </c>
      <c r="R902" s="14">
        <f t="shared" si="70"/>
        <v>49000</v>
      </c>
    </row>
    <row r="903" spans="1:18" x14ac:dyDescent="0.25">
      <c r="A903">
        <v>902</v>
      </c>
      <c r="B903">
        <v>5</v>
      </c>
      <c r="C903" t="str">
        <f>VLOOKUP(B903,'Cadastro Produtos'!A:E,2,2)</f>
        <v>Limonada Alfa com Açúcar 1 L</v>
      </c>
      <c r="D903">
        <v>8</v>
      </c>
      <c r="E903" t="str">
        <f>VLOOKUP(D903,'Cadatro Clientes'!A:O,2,2)</f>
        <v>Refresko</v>
      </c>
      <c r="F903" t="str">
        <f>VLOOKUP(D903,'Cadatro Clientes'!A:O,9,2)</f>
        <v>Sul</v>
      </c>
      <c r="G903" s="15">
        <v>41978</v>
      </c>
      <c r="H903">
        <f t="shared" si="71"/>
        <v>6</v>
      </c>
      <c r="I903">
        <f t="shared" si="72"/>
        <v>5</v>
      </c>
      <c r="J903">
        <f t="shared" si="73"/>
        <v>12</v>
      </c>
      <c r="K903">
        <f t="shared" si="74"/>
        <v>2014</v>
      </c>
      <c r="M903">
        <v>7</v>
      </c>
      <c r="N903" t="str">
        <f>VLOOKUP(M903,'Cadastro Vendedores'!A:H,2,2)</f>
        <v>Benedito</v>
      </c>
      <c r="O903" s="2"/>
      <c r="P903" s="16">
        <v>2100</v>
      </c>
      <c r="Q903" s="2">
        <f>VLOOKUP(B903,'Cadastro Produtos'!A:F,5,2)</f>
        <v>15</v>
      </c>
      <c r="R903" s="14">
        <f t="shared" si="70"/>
        <v>31500</v>
      </c>
    </row>
    <row r="904" spans="1:18" x14ac:dyDescent="0.25">
      <c r="A904">
        <v>903</v>
      </c>
      <c r="B904">
        <v>1</v>
      </c>
      <c r="C904" t="str">
        <f>VLOOKUP(B904,'Cadastro Produtos'!A:E,2,2)</f>
        <v>Limonada Alfa com Açúcar 500 ml</v>
      </c>
      <c r="D904">
        <v>2</v>
      </c>
      <c r="E904" t="str">
        <f>VLOOKUP(D904,'Cadatro Clientes'!A:O,2,2)</f>
        <v>Limão S/A</v>
      </c>
      <c r="F904" t="str">
        <f>VLOOKUP(D904,'Cadatro Clientes'!A:O,9,2)</f>
        <v>Centro-Oeste</v>
      </c>
      <c r="G904" s="15">
        <v>41978</v>
      </c>
      <c r="H904">
        <f t="shared" si="71"/>
        <v>6</v>
      </c>
      <c r="I904">
        <f t="shared" si="72"/>
        <v>5</v>
      </c>
      <c r="J904">
        <f t="shared" si="73"/>
        <v>12</v>
      </c>
      <c r="K904">
        <f t="shared" si="74"/>
        <v>2014</v>
      </c>
      <c r="M904">
        <v>8</v>
      </c>
      <c r="N904" t="str">
        <f>VLOOKUP(M904,'Cadastro Vendedores'!A:H,2,2)</f>
        <v>Sérgio</v>
      </c>
      <c r="O904" s="2"/>
      <c r="P904" s="16">
        <v>5500</v>
      </c>
      <c r="Q904" s="2">
        <f>VLOOKUP(B904,'Cadastro Produtos'!A:F,5,2)</f>
        <v>8.5</v>
      </c>
      <c r="R904" s="14">
        <f t="shared" si="70"/>
        <v>46750</v>
      </c>
    </row>
    <row r="905" spans="1:18" x14ac:dyDescent="0.25">
      <c r="A905">
        <v>904</v>
      </c>
      <c r="B905">
        <v>8</v>
      </c>
      <c r="C905" t="str">
        <f>VLOOKUP(B905,'Cadastro Produtos'!A:E,2,2)</f>
        <v>Limonada Beta Zero 1 L</v>
      </c>
      <c r="D905">
        <v>7</v>
      </c>
      <c r="E905" t="str">
        <f>VLOOKUP(D905,'Cadatro Clientes'!A:O,2,2)</f>
        <v>Limo</v>
      </c>
      <c r="F905" t="str">
        <f>VLOOKUP(D905,'Cadatro Clientes'!A:O,9,2)</f>
        <v>Centro-Oeste</v>
      </c>
      <c r="G905" s="15">
        <v>41978</v>
      </c>
      <c r="H905">
        <f t="shared" si="71"/>
        <v>6</v>
      </c>
      <c r="I905">
        <f t="shared" si="72"/>
        <v>5</v>
      </c>
      <c r="J905">
        <f t="shared" si="73"/>
        <v>12</v>
      </c>
      <c r="K905">
        <f t="shared" si="74"/>
        <v>2014</v>
      </c>
      <c r="M905">
        <v>8</v>
      </c>
      <c r="N905" t="str">
        <f>VLOOKUP(M905,'Cadastro Vendedores'!A:H,2,2)</f>
        <v>Sérgio</v>
      </c>
      <c r="O905" s="2"/>
      <c r="P905" s="16">
        <v>4100</v>
      </c>
      <c r="Q905" s="2">
        <f>VLOOKUP(B905,'Cadastro Produtos'!A:F,5,2)</f>
        <v>12</v>
      </c>
      <c r="R905" s="14">
        <f t="shared" si="70"/>
        <v>49200</v>
      </c>
    </row>
    <row r="906" spans="1:18" x14ac:dyDescent="0.25">
      <c r="A906">
        <v>905</v>
      </c>
      <c r="B906">
        <v>6</v>
      </c>
      <c r="C906" t="str">
        <f>VLOOKUP(B906,'Cadastro Produtos'!A:E,2,2)</f>
        <v>Limonada Beta com Açúcar 1 L</v>
      </c>
      <c r="D906">
        <v>11</v>
      </c>
      <c r="E906" t="str">
        <f>VLOOKUP(D906,'Cadatro Clientes'!A:O,2,2)</f>
        <v>Red Lemon</v>
      </c>
      <c r="F906" t="str">
        <f>VLOOKUP(D906,'Cadatro Clientes'!A:O,9,2)</f>
        <v>Sul</v>
      </c>
      <c r="G906" s="15">
        <v>41978</v>
      </c>
      <c r="H906">
        <f t="shared" si="71"/>
        <v>6</v>
      </c>
      <c r="I906">
        <f t="shared" si="72"/>
        <v>5</v>
      </c>
      <c r="J906">
        <f t="shared" si="73"/>
        <v>12</v>
      </c>
      <c r="K906">
        <f t="shared" si="74"/>
        <v>2014</v>
      </c>
      <c r="M906">
        <v>6</v>
      </c>
      <c r="N906" t="str">
        <f>VLOOKUP(M906,'Cadastro Vendedores'!A:H,2,2)</f>
        <v>Antônia</v>
      </c>
      <c r="O906" s="2"/>
      <c r="P906" s="16">
        <v>1700</v>
      </c>
      <c r="Q906" s="2">
        <f>VLOOKUP(B906,'Cadastro Produtos'!A:F,5,2)</f>
        <v>12</v>
      </c>
      <c r="R906" s="14">
        <f t="shared" si="70"/>
        <v>20400</v>
      </c>
    </row>
    <row r="907" spans="1:18" x14ac:dyDescent="0.25">
      <c r="A907">
        <v>906</v>
      </c>
      <c r="B907">
        <v>5</v>
      </c>
      <c r="C907" t="str">
        <f>VLOOKUP(B907,'Cadastro Produtos'!A:E,2,2)</f>
        <v>Limonada Alfa com Açúcar 1 L</v>
      </c>
      <c r="D907">
        <v>1</v>
      </c>
      <c r="E907" t="str">
        <f>VLOOKUP(D907,'Cadatro Clientes'!A:O,2,2)</f>
        <v>Meu Suco de Limão</v>
      </c>
      <c r="F907" t="str">
        <f>VLOOKUP(D907,'Cadatro Clientes'!A:O,9,2)</f>
        <v>Norte</v>
      </c>
      <c r="G907" s="15">
        <v>41979</v>
      </c>
      <c r="H907">
        <f t="shared" si="71"/>
        <v>7</v>
      </c>
      <c r="I907">
        <f t="shared" si="72"/>
        <v>6</v>
      </c>
      <c r="J907">
        <f t="shared" si="73"/>
        <v>12</v>
      </c>
      <c r="K907">
        <f t="shared" si="74"/>
        <v>2014</v>
      </c>
      <c r="M907">
        <v>15</v>
      </c>
      <c r="N907" t="str">
        <f>VLOOKUP(M907,'Cadastro Vendedores'!A:H,2,2)</f>
        <v>Luis</v>
      </c>
      <c r="O907" s="2"/>
      <c r="P907" s="16">
        <v>2900</v>
      </c>
      <c r="Q907" s="2">
        <f>VLOOKUP(B907,'Cadastro Produtos'!A:F,5,2)</f>
        <v>15</v>
      </c>
      <c r="R907" s="14">
        <f t="shared" si="70"/>
        <v>43500</v>
      </c>
    </row>
    <row r="908" spans="1:18" x14ac:dyDescent="0.25">
      <c r="A908">
        <v>907</v>
      </c>
      <c r="B908">
        <v>9</v>
      </c>
      <c r="C908" t="str">
        <f>VLOOKUP(B908,'Cadastro Produtos'!A:E,2,2)</f>
        <v>Limonada Alfa com Hortelã e Açúcar 1 L</v>
      </c>
      <c r="D908">
        <v>5</v>
      </c>
      <c r="E908" t="str">
        <f>VLOOKUP(D908,'Cadatro Clientes'!A:O,2,2)</f>
        <v>Axé com Limão</v>
      </c>
      <c r="F908" t="str">
        <f>VLOOKUP(D908,'Cadatro Clientes'!A:O,9,2)</f>
        <v>Nordeste</v>
      </c>
      <c r="G908" s="15">
        <v>41979</v>
      </c>
      <c r="H908">
        <f t="shared" si="71"/>
        <v>7</v>
      </c>
      <c r="I908">
        <f t="shared" si="72"/>
        <v>6</v>
      </c>
      <c r="J908">
        <f t="shared" si="73"/>
        <v>12</v>
      </c>
      <c r="K908">
        <f t="shared" si="74"/>
        <v>2014</v>
      </c>
      <c r="M908">
        <v>15</v>
      </c>
      <c r="N908" t="str">
        <f>VLOOKUP(M908,'Cadastro Vendedores'!A:H,2,2)</f>
        <v>Luis</v>
      </c>
      <c r="O908" s="2"/>
      <c r="P908" s="16">
        <v>1800</v>
      </c>
      <c r="Q908" s="2">
        <f>VLOOKUP(B908,'Cadastro Produtos'!A:F,5,2)</f>
        <v>17.5</v>
      </c>
      <c r="R908" s="14">
        <f t="shared" si="70"/>
        <v>31500</v>
      </c>
    </row>
    <row r="909" spans="1:18" x14ac:dyDescent="0.25">
      <c r="A909">
        <v>908</v>
      </c>
      <c r="B909">
        <v>3</v>
      </c>
      <c r="C909" t="str">
        <f>VLOOKUP(B909,'Cadastro Produtos'!A:E,2,2)</f>
        <v>Limonada Alfa Zero 500 ml</v>
      </c>
      <c r="D909">
        <v>14</v>
      </c>
      <c r="E909" t="str">
        <f>VLOOKUP(D909,'Cadatro Clientes'!A:O,2,2)</f>
        <v>Sprite</v>
      </c>
      <c r="F909" t="str">
        <f>VLOOKUP(D909,'Cadatro Clientes'!A:O,9,2)</f>
        <v>Norte</v>
      </c>
      <c r="G909" s="15">
        <v>41980</v>
      </c>
      <c r="H909">
        <f t="shared" si="71"/>
        <v>1</v>
      </c>
      <c r="I909">
        <f t="shared" si="72"/>
        <v>7</v>
      </c>
      <c r="J909">
        <f t="shared" si="73"/>
        <v>12</v>
      </c>
      <c r="K909">
        <f t="shared" si="74"/>
        <v>2014</v>
      </c>
      <c r="M909">
        <v>9</v>
      </c>
      <c r="N909" t="str">
        <f>VLOOKUP(M909,'Cadastro Vendedores'!A:H,2,2)</f>
        <v>Adriana</v>
      </c>
      <c r="O909" s="2"/>
      <c r="P909" s="16">
        <v>6300</v>
      </c>
      <c r="Q909" s="2">
        <f>VLOOKUP(B909,'Cadastro Produtos'!A:F,5,2)</f>
        <v>9</v>
      </c>
      <c r="R909" s="14">
        <f t="shared" si="70"/>
        <v>56700</v>
      </c>
    </row>
    <row r="910" spans="1:18" x14ac:dyDescent="0.25">
      <c r="A910">
        <v>909</v>
      </c>
      <c r="B910">
        <v>2</v>
      </c>
      <c r="C910" t="str">
        <f>VLOOKUP(B910,'Cadastro Produtos'!A:E,2,2)</f>
        <v>Limonada Beta com Açúcar 500 ml</v>
      </c>
      <c r="D910">
        <v>7</v>
      </c>
      <c r="E910" t="str">
        <f>VLOOKUP(D910,'Cadatro Clientes'!A:O,2,2)</f>
        <v>Limo</v>
      </c>
      <c r="F910" t="str">
        <f>VLOOKUP(D910,'Cadatro Clientes'!A:O,9,2)</f>
        <v>Centro-Oeste</v>
      </c>
      <c r="G910" s="15">
        <v>41980</v>
      </c>
      <c r="H910">
        <f t="shared" si="71"/>
        <v>1</v>
      </c>
      <c r="I910">
        <f t="shared" si="72"/>
        <v>7</v>
      </c>
      <c r="J910">
        <f t="shared" si="73"/>
        <v>12</v>
      </c>
      <c r="K910">
        <f t="shared" si="74"/>
        <v>2014</v>
      </c>
      <c r="M910">
        <v>12</v>
      </c>
      <c r="N910" t="str">
        <f>VLOOKUP(M910,'Cadastro Vendedores'!A:H,2,2)</f>
        <v>Paulo</v>
      </c>
      <c r="O910" s="2"/>
      <c r="P910" s="16">
        <v>2300</v>
      </c>
      <c r="Q910" s="2">
        <f>VLOOKUP(B910,'Cadastro Produtos'!A:F,5,2)</f>
        <v>6.5</v>
      </c>
      <c r="R910" s="14">
        <f t="shared" si="70"/>
        <v>14950</v>
      </c>
    </row>
    <row r="911" spans="1:18" x14ac:dyDescent="0.25">
      <c r="A911">
        <v>910</v>
      </c>
      <c r="B911">
        <v>5</v>
      </c>
      <c r="C911" t="str">
        <f>VLOOKUP(B911,'Cadastro Produtos'!A:E,2,2)</f>
        <v>Limonada Alfa com Açúcar 1 L</v>
      </c>
      <c r="D911">
        <v>1</v>
      </c>
      <c r="E911" t="str">
        <f>VLOOKUP(D911,'Cadatro Clientes'!A:O,2,2)</f>
        <v>Meu Suco de Limão</v>
      </c>
      <c r="F911" t="str">
        <f>VLOOKUP(D911,'Cadatro Clientes'!A:O,9,2)</f>
        <v>Norte</v>
      </c>
      <c r="G911" s="15">
        <v>41981</v>
      </c>
      <c r="H911">
        <f t="shared" si="71"/>
        <v>2</v>
      </c>
      <c r="I911">
        <f t="shared" si="72"/>
        <v>8</v>
      </c>
      <c r="J911">
        <f t="shared" si="73"/>
        <v>12</v>
      </c>
      <c r="K911">
        <f t="shared" si="74"/>
        <v>2014</v>
      </c>
      <c r="M911">
        <v>7</v>
      </c>
      <c r="N911" t="str">
        <f>VLOOKUP(M911,'Cadastro Vendedores'!A:H,2,2)</f>
        <v>Benedito</v>
      </c>
      <c r="O911" s="2"/>
      <c r="P911" s="16">
        <v>2000</v>
      </c>
      <c r="Q911" s="2">
        <f>VLOOKUP(B911,'Cadastro Produtos'!A:F,5,2)</f>
        <v>15</v>
      </c>
      <c r="R911" s="14">
        <f t="shared" si="70"/>
        <v>30000</v>
      </c>
    </row>
    <row r="912" spans="1:18" x14ac:dyDescent="0.25">
      <c r="A912">
        <v>911</v>
      </c>
      <c r="B912">
        <v>2</v>
      </c>
      <c r="C912" t="str">
        <f>VLOOKUP(B912,'Cadastro Produtos'!A:E,2,2)</f>
        <v>Limonada Beta com Açúcar 500 ml</v>
      </c>
      <c r="D912">
        <v>8</v>
      </c>
      <c r="E912" t="str">
        <f>VLOOKUP(D912,'Cadatro Clientes'!A:O,2,2)</f>
        <v>Refresko</v>
      </c>
      <c r="F912" t="str">
        <f>VLOOKUP(D912,'Cadatro Clientes'!A:O,9,2)</f>
        <v>Sul</v>
      </c>
      <c r="G912" s="15">
        <v>41981</v>
      </c>
      <c r="H912">
        <f t="shared" si="71"/>
        <v>2</v>
      </c>
      <c r="I912">
        <f t="shared" si="72"/>
        <v>8</v>
      </c>
      <c r="J912">
        <f t="shared" si="73"/>
        <v>12</v>
      </c>
      <c r="K912">
        <f t="shared" si="74"/>
        <v>2014</v>
      </c>
      <c r="M912">
        <v>7</v>
      </c>
      <c r="N912" t="str">
        <f>VLOOKUP(M912,'Cadastro Vendedores'!A:H,2,2)</f>
        <v>Benedito</v>
      </c>
      <c r="O912" s="2"/>
      <c r="P912" s="16">
        <v>9000</v>
      </c>
      <c r="Q912" s="2">
        <f>VLOOKUP(B912,'Cadastro Produtos'!A:F,5,2)</f>
        <v>6.5</v>
      </c>
      <c r="R912" s="14">
        <f t="shared" si="70"/>
        <v>58500</v>
      </c>
    </row>
    <row r="913" spans="1:18" x14ac:dyDescent="0.25">
      <c r="A913">
        <v>912</v>
      </c>
      <c r="B913">
        <v>9</v>
      </c>
      <c r="C913" t="str">
        <f>VLOOKUP(B913,'Cadastro Produtos'!A:E,2,2)</f>
        <v>Limonada Alfa com Hortelã e Açúcar 1 L</v>
      </c>
      <c r="D913">
        <v>6</v>
      </c>
      <c r="E913" t="str">
        <f>VLOOKUP(D913,'Cadatro Clientes'!A:O,2,2)</f>
        <v>Lemonade</v>
      </c>
      <c r="F913" t="str">
        <f>VLOOKUP(D913,'Cadatro Clientes'!A:O,9,2)</f>
        <v>Norte</v>
      </c>
      <c r="G913" s="15">
        <v>41982</v>
      </c>
      <c r="H913">
        <f t="shared" si="71"/>
        <v>3</v>
      </c>
      <c r="I913">
        <f t="shared" si="72"/>
        <v>9</v>
      </c>
      <c r="J913">
        <f t="shared" si="73"/>
        <v>12</v>
      </c>
      <c r="K913">
        <f t="shared" si="74"/>
        <v>2014</v>
      </c>
      <c r="M913">
        <v>15</v>
      </c>
      <c r="N913" t="str">
        <f>VLOOKUP(M913,'Cadastro Vendedores'!A:H,2,2)</f>
        <v>Luis</v>
      </c>
      <c r="O913" s="2"/>
      <c r="P913" s="16">
        <v>2000</v>
      </c>
      <c r="Q913" s="2">
        <f>VLOOKUP(B913,'Cadastro Produtos'!A:F,5,2)</f>
        <v>17.5</v>
      </c>
      <c r="R913" s="14">
        <f t="shared" si="70"/>
        <v>35000</v>
      </c>
    </row>
    <row r="914" spans="1:18" x14ac:dyDescent="0.25">
      <c r="A914">
        <v>913</v>
      </c>
      <c r="B914">
        <v>7</v>
      </c>
      <c r="C914" t="str">
        <f>VLOOKUP(B914,'Cadastro Produtos'!A:E,2,2)</f>
        <v>Limonada Alfa Zero 1 L</v>
      </c>
      <c r="D914">
        <v>11</v>
      </c>
      <c r="E914" t="str">
        <f>VLOOKUP(D914,'Cadatro Clientes'!A:O,2,2)</f>
        <v>Red Lemon</v>
      </c>
      <c r="F914" t="str">
        <f>VLOOKUP(D914,'Cadatro Clientes'!A:O,9,2)</f>
        <v>Sul</v>
      </c>
      <c r="G914" s="15">
        <v>41982</v>
      </c>
      <c r="H914">
        <f t="shared" si="71"/>
        <v>3</v>
      </c>
      <c r="I914">
        <f t="shared" si="72"/>
        <v>9</v>
      </c>
      <c r="J914">
        <f t="shared" si="73"/>
        <v>12</v>
      </c>
      <c r="K914">
        <f t="shared" si="74"/>
        <v>2014</v>
      </c>
      <c r="M914">
        <v>7</v>
      </c>
      <c r="N914" t="str">
        <f>VLOOKUP(M914,'Cadastro Vendedores'!A:H,2,2)</f>
        <v>Benedito</v>
      </c>
      <c r="O914" s="2"/>
      <c r="P914" s="16">
        <v>2900</v>
      </c>
      <c r="Q914" s="2">
        <f>VLOOKUP(B914,'Cadastro Produtos'!A:F,5,2)</f>
        <v>15</v>
      </c>
      <c r="R914" s="14">
        <f t="shared" si="70"/>
        <v>43500</v>
      </c>
    </row>
    <row r="915" spans="1:18" x14ac:dyDescent="0.25">
      <c r="A915">
        <v>914</v>
      </c>
      <c r="B915">
        <v>4</v>
      </c>
      <c r="C915" t="str">
        <f>VLOOKUP(B915,'Cadastro Produtos'!A:E,2,2)</f>
        <v>Limonada Beta Zero 500 ml</v>
      </c>
      <c r="D915">
        <v>1</v>
      </c>
      <c r="E915" t="str">
        <f>VLOOKUP(D915,'Cadatro Clientes'!A:O,2,2)</f>
        <v>Meu Suco de Limão</v>
      </c>
      <c r="F915" t="str">
        <f>VLOOKUP(D915,'Cadatro Clientes'!A:O,9,2)</f>
        <v>Norte</v>
      </c>
      <c r="G915" s="15">
        <v>41983</v>
      </c>
      <c r="H915">
        <f t="shared" si="71"/>
        <v>4</v>
      </c>
      <c r="I915">
        <f t="shared" si="72"/>
        <v>10</v>
      </c>
      <c r="J915">
        <f t="shared" si="73"/>
        <v>12</v>
      </c>
      <c r="K915">
        <f t="shared" si="74"/>
        <v>2014</v>
      </c>
      <c r="M915">
        <v>12</v>
      </c>
      <c r="N915" t="str">
        <f>VLOOKUP(M915,'Cadastro Vendedores'!A:H,2,2)</f>
        <v>Paulo</v>
      </c>
      <c r="O915" s="2"/>
      <c r="P915" s="16">
        <v>5100</v>
      </c>
      <c r="Q915" s="2">
        <f>VLOOKUP(B915,'Cadastro Produtos'!A:F,5,2)</f>
        <v>7</v>
      </c>
      <c r="R915" s="14">
        <f t="shared" si="70"/>
        <v>35700</v>
      </c>
    </row>
    <row r="916" spans="1:18" x14ac:dyDescent="0.25">
      <c r="A916">
        <v>915</v>
      </c>
      <c r="B916">
        <v>5</v>
      </c>
      <c r="C916" t="str">
        <f>VLOOKUP(B916,'Cadastro Produtos'!A:E,2,2)</f>
        <v>Limonada Alfa com Açúcar 1 L</v>
      </c>
      <c r="D916">
        <v>6</v>
      </c>
      <c r="E916" t="str">
        <f>VLOOKUP(D916,'Cadatro Clientes'!A:O,2,2)</f>
        <v>Lemonade</v>
      </c>
      <c r="F916" t="str">
        <f>VLOOKUP(D916,'Cadatro Clientes'!A:O,9,2)</f>
        <v>Norte</v>
      </c>
      <c r="G916" s="15">
        <v>41983</v>
      </c>
      <c r="H916">
        <f t="shared" si="71"/>
        <v>4</v>
      </c>
      <c r="I916">
        <f t="shared" si="72"/>
        <v>10</v>
      </c>
      <c r="J916">
        <f t="shared" si="73"/>
        <v>12</v>
      </c>
      <c r="K916">
        <f t="shared" si="74"/>
        <v>2014</v>
      </c>
      <c r="M916">
        <v>9</v>
      </c>
      <c r="N916" t="str">
        <f>VLOOKUP(M916,'Cadastro Vendedores'!A:H,2,2)</f>
        <v>Adriana</v>
      </c>
      <c r="O916" s="2"/>
      <c r="P916" s="16">
        <v>4000</v>
      </c>
      <c r="Q916" s="2">
        <f>VLOOKUP(B916,'Cadastro Produtos'!A:F,5,2)</f>
        <v>15</v>
      </c>
      <c r="R916" s="14">
        <f t="shared" si="70"/>
        <v>60000</v>
      </c>
    </row>
    <row r="917" spans="1:18" x14ac:dyDescent="0.25">
      <c r="A917">
        <v>916</v>
      </c>
      <c r="B917">
        <v>3</v>
      </c>
      <c r="C917" t="str">
        <f>VLOOKUP(B917,'Cadastro Produtos'!A:E,2,2)</f>
        <v>Limonada Alfa Zero 500 ml</v>
      </c>
      <c r="D917">
        <v>9</v>
      </c>
      <c r="E917" t="str">
        <f>VLOOKUP(D917,'Cadatro Clientes'!A:O,2,2)</f>
        <v>Fresh Lemon</v>
      </c>
      <c r="F917" t="str">
        <f>VLOOKUP(D917,'Cadatro Clientes'!A:O,9,2)</f>
        <v>Sudeste</v>
      </c>
      <c r="G917" s="15">
        <v>41984</v>
      </c>
      <c r="H917">
        <f t="shared" si="71"/>
        <v>5</v>
      </c>
      <c r="I917">
        <f t="shared" si="72"/>
        <v>11</v>
      </c>
      <c r="J917">
        <f t="shared" si="73"/>
        <v>12</v>
      </c>
      <c r="K917">
        <f t="shared" si="74"/>
        <v>2014</v>
      </c>
      <c r="M917">
        <v>3</v>
      </c>
      <c r="N917" t="str">
        <f>VLOOKUP(M917,'Cadastro Vendedores'!A:H,2,2)</f>
        <v>Antônia</v>
      </c>
      <c r="O917" s="2"/>
      <c r="P917" s="16">
        <v>3400</v>
      </c>
      <c r="Q917" s="2">
        <f>VLOOKUP(B917,'Cadastro Produtos'!A:F,5,2)</f>
        <v>9</v>
      </c>
      <c r="R917" s="14">
        <f t="shared" si="70"/>
        <v>30600</v>
      </c>
    </row>
    <row r="918" spans="1:18" x14ac:dyDescent="0.25">
      <c r="A918">
        <v>917</v>
      </c>
      <c r="B918">
        <v>9</v>
      </c>
      <c r="C918" t="str">
        <f>VLOOKUP(B918,'Cadastro Produtos'!A:E,2,2)</f>
        <v>Limonada Alfa com Hortelã e Açúcar 1 L</v>
      </c>
      <c r="D918">
        <v>8</v>
      </c>
      <c r="E918" t="str">
        <f>VLOOKUP(D918,'Cadatro Clientes'!A:O,2,2)</f>
        <v>Refresko</v>
      </c>
      <c r="F918" t="str">
        <f>VLOOKUP(D918,'Cadatro Clientes'!A:O,9,2)</f>
        <v>Sul</v>
      </c>
      <c r="G918" s="15">
        <v>41985</v>
      </c>
      <c r="H918">
        <f t="shared" si="71"/>
        <v>6</v>
      </c>
      <c r="I918">
        <f t="shared" si="72"/>
        <v>12</v>
      </c>
      <c r="J918">
        <f t="shared" si="73"/>
        <v>12</v>
      </c>
      <c r="K918">
        <f t="shared" si="74"/>
        <v>2014</v>
      </c>
      <c r="M918">
        <v>12</v>
      </c>
      <c r="N918" t="str">
        <f>VLOOKUP(M918,'Cadastro Vendedores'!A:H,2,2)</f>
        <v>Paulo</v>
      </c>
      <c r="O918" s="2"/>
      <c r="P918" s="16">
        <v>3200</v>
      </c>
      <c r="Q918" s="2">
        <f>VLOOKUP(B918,'Cadastro Produtos'!A:F,5,2)</f>
        <v>17.5</v>
      </c>
      <c r="R918" s="14">
        <f t="shared" si="70"/>
        <v>56000</v>
      </c>
    </row>
    <row r="919" spans="1:18" x14ac:dyDescent="0.25">
      <c r="A919">
        <v>918</v>
      </c>
      <c r="B919">
        <v>9</v>
      </c>
      <c r="C919" t="str">
        <f>VLOOKUP(B919,'Cadastro Produtos'!A:E,2,2)</f>
        <v>Limonada Alfa com Hortelã e Açúcar 1 L</v>
      </c>
      <c r="D919">
        <v>16</v>
      </c>
      <c r="E919" t="str">
        <f>VLOOKUP(D919,'Cadatro Clientes'!A:O,2,2)</f>
        <v>Norte Suco</v>
      </c>
      <c r="F919" t="str">
        <f>VLOOKUP(D919,'Cadatro Clientes'!A:O,9,2)</f>
        <v>Nordeste</v>
      </c>
      <c r="G919" s="15">
        <v>41985</v>
      </c>
      <c r="H919">
        <f t="shared" si="71"/>
        <v>6</v>
      </c>
      <c r="I919">
        <f t="shared" si="72"/>
        <v>12</v>
      </c>
      <c r="J919">
        <f t="shared" si="73"/>
        <v>12</v>
      </c>
      <c r="K919">
        <f t="shared" si="74"/>
        <v>2014</v>
      </c>
      <c r="M919">
        <v>3</v>
      </c>
      <c r="N919" t="str">
        <f>VLOOKUP(M919,'Cadastro Vendedores'!A:H,2,2)</f>
        <v>Antônia</v>
      </c>
      <c r="O919" s="2"/>
      <c r="P919" s="16">
        <v>1300</v>
      </c>
      <c r="Q919" s="2">
        <f>VLOOKUP(B919,'Cadastro Produtos'!A:F,5,2)</f>
        <v>17.5</v>
      </c>
      <c r="R919" s="14">
        <f t="shared" si="70"/>
        <v>22750</v>
      </c>
    </row>
    <row r="920" spans="1:18" x14ac:dyDescent="0.25">
      <c r="A920">
        <v>919</v>
      </c>
      <c r="B920">
        <v>7</v>
      </c>
      <c r="C920" t="str">
        <f>VLOOKUP(B920,'Cadastro Produtos'!A:E,2,2)</f>
        <v>Limonada Alfa Zero 1 L</v>
      </c>
      <c r="D920">
        <v>6</v>
      </c>
      <c r="E920" t="str">
        <f>VLOOKUP(D920,'Cadatro Clientes'!A:O,2,2)</f>
        <v>Lemonade</v>
      </c>
      <c r="F920" t="str">
        <f>VLOOKUP(D920,'Cadatro Clientes'!A:O,9,2)</f>
        <v>Norte</v>
      </c>
      <c r="G920" s="15">
        <v>41985</v>
      </c>
      <c r="H920">
        <f t="shared" si="71"/>
        <v>6</v>
      </c>
      <c r="I920">
        <f t="shared" si="72"/>
        <v>12</v>
      </c>
      <c r="J920">
        <f t="shared" si="73"/>
        <v>12</v>
      </c>
      <c r="K920">
        <f t="shared" si="74"/>
        <v>2014</v>
      </c>
      <c r="M920">
        <v>15</v>
      </c>
      <c r="N920" t="str">
        <f>VLOOKUP(M920,'Cadastro Vendedores'!A:H,2,2)</f>
        <v>Luis</v>
      </c>
      <c r="O920" s="2"/>
      <c r="P920" s="16">
        <v>2000</v>
      </c>
      <c r="Q920" s="2">
        <f>VLOOKUP(B920,'Cadastro Produtos'!A:F,5,2)</f>
        <v>15</v>
      </c>
      <c r="R920" s="14">
        <f t="shared" si="70"/>
        <v>30000</v>
      </c>
    </row>
    <row r="921" spans="1:18" x14ac:dyDescent="0.25">
      <c r="A921">
        <v>920</v>
      </c>
      <c r="B921">
        <v>3</v>
      </c>
      <c r="C921" t="str">
        <f>VLOOKUP(B921,'Cadastro Produtos'!A:E,2,2)</f>
        <v>Limonada Alfa Zero 500 ml</v>
      </c>
      <c r="D921">
        <v>1</v>
      </c>
      <c r="E921" t="str">
        <f>VLOOKUP(D921,'Cadatro Clientes'!A:O,2,2)</f>
        <v>Meu Suco de Limão</v>
      </c>
      <c r="F921" t="str">
        <f>VLOOKUP(D921,'Cadatro Clientes'!A:O,9,2)</f>
        <v>Norte</v>
      </c>
      <c r="G921" s="15">
        <v>41986</v>
      </c>
      <c r="H921">
        <f t="shared" si="71"/>
        <v>7</v>
      </c>
      <c r="I921">
        <f t="shared" si="72"/>
        <v>13</v>
      </c>
      <c r="J921">
        <f t="shared" si="73"/>
        <v>12</v>
      </c>
      <c r="K921">
        <f t="shared" si="74"/>
        <v>2014</v>
      </c>
      <c r="M921">
        <v>4</v>
      </c>
      <c r="N921" t="str">
        <f>VLOOKUP(M921,'Cadastro Vendedores'!A:H,2,2)</f>
        <v>José</v>
      </c>
      <c r="O921" s="2"/>
      <c r="P921" s="16">
        <v>7400</v>
      </c>
      <c r="Q921" s="2">
        <f>VLOOKUP(B921,'Cadastro Produtos'!A:F,5,2)</f>
        <v>9</v>
      </c>
      <c r="R921" s="14">
        <f t="shared" si="70"/>
        <v>66600</v>
      </c>
    </row>
    <row r="922" spans="1:18" x14ac:dyDescent="0.25">
      <c r="A922">
        <v>921</v>
      </c>
      <c r="B922">
        <v>5</v>
      </c>
      <c r="C922" t="str">
        <f>VLOOKUP(B922,'Cadastro Produtos'!A:E,2,2)</f>
        <v>Limonada Alfa com Açúcar 1 L</v>
      </c>
      <c r="D922">
        <v>16</v>
      </c>
      <c r="E922" t="str">
        <f>VLOOKUP(D922,'Cadatro Clientes'!A:O,2,2)</f>
        <v>Norte Suco</v>
      </c>
      <c r="F922" t="str">
        <f>VLOOKUP(D922,'Cadatro Clientes'!A:O,9,2)</f>
        <v>Nordeste</v>
      </c>
      <c r="G922" s="15">
        <v>41987</v>
      </c>
      <c r="H922">
        <f t="shared" si="71"/>
        <v>1</v>
      </c>
      <c r="I922">
        <f t="shared" si="72"/>
        <v>14</v>
      </c>
      <c r="J922">
        <f t="shared" si="73"/>
        <v>12</v>
      </c>
      <c r="K922">
        <f t="shared" si="74"/>
        <v>2014</v>
      </c>
      <c r="M922">
        <v>13</v>
      </c>
      <c r="N922" t="str">
        <f>VLOOKUP(M922,'Cadastro Vendedores'!A:H,2,2)</f>
        <v>Andre</v>
      </c>
      <c r="O922" s="2"/>
      <c r="P922" s="16">
        <v>3600</v>
      </c>
      <c r="Q922" s="2">
        <f>VLOOKUP(B922,'Cadastro Produtos'!A:F,5,2)</f>
        <v>15</v>
      </c>
      <c r="R922" s="14">
        <f t="shared" si="70"/>
        <v>54000</v>
      </c>
    </row>
    <row r="923" spans="1:18" x14ac:dyDescent="0.25">
      <c r="A923">
        <v>922</v>
      </c>
      <c r="B923">
        <v>6</v>
      </c>
      <c r="C923" t="str">
        <f>VLOOKUP(B923,'Cadastro Produtos'!A:E,2,2)</f>
        <v>Limonada Beta com Açúcar 1 L</v>
      </c>
      <c r="D923">
        <v>7</v>
      </c>
      <c r="E923" t="str">
        <f>VLOOKUP(D923,'Cadatro Clientes'!A:O,2,2)</f>
        <v>Limo</v>
      </c>
      <c r="F923" t="str">
        <f>VLOOKUP(D923,'Cadatro Clientes'!A:O,9,2)</f>
        <v>Centro-Oeste</v>
      </c>
      <c r="G923" s="15">
        <v>41987</v>
      </c>
      <c r="H923">
        <f t="shared" si="71"/>
        <v>1</v>
      </c>
      <c r="I923">
        <f t="shared" si="72"/>
        <v>14</v>
      </c>
      <c r="J923">
        <f t="shared" si="73"/>
        <v>12</v>
      </c>
      <c r="K923">
        <f t="shared" si="74"/>
        <v>2014</v>
      </c>
      <c r="M923">
        <v>6</v>
      </c>
      <c r="N923" t="str">
        <f>VLOOKUP(M923,'Cadastro Vendedores'!A:H,2,2)</f>
        <v>Antônia</v>
      </c>
      <c r="O923" s="2"/>
      <c r="P923" s="16">
        <v>1800</v>
      </c>
      <c r="Q923" s="2">
        <f>VLOOKUP(B923,'Cadastro Produtos'!A:F,5,2)</f>
        <v>12</v>
      </c>
      <c r="R923" s="14">
        <f t="shared" si="70"/>
        <v>21600</v>
      </c>
    </row>
    <row r="924" spans="1:18" x14ac:dyDescent="0.25">
      <c r="A924">
        <v>923</v>
      </c>
      <c r="B924">
        <v>5</v>
      </c>
      <c r="C924" t="str">
        <f>VLOOKUP(B924,'Cadastro Produtos'!A:E,2,2)</f>
        <v>Limonada Alfa com Açúcar 1 L</v>
      </c>
      <c r="D924">
        <v>5</v>
      </c>
      <c r="E924" t="str">
        <f>VLOOKUP(D924,'Cadatro Clientes'!A:O,2,2)</f>
        <v>Axé com Limão</v>
      </c>
      <c r="F924" t="str">
        <f>VLOOKUP(D924,'Cadatro Clientes'!A:O,9,2)</f>
        <v>Nordeste</v>
      </c>
      <c r="G924" s="15">
        <v>41988</v>
      </c>
      <c r="H924">
        <f t="shared" si="71"/>
        <v>2</v>
      </c>
      <c r="I924">
        <f t="shared" si="72"/>
        <v>15</v>
      </c>
      <c r="J924">
        <f t="shared" si="73"/>
        <v>12</v>
      </c>
      <c r="K924">
        <f t="shared" si="74"/>
        <v>2014</v>
      </c>
      <c r="M924">
        <v>12</v>
      </c>
      <c r="N924" t="str">
        <f>VLOOKUP(M924,'Cadastro Vendedores'!A:H,2,2)</f>
        <v>Paulo</v>
      </c>
      <c r="O924" s="2"/>
      <c r="P924" s="16">
        <v>2500</v>
      </c>
      <c r="Q924" s="2">
        <f>VLOOKUP(B924,'Cadastro Produtos'!A:F,5,2)</f>
        <v>15</v>
      </c>
      <c r="R924" s="14">
        <f t="shared" si="70"/>
        <v>37500</v>
      </c>
    </row>
    <row r="925" spans="1:18" x14ac:dyDescent="0.25">
      <c r="A925">
        <v>924</v>
      </c>
      <c r="B925">
        <v>8</v>
      </c>
      <c r="C925" t="str">
        <f>VLOOKUP(B925,'Cadastro Produtos'!A:E,2,2)</f>
        <v>Limonada Beta Zero 1 L</v>
      </c>
      <c r="D925">
        <v>6</v>
      </c>
      <c r="E925" t="str">
        <f>VLOOKUP(D925,'Cadatro Clientes'!A:O,2,2)</f>
        <v>Lemonade</v>
      </c>
      <c r="F925" t="str">
        <f>VLOOKUP(D925,'Cadatro Clientes'!A:O,9,2)</f>
        <v>Norte</v>
      </c>
      <c r="G925" s="15">
        <v>41988</v>
      </c>
      <c r="H925">
        <f t="shared" si="71"/>
        <v>2</v>
      </c>
      <c r="I925">
        <f t="shared" si="72"/>
        <v>15</v>
      </c>
      <c r="J925">
        <f t="shared" si="73"/>
        <v>12</v>
      </c>
      <c r="K925">
        <f t="shared" si="74"/>
        <v>2014</v>
      </c>
      <c r="M925">
        <v>4</v>
      </c>
      <c r="N925" t="str">
        <f>VLOOKUP(M925,'Cadastro Vendedores'!A:H,2,2)</f>
        <v>José</v>
      </c>
      <c r="O925" s="2"/>
      <c r="P925" s="16">
        <v>2800</v>
      </c>
      <c r="Q925" s="2">
        <f>VLOOKUP(B925,'Cadastro Produtos'!A:F,5,2)</f>
        <v>12</v>
      </c>
      <c r="R925" s="14">
        <f t="shared" si="70"/>
        <v>33600</v>
      </c>
    </row>
    <row r="926" spans="1:18" x14ac:dyDescent="0.25">
      <c r="A926">
        <v>925</v>
      </c>
      <c r="B926">
        <v>3</v>
      </c>
      <c r="C926" t="str">
        <f>VLOOKUP(B926,'Cadastro Produtos'!A:E,2,2)</f>
        <v>Limonada Alfa Zero 500 ml</v>
      </c>
      <c r="D926">
        <v>8</v>
      </c>
      <c r="E926" t="str">
        <f>VLOOKUP(D926,'Cadatro Clientes'!A:O,2,2)</f>
        <v>Refresko</v>
      </c>
      <c r="F926" t="str">
        <f>VLOOKUP(D926,'Cadatro Clientes'!A:O,9,2)</f>
        <v>Sul</v>
      </c>
      <c r="G926" s="15">
        <v>41988</v>
      </c>
      <c r="H926">
        <f t="shared" si="71"/>
        <v>2</v>
      </c>
      <c r="I926">
        <f t="shared" si="72"/>
        <v>15</v>
      </c>
      <c r="J926">
        <f t="shared" si="73"/>
        <v>12</v>
      </c>
      <c r="K926">
        <f t="shared" si="74"/>
        <v>2014</v>
      </c>
      <c r="M926">
        <v>4</v>
      </c>
      <c r="N926" t="str">
        <f>VLOOKUP(M926,'Cadastro Vendedores'!A:H,2,2)</f>
        <v>José</v>
      </c>
      <c r="O926" s="2"/>
      <c r="P926" s="16">
        <v>2600</v>
      </c>
      <c r="Q926" s="2">
        <f>VLOOKUP(B926,'Cadastro Produtos'!A:F,5,2)</f>
        <v>9</v>
      </c>
      <c r="R926" s="14">
        <f t="shared" si="70"/>
        <v>23400</v>
      </c>
    </row>
    <row r="927" spans="1:18" x14ac:dyDescent="0.25">
      <c r="A927">
        <v>926</v>
      </c>
      <c r="B927">
        <v>7</v>
      </c>
      <c r="C927" t="str">
        <f>VLOOKUP(B927,'Cadastro Produtos'!A:E,2,2)</f>
        <v>Limonada Alfa Zero 1 L</v>
      </c>
      <c r="D927">
        <v>5</v>
      </c>
      <c r="E927" t="str">
        <f>VLOOKUP(D927,'Cadatro Clientes'!A:O,2,2)</f>
        <v>Axé com Limão</v>
      </c>
      <c r="F927" t="str">
        <f>VLOOKUP(D927,'Cadatro Clientes'!A:O,9,2)</f>
        <v>Nordeste</v>
      </c>
      <c r="G927" s="15">
        <v>41988</v>
      </c>
      <c r="H927">
        <f t="shared" si="71"/>
        <v>2</v>
      </c>
      <c r="I927">
        <f t="shared" si="72"/>
        <v>15</v>
      </c>
      <c r="J927">
        <f t="shared" si="73"/>
        <v>12</v>
      </c>
      <c r="K927">
        <f t="shared" si="74"/>
        <v>2014</v>
      </c>
      <c r="M927">
        <v>4</v>
      </c>
      <c r="N927" t="str">
        <f>VLOOKUP(M927,'Cadastro Vendedores'!A:H,2,2)</f>
        <v>José</v>
      </c>
      <c r="O927" s="2"/>
      <c r="P927" s="16">
        <v>1800</v>
      </c>
      <c r="Q927" s="2">
        <f>VLOOKUP(B927,'Cadastro Produtos'!A:F,5,2)</f>
        <v>15</v>
      </c>
      <c r="R927" s="14">
        <f t="shared" si="70"/>
        <v>27000</v>
      </c>
    </row>
    <row r="928" spans="1:18" x14ac:dyDescent="0.25">
      <c r="A928">
        <v>927</v>
      </c>
      <c r="B928">
        <v>6</v>
      </c>
      <c r="C928" t="str">
        <f>VLOOKUP(B928,'Cadastro Produtos'!A:E,2,2)</f>
        <v>Limonada Beta com Açúcar 1 L</v>
      </c>
      <c r="D928">
        <v>12</v>
      </c>
      <c r="E928" t="str">
        <f>VLOOKUP(D928,'Cadatro Clientes'!A:O,2,2)</f>
        <v>Limão da Ilha</v>
      </c>
      <c r="F928" t="str">
        <f>VLOOKUP(D928,'Cadatro Clientes'!A:O,9,2)</f>
        <v>Sul</v>
      </c>
      <c r="G928" s="15">
        <v>41988</v>
      </c>
      <c r="H928">
        <f t="shared" si="71"/>
        <v>2</v>
      </c>
      <c r="I928">
        <f t="shared" si="72"/>
        <v>15</v>
      </c>
      <c r="J928">
        <f t="shared" si="73"/>
        <v>12</v>
      </c>
      <c r="K928">
        <f t="shared" si="74"/>
        <v>2014</v>
      </c>
      <c r="M928">
        <v>13</v>
      </c>
      <c r="N928" t="str">
        <f>VLOOKUP(M928,'Cadastro Vendedores'!A:H,2,2)</f>
        <v>Andre</v>
      </c>
      <c r="O928" s="2"/>
      <c r="P928" s="16">
        <v>2900</v>
      </c>
      <c r="Q928" s="2">
        <f>VLOOKUP(B928,'Cadastro Produtos'!A:F,5,2)</f>
        <v>12</v>
      </c>
      <c r="R928" s="14">
        <f t="shared" si="70"/>
        <v>34800</v>
      </c>
    </row>
    <row r="929" spans="1:18" x14ac:dyDescent="0.25">
      <c r="A929">
        <v>928</v>
      </c>
      <c r="B929">
        <v>7</v>
      </c>
      <c r="C929" t="str">
        <f>VLOOKUP(B929,'Cadastro Produtos'!A:E,2,2)</f>
        <v>Limonada Alfa Zero 1 L</v>
      </c>
      <c r="D929">
        <v>2</v>
      </c>
      <c r="E929" t="str">
        <f>VLOOKUP(D929,'Cadatro Clientes'!A:O,2,2)</f>
        <v>Limão S/A</v>
      </c>
      <c r="F929" t="str">
        <f>VLOOKUP(D929,'Cadatro Clientes'!A:O,9,2)</f>
        <v>Centro-Oeste</v>
      </c>
      <c r="G929" s="15">
        <v>41989</v>
      </c>
      <c r="H929">
        <f t="shared" si="71"/>
        <v>3</v>
      </c>
      <c r="I929">
        <f t="shared" si="72"/>
        <v>16</v>
      </c>
      <c r="J929">
        <f t="shared" si="73"/>
        <v>12</v>
      </c>
      <c r="K929">
        <f t="shared" si="74"/>
        <v>2014</v>
      </c>
      <c r="M929">
        <v>4</v>
      </c>
      <c r="N929" t="str">
        <f>VLOOKUP(M929,'Cadastro Vendedores'!A:H,2,2)</f>
        <v>José</v>
      </c>
      <c r="O929" s="2"/>
      <c r="P929" s="16">
        <v>3800</v>
      </c>
      <c r="Q929" s="2">
        <f>VLOOKUP(B929,'Cadastro Produtos'!A:F,5,2)</f>
        <v>15</v>
      </c>
      <c r="R929" s="14">
        <f t="shared" si="70"/>
        <v>57000</v>
      </c>
    </row>
    <row r="930" spans="1:18" x14ac:dyDescent="0.25">
      <c r="A930">
        <v>929</v>
      </c>
      <c r="B930">
        <v>8</v>
      </c>
      <c r="C930" t="str">
        <f>VLOOKUP(B930,'Cadastro Produtos'!A:E,2,2)</f>
        <v>Limonada Beta Zero 1 L</v>
      </c>
      <c r="D930">
        <v>13</v>
      </c>
      <c r="E930" t="str">
        <f>VLOOKUP(D930,'Cadatro Clientes'!A:O,2,2)</f>
        <v>Monster Lemon</v>
      </c>
      <c r="F930" t="str">
        <f>VLOOKUP(D930,'Cadatro Clientes'!A:O,9,2)</f>
        <v>Nordeste</v>
      </c>
      <c r="G930" s="15">
        <v>41989</v>
      </c>
      <c r="H930">
        <f t="shared" si="71"/>
        <v>3</v>
      </c>
      <c r="I930">
        <f t="shared" si="72"/>
        <v>16</v>
      </c>
      <c r="J930">
        <f t="shared" si="73"/>
        <v>12</v>
      </c>
      <c r="K930">
        <f t="shared" si="74"/>
        <v>2014</v>
      </c>
      <c r="M930">
        <v>4</v>
      </c>
      <c r="N930" t="str">
        <f>VLOOKUP(M930,'Cadastro Vendedores'!A:H,2,2)</f>
        <v>José</v>
      </c>
      <c r="O930" s="2"/>
      <c r="P930" s="16">
        <v>2200</v>
      </c>
      <c r="Q930" s="2">
        <f>VLOOKUP(B930,'Cadastro Produtos'!A:F,5,2)</f>
        <v>12</v>
      </c>
      <c r="R930" s="14">
        <f t="shared" si="70"/>
        <v>26400</v>
      </c>
    </row>
    <row r="931" spans="1:18" x14ac:dyDescent="0.25">
      <c r="A931">
        <v>930</v>
      </c>
      <c r="B931">
        <v>5</v>
      </c>
      <c r="C931" t="str">
        <f>VLOOKUP(B931,'Cadastro Produtos'!A:E,2,2)</f>
        <v>Limonada Alfa com Açúcar 1 L</v>
      </c>
      <c r="D931">
        <v>6</v>
      </c>
      <c r="E931" t="str">
        <f>VLOOKUP(D931,'Cadatro Clientes'!A:O,2,2)</f>
        <v>Lemonade</v>
      </c>
      <c r="F931" t="str">
        <f>VLOOKUP(D931,'Cadatro Clientes'!A:O,9,2)</f>
        <v>Norte</v>
      </c>
      <c r="G931" s="15">
        <v>41989</v>
      </c>
      <c r="H931">
        <f t="shared" si="71"/>
        <v>3</v>
      </c>
      <c r="I931">
        <f t="shared" si="72"/>
        <v>16</v>
      </c>
      <c r="J931">
        <f t="shared" si="73"/>
        <v>12</v>
      </c>
      <c r="K931">
        <f t="shared" si="74"/>
        <v>2014</v>
      </c>
      <c r="M931">
        <v>13</v>
      </c>
      <c r="N931" t="str">
        <f>VLOOKUP(M931,'Cadastro Vendedores'!A:H,2,2)</f>
        <v>Andre</v>
      </c>
      <c r="O931" s="2"/>
      <c r="P931" s="16">
        <v>1800</v>
      </c>
      <c r="Q931" s="2">
        <f>VLOOKUP(B931,'Cadastro Produtos'!A:F,5,2)</f>
        <v>15</v>
      </c>
      <c r="R931" s="14">
        <f t="shared" si="70"/>
        <v>27000</v>
      </c>
    </row>
    <row r="932" spans="1:18" x14ac:dyDescent="0.25">
      <c r="A932">
        <v>931</v>
      </c>
      <c r="B932">
        <v>6</v>
      </c>
      <c r="C932" t="str">
        <f>VLOOKUP(B932,'Cadastro Produtos'!A:E,2,2)</f>
        <v>Limonada Beta com Açúcar 1 L</v>
      </c>
      <c r="D932">
        <v>11</v>
      </c>
      <c r="E932" t="str">
        <f>VLOOKUP(D932,'Cadatro Clientes'!A:O,2,2)</f>
        <v>Red Lemon</v>
      </c>
      <c r="F932" t="str">
        <f>VLOOKUP(D932,'Cadatro Clientes'!A:O,9,2)</f>
        <v>Sul</v>
      </c>
      <c r="G932" s="15">
        <v>41989</v>
      </c>
      <c r="H932">
        <f t="shared" si="71"/>
        <v>3</v>
      </c>
      <c r="I932">
        <f t="shared" si="72"/>
        <v>16</v>
      </c>
      <c r="J932">
        <f t="shared" si="73"/>
        <v>12</v>
      </c>
      <c r="K932">
        <f t="shared" si="74"/>
        <v>2014</v>
      </c>
      <c r="M932">
        <v>3</v>
      </c>
      <c r="N932" t="str">
        <f>VLOOKUP(M932,'Cadastro Vendedores'!A:H,2,2)</f>
        <v>Antônia</v>
      </c>
      <c r="O932" s="2"/>
      <c r="P932" s="16">
        <v>1200</v>
      </c>
      <c r="Q932" s="2">
        <f>VLOOKUP(B932,'Cadastro Produtos'!A:F,5,2)</f>
        <v>12</v>
      </c>
      <c r="R932" s="14">
        <f t="shared" si="70"/>
        <v>14400</v>
      </c>
    </row>
    <row r="933" spans="1:18" x14ac:dyDescent="0.25">
      <c r="A933">
        <v>932</v>
      </c>
      <c r="B933">
        <v>8</v>
      </c>
      <c r="C933" t="str">
        <f>VLOOKUP(B933,'Cadastro Produtos'!A:E,2,2)</f>
        <v>Limonada Beta Zero 1 L</v>
      </c>
      <c r="D933">
        <v>12</v>
      </c>
      <c r="E933" t="str">
        <f>VLOOKUP(D933,'Cadatro Clientes'!A:O,2,2)</f>
        <v>Limão da Ilha</v>
      </c>
      <c r="F933" t="str">
        <f>VLOOKUP(D933,'Cadatro Clientes'!A:O,9,2)</f>
        <v>Sul</v>
      </c>
      <c r="G933" s="15">
        <v>41989</v>
      </c>
      <c r="H933">
        <f t="shared" si="71"/>
        <v>3</v>
      </c>
      <c r="I933">
        <f t="shared" si="72"/>
        <v>16</v>
      </c>
      <c r="J933">
        <f t="shared" si="73"/>
        <v>12</v>
      </c>
      <c r="K933">
        <f t="shared" si="74"/>
        <v>2014</v>
      </c>
      <c r="M933">
        <v>4</v>
      </c>
      <c r="N933" t="str">
        <f>VLOOKUP(M933,'Cadastro Vendedores'!A:H,2,2)</f>
        <v>José</v>
      </c>
      <c r="O933" s="2"/>
      <c r="P933" s="16">
        <v>4300</v>
      </c>
      <c r="Q933" s="2">
        <f>VLOOKUP(B933,'Cadastro Produtos'!A:F,5,2)</f>
        <v>12</v>
      </c>
      <c r="R933" s="14">
        <f t="shared" si="70"/>
        <v>51600</v>
      </c>
    </row>
    <row r="934" spans="1:18" x14ac:dyDescent="0.25">
      <c r="A934">
        <v>933</v>
      </c>
      <c r="B934">
        <v>4</v>
      </c>
      <c r="C934" t="str">
        <f>VLOOKUP(B934,'Cadastro Produtos'!A:E,2,2)</f>
        <v>Limonada Beta Zero 500 ml</v>
      </c>
      <c r="D934">
        <v>14</v>
      </c>
      <c r="E934" t="str">
        <f>VLOOKUP(D934,'Cadatro Clientes'!A:O,2,2)</f>
        <v>Sprite</v>
      </c>
      <c r="F934" t="str">
        <f>VLOOKUP(D934,'Cadatro Clientes'!A:O,9,2)</f>
        <v>Norte</v>
      </c>
      <c r="G934" s="15">
        <v>41990</v>
      </c>
      <c r="H934">
        <f t="shared" si="71"/>
        <v>4</v>
      </c>
      <c r="I934">
        <f t="shared" si="72"/>
        <v>17</v>
      </c>
      <c r="J934">
        <f t="shared" si="73"/>
        <v>12</v>
      </c>
      <c r="K934">
        <f t="shared" si="74"/>
        <v>2014</v>
      </c>
      <c r="M934">
        <v>12</v>
      </c>
      <c r="N934" t="str">
        <f>VLOOKUP(M934,'Cadastro Vendedores'!A:H,2,2)</f>
        <v>Paulo</v>
      </c>
      <c r="O934" s="2"/>
      <c r="P934" s="16">
        <v>7900</v>
      </c>
      <c r="Q934" s="2">
        <f>VLOOKUP(B934,'Cadastro Produtos'!A:F,5,2)</f>
        <v>7</v>
      </c>
      <c r="R934" s="14">
        <f t="shared" si="70"/>
        <v>55300</v>
      </c>
    </row>
    <row r="935" spans="1:18" x14ac:dyDescent="0.25">
      <c r="A935">
        <v>934</v>
      </c>
      <c r="B935">
        <v>1</v>
      </c>
      <c r="C935" t="str">
        <f>VLOOKUP(B935,'Cadastro Produtos'!A:E,2,2)</f>
        <v>Limonada Alfa com Açúcar 500 ml</v>
      </c>
      <c r="D935">
        <v>8</v>
      </c>
      <c r="E935" t="str">
        <f>VLOOKUP(D935,'Cadatro Clientes'!A:O,2,2)</f>
        <v>Refresko</v>
      </c>
      <c r="F935" t="str">
        <f>VLOOKUP(D935,'Cadatro Clientes'!A:O,9,2)</f>
        <v>Sul</v>
      </c>
      <c r="G935" s="15">
        <v>41990</v>
      </c>
      <c r="H935">
        <f t="shared" si="71"/>
        <v>4</v>
      </c>
      <c r="I935">
        <f t="shared" si="72"/>
        <v>17</v>
      </c>
      <c r="J935">
        <f t="shared" si="73"/>
        <v>12</v>
      </c>
      <c r="K935">
        <f t="shared" si="74"/>
        <v>2014</v>
      </c>
      <c r="M935">
        <v>7</v>
      </c>
      <c r="N935" t="str">
        <f>VLOOKUP(M935,'Cadastro Vendedores'!A:H,2,2)</f>
        <v>Benedito</v>
      </c>
      <c r="O935" s="2"/>
      <c r="P935" s="16">
        <v>3300</v>
      </c>
      <c r="Q935" s="2">
        <f>VLOOKUP(B935,'Cadastro Produtos'!A:F,5,2)</f>
        <v>8.5</v>
      </c>
      <c r="R935" s="14">
        <f t="shared" si="70"/>
        <v>28050</v>
      </c>
    </row>
    <row r="936" spans="1:18" x14ac:dyDescent="0.25">
      <c r="A936">
        <v>935</v>
      </c>
      <c r="B936">
        <v>10</v>
      </c>
      <c r="C936" t="str">
        <f>VLOOKUP(B936,'Cadastro Produtos'!A:E,2,2)</f>
        <v>Limonada Alfa com Hortelã Zero 1 L</v>
      </c>
      <c r="D936">
        <v>19</v>
      </c>
      <c r="E936" t="str">
        <f>VLOOKUP(D936,'Cadatro Clientes'!A:O,2,2)</f>
        <v>Lima Limão</v>
      </c>
      <c r="F936" t="str">
        <f>VLOOKUP(D936,'Cadatro Clientes'!A:O,9,2)</f>
        <v>Sudeste</v>
      </c>
      <c r="G936" s="15">
        <v>41991</v>
      </c>
      <c r="H936">
        <f t="shared" si="71"/>
        <v>5</v>
      </c>
      <c r="I936">
        <f t="shared" si="72"/>
        <v>18</v>
      </c>
      <c r="J936">
        <f t="shared" si="73"/>
        <v>12</v>
      </c>
      <c r="K936">
        <f t="shared" si="74"/>
        <v>2014</v>
      </c>
      <c r="M936">
        <v>6</v>
      </c>
      <c r="N936" t="str">
        <f>VLOOKUP(M936,'Cadastro Vendedores'!A:H,2,2)</f>
        <v>Antônia</v>
      </c>
      <c r="O936" s="2"/>
      <c r="P936" s="16">
        <v>1300</v>
      </c>
      <c r="Q936" s="2">
        <f>VLOOKUP(B936,'Cadastro Produtos'!A:F,5,2)</f>
        <v>21</v>
      </c>
      <c r="R936" s="14">
        <f t="shared" si="70"/>
        <v>27300</v>
      </c>
    </row>
    <row r="937" spans="1:18" x14ac:dyDescent="0.25">
      <c r="A937">
        <v>936</v>
      </c>
      <c r="B937">
        <v>4</v>
      </c>
      <c r="C937" t="str">
        <f>VLOOKUP(B937,'Cadastro Produtos'!A:E,2,2)</f>
        <v>Limonada Beta Zero 500 ml</v>
      </c>
      <c r="D937">
        <v>18</v>
      </c>
      <c r="E937" t="str">
        <f>VLOOKUP(D937,'Cadatro Clientes'!A:O,2,2)</f>
        <v>Rio Branco Limonada Ltda</v>
      </c>
      <c r="F937" t="str">
        <f>VLOOKUP(D937,'Cadatro Clientes'!A:O,9,2)</f>
        <v>Norte</v>
      </c>
      <c r="G937" s="15">
        <v>41991</v>
      </c>
      <c r="H937">
        <f t="shared" si="71"/>
        <v>5</v>
      </c>
      <c r="I937">
        <f t="shared" si="72"/>
        <v>18</v>
      </c>
      <c r="J937">
        <f t="shared" si="73"/>
        <v>12</v>
      </c>
      <c r="K937">
        <f t="shared" si="74"/>
        <v>2014</v>
      </c>
      <c r="M937">
        <v>12</v>
      </c>
      <c r="N937" t="str">
        <f>VLOOKUP(M937,'Cadastro Vendedores'!A:H,2,2)</f>
        <v>Paulo</v>
      </c>
      <c r="O937" s="2"/>
      <c r="P937" s="16">
        <v>5800</v>
      </c>
      <c r="Q937" s="2">
        <f>VLOOKUP(B937,'Cadastro Produtos'!A:F,5,2)</f>
        <v>7</v>
      </c>
      <c r="R937" s="14">
        <f t="shared" si="70"/>
        <v>40600</v>
      </c>
    </row>
    <row r="938" spans="1:18" x14ac:dyDescent="0.25">
      <c r="A938">
        <v>937</v>
      </c>
      <c r="B938">
        <v>3</v>
      </c>
      <c r="C938" t="str">
        <f>VLOOKUP(B938,'Cadastro Produtos'!A:E,2,2)</f>
        <v>Limonada Alfa Zero 500 ml</v>
      </c>
      <c r="D938">
        <v>19</v>
      </c>
      <c r="E938" t="str">
        <f>VLOOKUP(D938,'Cadatro Clientes'!A:O,2,2)</f>
        <v>Lima Limão</v>
      </c>
      <c r="F938" t="str">
        <f>VLOOKUP(D938,'Cadatro Clientes'!A:O,9,2)</f>
        <v>Sudeste</v>
      </c>
      <c r="G938" s="15">
        <v>41991</v>
      </c>
      <c r="H938">
        <f t="shared" si="71"/>
        <v>5</v>
      </c>
      <c r="I938">
        <f t="shared" si="72"/>
        <v>18</v>
      </c>
      <c r="J938">
        <f t="shared" si="73"/>
        <v>12</v>
      </c>
      <c r="K938">
        <f t="shared" si="74"/>
        <v>2014</v>
      </c>
      <c r="M938">
        <v>15</v>
      </c>
      <c r="N938" t="str">
        <f>VLOOKUP(M938,'Cadastro Vendedores'!A:H,2,2)</f>
        <v>Luis</v>
      </c>
      <c r="O938" s="2"/>
      <c r="P938" s="16">
        <v>4800</v>
      </c>
      <c r="Q938" s="2">
        <f>VLOOKUP(B938,'Cadastro Produtos'!A:F,5,2)</f>
        <v>9</v>
      </c>
      <c r="R938" s="14">
        <f t="shared" si="70"/>
        <v>43200</v>
      </c>
    </row>
    <row r="939" spans="1:18" x14ac:dyDescent="0.25">
      <c r="A939">
        <v>938</v>
      </c>
      <c r="B939">
        <v>8</v>
      </c>
      <c r="C939" t="str">
        <f>VLOOKUP(B939,'Cadastro Produtos'!A:E,2,2)</f>
        <v>Limonada Beta Zero 1 L</v>
      </c>
      <c r="D939">
        <v>13</v>
      </c>
      <c r="E939" t="str">
        <f>VLOOKUP(D939,'Cadatro Clientes'!A:O,2,2)</f>
        <v>Monster Lemon</v>
      </c>
      <c r="F939" t="str">
        <f>VLOOKUP(D939,'Cadatro Clientes'!A:O,9,2)</f>
        <v>Nordeste</v>
      </c>
      <c r="G939" s="15">
        <v>41991</v>
      </c>
      <c r="H939">
        <f t="shared" si="71"/>
        <v>5</v>
      </c>
      <c r="I939">
        <f t="shared" si="72"/>
        <v>18</v>
      </c>
      <c r="J939">
        <f t="shared" si="73"/>
        <v>12</v>
      </c>
      <c r="K939">
        <f t="shared" si="74"/>
        <v>2014</v>
      </c>
      <c r="M939">
        <v>7</v>
      </c>
      <c r="N939" t="str">
        <f>VLOOKUP(M939,'Cadastro Vendedores'!A:H,2,2)</f>
        <v>Benedito</v>
      </c>
      <c r="O939" s="2"/>
      <c r="P939" s="16">
        <v>1300</v>
      </c>
      <c r="Q939" s="2">
        <f>VLOOKUP(B939,'Cadastro Produtos'!A:F,5,2)</f>
        <v>12</v>
      </c>
      <c r="R939" s="14">
        <f t="shared" si="70"/>
        <v>15600</v>
      </c>
    </row>
    <row r="940" spans="1:18" x14ac:dyDescent="0.25">
      <c r="A940">
        <v>939</v>
      </c>
      <c r="B940">
        <v>10</v>
      </c>
      <c r="C940" t="str">
        <f>VLOOKUP(B940,'Cadastro Produtos'!A:E,2,2)</f>
        <v>Limonada Alfa com Hortelã Zero 1 L</v>
      </c>
      <c r="D940">
        <v>16</v>
      </c>
      <c r="E940" t="str">
        <f>VLOOKUP(D940,'Cadatro Clientes'!A:O,2,2)</f>
        <v>Norte Suco</v>
      </c>
      <c r="F940" t="str">
        <f>VLOOKUP(D940,'Cadatro Clientes'!A:O,9,2)</f>
        <v>Nordeste</v>
      </c>
      <c r="G940" s="15">
        <v>41992</v>
      </c>
      <c r="H940">
        <f t="shared" si="71"/>
        <v>6</v>
      </c>
      <c r="I940">
        <f t="shared" si="72"/>
        <v>19</v>
      </c>
      <c r="J940">
        <f t="shared" si="73"/>
        <v>12</v>
      </c>
      <c r="K940">
        <f t="shared" si="74"/>
        <v>2014</v>
      </c>
      <c r="M940">
        <v>3</v>
      </c>
      <c r="N940" t="str">
        <f>VLOOKUP(M940,'Cadastro Vendedores'!A:H,2,2)</f>
        <v>Antônia</v>
      </c>
      <c r="O940" s="2"/>
      <c r="P940" s="16">
        <v>900</v>
      </c>
      <c r="Q940" s="2">
        <f>VLOOKUP(B940,'Cadastro Produtos'!A:F,5,2)</f>
        <v>21</v>
      </c>
      <c r="R940" s="14">
        <f t="shared" si="70"/>
        <v>18900</v>
      </c>
    </row>
    <row r="941" spans="1:18" x14ac:dyDescent="0.25">
      <c r="A941">
        <v>940</v>
      </c>
      <c r="B941">
        <v>7</v>
      </c>
      <c r="C941" t="str">
        <f>VLOOKUP(B941,'Cadastro Produtos'!A:E,2,2)</f>
        <v>Limonada Alfa Zero 1 L</v>
      </c>
      <c r="D941">
        <v>6</v>
      </c>
      <c r="E941" t="str">
        <f>VLOOKUP(D941,'Cadatro Clientes'!A:O,2,2)</f>
        <v>Lemonade</v>
      </c>
      <c r="F941" t="str">
        <f>VLOOKUP(D941,'Cadatro Clientes'!A:O,9,2)</f>
        <v>Norte</v>
      </c>
      <c r="G941" s="15">
        <v>41992</v>
      </c>
      <c r="H941">
        <f t="shared" si="71"/>
        <v>6</v>
      </c>
      <c r="I941">
        <f t="shared" si="72"/>
        <v>19</v>
      </c>
      <c r="J941">
        <f t="shared" si="73"/>
        <v>12</v>
      </c>
      <c r="K941">
        <f t="shared" si="74"/>
        <v>2014</v>
      </c>
      <c r="M941">
        <v>4</v>
      </c>
      <c r="N941" t="str">
        <f>VLOOKUP(M941,'Cadastro Vendedores'!A:H,2,2)</f>
        <v>José</v>
      </c>
      <c r="O941" s="2"/>
      <c r="P941" s="16">
        <v>1500</v>
      </c>
      <c r="Q941" s="2">
        <f>VLOOKUP(B941,'Cadastro Produtos'!A:F,5,2)</f>
        <v>15</v>
      </c>
      <c r="R941" s="14">
        <f t="shared" si="70"/>
        <v>22500</v>
      </c>
    </row>
    <row r="942" spans="1:18" x14ac:dyDescent="0.25">
      <c r="A942">
        <v>941</v>
      </c>
      <c r="B942">
        <v>6</v>
      </c>
      <c r="C942" t="str">
        <f>VLOOKUP(B942,'Cadastro Produtos'!A:E,2,2)</f>
        <v>Limonada Beta com Açúcar 1 L</v>
      </c>
      <c r="D942">
        <v>8</v>
      </c>
      <c r="E942" t="str">
        <f>VLOOKUP(D942,'Cadatro Clientes'!A:O,2,2)</f>
        <v>Refresko</v>
      </c>
      <c r="F942" t="str">
        <f>VLOOKUP(D942,'Cadatro Clientes'!A:O,9,2)</f>
        <v>Sul</v>
      </c>
      <c r="G942" s="15">
        <v>41992</v>
      </c>
      <c r="H942">
        <f t="shared" si="71"/>
        <v>6</v>
      </c>
      <c r="I942">
        <f t="shared" si="72"/>
        <v>19</v>
      </c>
      <c r="J942">
        <f t="shared" si="73"/>
        <v>12</v>
      </c>
      <c r="K942">
        <f t="shared" si="74"/>
        <v>2014</v>
      </c>
      <c r="M942">
        <v>7</v>
      </c>
      <c r="N942" t="str">
        <f>VLOOKUP(M942,'Cadastro Vendedores'!A:H,2,2)</f>
        <v>Benedito</v>
      </c>
      <c r="O942" s="2"/>
      <c r="P942" s="16">
        <v>2200</v>
      </c>
      <c r="Q942" s="2">
        <f>VLOOKUP(B942,'Cadastro Produtos'!A:F,5,2)</f>
        <v>12</v>
      </c>
      <c r="R942" s="14">
        <f t="shared" si="70"/>
        <v>26400</v>
      </c>
    </row>
    <row r="943" spans="1:18" x14ac:dyDescent="0.25">
      <c r="A943">
        <v>942</v>
      </c>
      <c r="B943">
        <v>2</v>
      </c>
      <c r="C943" t="str">
        <f>VLOOKUP(B943,'Cadastro Produtos'!A:E,2,2)</f>
        <v>Limonada Beta com Açúcar 500 ml</v>
      </c>
      <c r="D943">
        <v>4</v>
      </c>
      <c r="E943" t="str">
        <f>VLOOKUP(D943,'Cadatro Clientes'!A:O,2,2)</f>
        <v>Limão Carioca e Cia</v>
      </c>
      <c r="F943" t="str">
        <f>VLOOKUP(D943,'Cadatro Clientes'!A:O,9,2)</f>
        <v>Sudeste</v>
      </c>
      <c r="G943" s="15">
        <v>41993</v>
      </c>
      <c r="H943">
        <f t="shared" si="71"/>
        <v>7</v>
      </c>
      <c r="I943">
        <f t="shared" si="72"/>
        <v>20</v>
      </c>
      <c r="J943">
        <f t="shared" si="73"/>
        <v>12</v>
      </c>
      <c r="K943">
        <f t="shared" si="74"/>
        <v>2014</v>
      </c>
      <c r="M943">
        <v>15</v>
      </c>
      <c r="N943" t="str">
        <f>VLOOKUP(M943,'Cadastro Vendedores'!A:H,2,2)</f>
        <v>Luis</v>
      </c>
      <c r="O943" s="2"/>
      <c r="P943" s="16">
        <v>6500</v>
      </c>
      <c r="Q943" s="2">
        <f>VLOOKUP(B943,'Cadastro Produtos'!A:F,5,2)</f>
        <v>6.5</v>
      </c>
      <c r="R943" s="14">
        <f t="shared" si="70"/>
        <v>42250</v>
      </c>
    </row>
    <row r="944" spans="1:18" x14ac:dyDescent="0.25">
      <c r="A944">
        <v>943</v>
      </c>
      <c r="B944">
        <v>7</v>
      </c>
      <c r="C944" t="str">
        <f>VLOOKUP(B944,'Cadastro Produtos'!A:E,2,2)</f>
        <v>Limonada Alfa Zero 1 L</v>
      </c>
      <c r="D944">
        <v>4</v>
      </c>
      <c r="E944" t="str">
        <f>VLOOKUP(D944,'Cadatro Clientes'!A:O,2,2)</f>
        <v>Limão Carioca e Cia</v>
      </c>
      <c r="F944" t="str">
        <f>VLOOKUP(D944,'Cadatro Clientes'!A:O,9,2)</f>
        <v>Sudeste</v>
      </c>
      <c r="G944" s="15">
        <v>41993</v>
      </c>
      <c r="H944">
        <f t="shared" si="71"/>
        <v>7</v>
      </c>
      <c r="I944">
        <f t="shared" si="72"/>
        <v>20</v>
      </c>
      <c r="J944">
        <f t="shared" si="73"/>
        <v>12</v>
      </c>
      <c r="K944">
        <f t="shared" si="74"/>
        <v>2014</v>
      </c>
      <c r="M944">
        <v>6</v>
      </c>
      <c r="N944" t="str">
        <f>VLOOKUP(M944,'Cadastro Vendedores'!A:H,2,2)</f>
        <v>Antônia</v>
      </c>
      <c r="O944" s="2"/>
      <c r="P944" s="16">
        <v>2800</v>
      </c>
      <c r="Q944" s="2">
        <f>VLOOKUP(B944,'Cadastro Produtos'!A:F,5,2)</f>
        <v>15</v>
      </c>
      <c r="R944" s="14">
        <f t="shared" si="70"/>
        <v>42000</v>
      </c>
    </row>
    <row r="945" spans="1:18" x14ac:dyDescent="0.25">
      <c r="A945">
        <v>944</v>
      </c>
      <c r="B945">
        <v>3</v>
      </c>
      <c r="C945" t="str">
        <f>VLOOKUP(B945,'Cadastro Produtos'!A:E,2,2)</f>
        <v>Limonada Alfa Zero 500 ml</v>
      </c>
      <c r="D945">
        <v>13</v>
      </c>
      <c r="E945" t="str">
        <f>VLOOKUP(D945,'Cadatro Clientes'!A:O,2,2)</f>
        <v>Monster Lemon</v>
      </c>
      <c r="F945" t="str">
        <f>VLOOKUP(D945,'Cadatro Clientes'!A:O,9,2)</f>
        <v>Nordeste</v>
      </c>
      <c r="G945" s="15">
        <v>41994</v>
      </c>
      <c r="H945">
        <f t="shared" si="71"/>
        <v>1</v>
      </c>
      <c r="I945">
        <f t="shared" si="72"/>
        <v>21</v>
      </c>
      <c r="J945">
        <f t="shared" si="73"/>
        <v>12</v>
      </c>
      <c r="K945">
        <f t="shared" si="74"/>
        <v>2014</v>
      </c>
      <c r="M945">
        <v>8</v>
      </c>
      <c r="N945" t="str">
        <f>VLOOKUP(M945,'Cadastro Vendedores'!A:H,2,2)</f>
        <v>Sérgio</v>
      </c>
      <c r="O945" s="2"/>
      <c r="P945" s="16">
        <v>2800</v>
      </c>
      <c r="Q945" s="2">
        <f>VLOOKUP(B945,'Cadastro Produtos'!A:F,5,2)</f>
        <v>9</v>
      </c>
      <c r="R945" s="14">
        <f t="shared" si="70"/>
        <v>25200</v>
      </c>
    </row>
    <row r="946" spans="1:18" x14ac:dyDescent="0.25">
      <c r="A946">
        <v>945</v>
      </c>
      <c r="B946">
        <v>9</v>
      </c>
      <c r="C946" t="str">
        <f>VLOOKUP(B946,'Cadastro Produtos'!A:E,2,2)</f>
        <v>Limonada Alfa com Hortelã e Açúcar 1 L</v>
      </c>
      <c r="D946">
        <v>13</v>
      </c>
      <c r="E946" t="str">
        <f>VLOOKUP(D946,'Cadatro Clientes'!A:O,2,2)</f>
        <v>Monster Lemon</v>
      </c>
      <c r="F946" t="str">
        <f>VLOOKUP(D946,'Cadatro Clientes'!A:O,9,2)</f>
        <v>Nordeste</v>
      </c>
      <c r="G946" s="15">
        <v>41994</v>
      </c>
      <c r="H946">
        <f t="shared" si="71"/>
        <v>1</v>
      </c>
      <c r="I946">
        <f t="shared" si="72"/>
        <v>21</v>
      </c>
      <c r="J946">
        <f t="shared" si="73"/>
        <v>12</v>
      </c>
      <c r="K946">
        <f t="shared" si="74"/>
        <v>2014</v>
      </c>
      <c r="M946">
        <v>12</v>
      </c>
      <c r="N946" t="str">
        <f>VLOOKUP(M946,'Cadastro Vendedores'!A:H,2,2)</f>
        <v>Paulo</v>
      </c>
      <c r="O946" s="2"/>
      <c r="P946" s="16">
        <v>3500</v>
      </c>
      <c r="Q946" s="2">
        <f>VLOOKUP(B946,'Cadastro Produtos'!A:F,5,2)</f>
        <v>17.5</v>
      </c>
      <c r="R946" s="14">
        <f t="shared" si="70"/>
        <v>61250</v>
      </c>
    </row>
    <row r="947" spans="1:18" x14ac:dyDescent="0.25">
      <c r="A947">
        <v>946</v>
      </c>
      <c r="B947">
        <v>7</v>
      </c>
      <c r="C947" t="str">
        <f>VLOOKUP(B947,'Cadastro Produtos'!A:E,2,2)</f>
        <v>Limonada Alfa Zero 1 L</v>
      </c>
      <c r="D947">
        <v>6</v>
      </c>
      <c r="E947" t="str">
        <f>VLOOKUP(D947,'Cadatro Clientes'!A:O,2,2)</f>
        <v>Lemonade</v>
      </c>
      <c r="F947" t="str">
        <f>VLOOKUP(D947,'Cadatro Clientes'!A:O,9,2)</f>
        <v>Norte</v>
      </c>
      <c r="G947" s="15">
        <v>41994</v>
      </c>
      <c r="H947">
        <f t="shared" si="71"/>
        <v>1</v>
      </c>
      <c r="I947">
        <f t="shared" si="72"/>
        <v>21</v>
      </c>
      <c r="J947">
        <f t="shared" si="73"/>
        <v>12</v>
      </c>
      <c r="K947">
        <f t="shared" si="74"/>
        <v>2014</v>
      </c>
      <c r="M947">
        <v>9</v>
      </c>
      <c r="N947" t="str">
        <f>VLOOKUP(M947,'Cadastro Vendedores'!A:H,2,2)</f>
        <v>Adriana</v>
      </c>
      <c r="O947" s="2"/>
      <c r="P947" s="16">
        <v>2300</v>
      </c>
      <c r="Q947" s="2">
        <f>VLOOKUP(B947,'Cadastro Produtos'!A:F,5,2)</f>
        <v>15</v>
      </c>
      <c r="R947" s="14">
        <f t="shared" si="70"/>
        <v>34500</v>
      </c>
    </row>
    <row r="948" spans="1:18" x14ac:dyDescent="0.25">
      <c r="A948">
        <v>947</v>
      </c>
      <c r="B948">
        <v>9</v>
      </c>
      <c r="C948" t="str">
        <f>VLOOKUP(B948,'Cadastro Produtos'!A:E,2,2)</f>
        <v>Limonada Alfa com Hortelã e Açúcar 1 L</v>
      </c>
      <c r="D948">
        <v>11</v>
      </c>
      <c r="E948" t="str">
        <f>VLOOKUP(D948,'Cadatro Clientes'!A:O,2,2)</f>
        <v>Red Lemon</v>
      </c>
      <c r="F948" t="str">
        <f>VLOOKUP(D948,'Cadatro Clientes'!A:O,9,2)</f>
        <v>Sul</v>
      </c>
      <c r="G948" s="15">
        <v>41995</v>
      </c>
      <c r="H948">
        <f t="shared" si="71"/>
        <v>2</v>
      </c>
      <c r="I948">
        <f t="shared" si="72"/>
        <v>22</v>
      </c>
      <c r="J948">
        <f t="shared" si="73"/>
        <v>12</v>
      </c>
      <c r="K948">
        <f t="shared" si="74"/>
        <v>2014</v>
      </c>
      <c r="M948">
        <v>4</v>
      </c>
      <c r="N948" t="str">
        <f>VLOOKUP(M948,'Cadastro Vendedores'!A:H,2,2)</f>
        <v>José</v>
      </c>
      <c r="O948" s="2"/>
      <c r="P948" s="16">
        <v>1100</v>
      </c>
      <c r="Q948" s="2">
        <f>VLOOKUP(B948,'Cadastro Produtos'!A:F,5,2)</f>
        <v>17.5</v>
      </c>
      <c r="R948" s="14">
        <f t="shared" si="70"/>
        <v>19250</v>
      </c>
    </row>
    <row r="949" spans="1:18" x14ac:dyDescent="0.25">
      <c r="A949">
        <v>948</v>
      </c>
      <c r="B949">
        <v>9</v>
      </c>
      <c r="C949" t="str">
        <f>VLOOKUP(B949,'Cadastro Produtos'!A:E,2,2)</f>
        <v>Limonada Alfa com Hortelã e Açúcar 1 L</v>
      </c>
      <c r="D949">
        <v>18</v>
      </c>
      <c r="E949" t="str">
        <f>VLOOKUP(D949,'Cadatro Clientes'!A:O,2,2)</f>
        <v>Rio Branco Limonada Ltda</v>
      </c>
      <c r="F949" t="str">
        <f>VLOOKUP(D949,'Cadatro Clientes'!A:O,9,2)</f>
        <v>Norte</v>
      </c>
      <c r="G949" s="15">
        <v>41995</v>
      </c>
      <c r="H949">
        <f t="shared" si="71"/>
        <v>2</v>
      </c>
      <c r="I949">
        <f t="shared" si="72"/>
        <v>22</v>
      </c>
      <c r="J949">
        <f t="shared" si="73"/>
        <v>12</v>
      </c>
      <c r="K949">
        <f t="shared" si="74"/>
        <v>2014</v>
      </c>
      <c r="M949">
        <v>3</v>
      </c>
      <c r="N949" t="str">
        <f>VLOOKUP(M949,'Cadastro Vendedores'!A:H,2,2)</f>
        <v>Antônia</v>
      </c>
      <c r="O949" s="2"/>
      <c r="P949" s="16">
        <v>1500</v>
      </c>
      <c r="Q949" s="2">
        <f>VLOOKUP(B949,'Cadastro Produtos'!A:F,5,2)</f>
        <v>17.5</v>
      </c>
      <c r="R949" s="14">
        <f t="shared" si="70"/>
        <v>26250</v>
      </c>
    </row>
    <row r="950" spans="1:18" x14ac:dyDescent="0.25">
      <c r="A950">
        <v>949</v>
      </c>
      <c r="B950">
        <v>7</v>
      </c>
      <c r="C950" t="str">
        <f>VLOOKUP(B950,'Cadastro Produtos'!A:E,2,2)</f>
        <v>Limonada Alfa Zero 1 L</v>
      </c>
      <c r="D950">
        <v>4</v>
      </c>
      <c r="E950" t="str">
        <f>VLOOKUP(D950,'Cadatro Clientes'!A:O,2,2)</f>
        <v>Limão Carioca e Cia</v>
      </c>
      <c r="F950" t="str">
        <f>VLOOKUP(D950,'Cadatro Clientes'!A:O,9,2)</f>
        <v>Sudeste</v>
      </c>
      <c r="G950" s="15">
        <v>41995</v>
      </c>
      <c r="H950">
        <f t="shared" si="71"/>
        <v>2</v>
      </c>
      <c r="I950">
        <f t="shared" si="72"/>
        <v>22</v>
      </c>
      <c r="J950">
        <f t="shared" si="73"/>
        <v>12</v>
      </c>
      <c r="K950">
        <f t="shared" si="74"/>
        <v>2014</v>
      </c>
      <c r="M950">
        <v>7</v>
      </c>
      <c r="N950" t="str">
        <f>VLOOKUP(M950,'Cadastro Vendedores'!A:H,2,2)</f>
        <v>Benedito</v>
      </c>
      <c r="O950" s="2"/>
      <c r="P950" s="16">
        <v>4200</v>
      </c>
      <c r="Q950" s="2">
        <f>VLOOKUP(B950,'Cadastro Produtos'!A:F,5,2)</f>
        <v>15</v>
      </c>
      <c r="R950" s="14">
        <f t="shared" si="70"/>
        <v>63000</v>
      </c>
    </row>
    <row r="951" spans="1:18" x14ac:dyDescent="0.25">
      <c r="A951">
        <v>950</v>
      </c>
      <c r="B951">
        <v>8</v>
      </c>
      <c r="C951" t="str">
        <f>VLOOKUP(B951,'Cadastro Produtos'!A:E,2,2)</f>
        <v>Limonada Beta Zero 1 L</v>
      </c>
      <c r="D951">
        <v>14</v>
      </c>
      <c r="E951" t="str">
        <f>VLOOKUP(D951,'Cadatro Clientes'!A:O,2,2)</f>
        <v>Sprite</v>
      </c>
      <c r="F951" t="str">
        <f>VLOOKUP(D951,'Cadatro Clientes'!A:O,9,2)</f>
        <v>Norte</v>
      </c>
      <c r="G951" s="15">
        <v>41995</v>
      </c>
      <c r="H951">
        <f t="shared" si="71"/>
        <v>2</v>
      </c>
      <c r="I951">
        <f t="shared" si="72"/>
        <v>22</v>
      </c>
      <c r="J951">
        <f t="shared" si="73"/>
        <v>12</v>
      </c>
      <c r="K951">
        <f t="shared" si="74"/>
        <v>2014</v>
      </c>
      <c r="M951">
        <v>6</v>
      </c>
      <c r="N951" t="str">
        <f>VLOOKUP(M951,'Cadastro Vendedores'!A:H,2,2)</f>
        <v>Antônia</v>
      </c>
      <c r="O951" s="2"/>
      <c r="P951" s="16">
        <v>2400</v>
      </c>
      <c r="Q951" s="2">
        <f>VLOOKUP(B951,'Cadastro Produtos'!A:F,5,2)</f>
        <v>12</v>
      </c>
      <c r="R951" s="14">
        <f t="shared" si="70"/>
        <v>28800</v>
      </c>
    </row>
    <row r="952" spans="1:18" x14ac:dyDescent="0.25">
      <c r="A952">
        <v>951</v>
      </c>
      <c r="B952">
        <v>3</v>
      </c>
      <c r="C952" t="str">
        <f>VLOOKUP(B952,'Cadastro Produtos'!A:E,2,2)</f>
        <v>Limonada Alfa Zero 500 ml</v>
      </c>
      <c r="D952">
        <v>17</v>
      </c>
      <c r="E952" t="str">
        <f>VLOOKUP(D952,'Cadatro Clientes'!A:O,2,2)</f>
        <v>Aracasuco</v>
      </c>
      <c r="F952" t="str">
        <f>VLOOKUP(D952,'Cadatro Clientes'!A:O,9,2)</f>
        <v>Nordeste</v>
      </c>
      <c r="G952" s="15">
        <v>41995</v>
      </c>
      <c r="H952">
        <f t="shared" si="71"/>
        <v>2</v>
      </c>
      <c r="I952">
        <f t="shared" si="72"/>
        <v>22</v>
      </c>
      <c r="J952">
        <f t="shared" si="73"/>
        <v>12</v>
      </c>
      <c r="K952">
        <f t="shared" si="74"/>
        <v>2014</v>
      </c>
      <c r="M952">
        <v>9</v>
      </c>
      <c r="N952" t="str">
        <f>VLOOKUP(M952,'Cadastro Vendedores'!A:H,2,2)</f>
        <v>Adriana</v>
      </c>
      <c r="O952" s="2"/>
      <c r="P952" s="16">
        <v>1700</v>
      </c>
      <c r="Q952" s="2">
        <f>VLOOKUP(B952,'Cadastro Produtos'!A:F,5,2)</f>
        <v>9</v>
      </c>
      <c r="R952" s="14">
        <f t="shared" si="70"/>
        <v>15300</v>
      </c>
    </row>
    <row r="953" spans="1:18" x14ac:dyDescent="0.25">
      <c r="A953">
        <v>952</v>
      </c>
      <c r="B953">
        <v>8</v>
      </c>
      <c r="C953" t="str">
        <f>VLOOKUP(B953,'Cadastro Produtos'!A:E,2,2)</f>
        <v>Limonada Beta Zero 1 L</v>
      </c>
      <c r="D953">
        <v>17</v>
      </c>
      <c r="E953" t="str">
        <f>VLOOKUP(D953,'Cadatro Clientes'!A:O,2,2)</f>
        <v>Aracasuco</v>
      </c>
      <c r="F953" t="str">
        <f>VLOOKUP(D953,'Cadatro Clientes'!A:O,9,2)</f>
        <v>Nordeste</v>
      </c>
      <c r="G953" s="15">
        <v>41996</v>
      </c>
      <c r="H953">
        <f t="shared" si="71"/>
        <v>3</v>
      </c>
      <c r="I953">
        <f t="shared" si="72"/>
        <v>23</v>
      </c>
      <c r="J953">
        <f t="shared" si="73"/>
        <v>12</v>
      </c>
      <c r="K953">
        <f t="shared" si="74"/>
        <v>2014</v>
      </c>
      <c r="M953">
        <v>12</v>
      </c>
      <c r="N953" t="str">
        <f>VLOOKUP(M953,'Cadastro Vendedores'!A:H,2,2)</f>
        <v>Paulo</v>
      </c>
      <c r="O953" s="2"/>
      <c r="P953" s="16">
        <v>5100</v>
      </c>
      <c r="Q953" s="2">
        <f>VLOOKUP(B953,'Cadastro Produtos'!A:F,5,2)</f>
        <v>12</v>
      </c>
      <c r="R953" s="14">
        <f t="shared" si="70"/>
        <v>61200</v>
      </c>
    </row>
    <row r="954" spans="1:18" x14ac:dyDescent="0.25">
      <c r="A954">
        <v>953</v>
      </c>
      <c r="B954">
        <v>1</v>
      </c>
      <c r="C954" t="str">
        <f>VLOOKUP(B954,'Cadastro Produtos'!A:E,2,2)</f>
        <v>Limonada Alfa com Açúcar 500 ml</v>
      </c>
      <c r="D954">
        <v>9</v>
      </c>
      <c r="E954" t="str">
        <f>VLOOKUP(D954,'Cadatro Clientes'!A:O,2,2)</f>
        <v>Fresh Lemon</v>
      </c>
      <c r="F954" t="str">
        <f>VLOOKUP(D954,'Cadatro Clientes'!A:O,9,2)</f>
        <v>Sudeste</v>
      </c>
      <c r="G954" s="15">
        <v>41996</v>
      </c>
      <c r="H954">
        <f t="shared" si="71"/>
        <v>3</v>
      </c>
      <c r="I954">
        <f t="shared" si="72"/>
        <v>23</v>
      </c>
      <c r="J954">
        <f t="shared" si="73"/>
        <v>12</v>
      </c>
      <c r="K954">
        <f t="shared" si="74"/>
        <v>2014</v>
      </c>
      <c r="M954">
        <v>8</v>
      </c>
      <c r="N954" t="str">
        <f>VLOOKUP(M954,'Cadastro Vendedores'!A:H,2,2)</f>
        <v>Sérgio</v>
      </c>
      <c r="O954" s="2"/>
      <c r="P954" s="16">
        <v>6600</v>
      </c>
      <c r="Q954" s="2">
        <f>VLOOKUP(B954,'Cadastro Produtos'!A:F,5,2)</f>
        <v>8.5</v>
      </c>
      <c r="R954" s="14">
        <f t="shared" si="70"/>
        <v>56100</v>
      </c>
    </row>
    <row r="955" spans="1:18" x14ac:dyDescent="0.25">
      <c r="A955">
        <v>954</v>
      </c>
      <c r="B955">
        <v>9</v>
      </c>
      <c r="C955" t="str">
        <f>VLOOKUP(B955,'Cadastro Produtos'!A:E,2,2)</f>
        <v>Limonada Alfa com Hortelã e Açúcar 1 L</v>
      </c>
      <c r="D955">
        <v>13</v>
      </c>
      <c r="E955" t="str">
        <f>VLOOKUP(D955,'Cadatro Clientes'!A:O,2,2)</f>
        <v>Monster Lemon</v>
      </c>
      <c r="F955" t="str">
        <f>VLOOKUP(D955,'Cadatro Clientes'!A:O,9,2)</f>
        <v>Nordeste</v>
      </c>
      <c r="G955" s="15">
        <v>41996</v>
      </c>
      <c r="H955">
        <f t="shared" si="71"/>
        <v>3</v>
      </c>
      <c r="I955">
        <f t="shared" si="72"/>
        <v>23</v>
      </c>
      <c r="J955">
        <f t="shared" si="73"/>
        <v>12</v>
      </c>
      <c r="K955">
        <f t="shared" si="74"/>
        <v>2014</v>
      </c>
      <c r="M955">
        <v>4</v>
      </c>
      <c r="N955" t="str">
        <f>VLOOKUP(M955,'Cadastro Vendedores'!A:H,2,2)</f>
        <v>José</v>
      </c>
      <c r="O955" s="2"/>
      <c r="P955" s="16">
        <v>3500</v>
      </c>
      <c r="Q955" s="2">
        <f>VLOOKUP(B955,'Cadastro Produtos'!A:F,5,2)</f>
        <v>17.5</v>
      </c>
      <c r="R955" s="14">
        <f t="shared" si="70"/>
        <v>61250</v>
      </c>
    </row>
    <row r="956" spans="1:18" x14ac:dyDescent="0.25">
      <c r="A956">
        <v>955</v>
      </c>
      <c r="B956">
        <v>4</v>
      </c>
      <c r="C956" t="str">
        <f>VLOOKUP(B956,'Cadastro Produtos'!A:E,2,2)</f>
        <v>Limonada Beta Zero 500 ml</v>
      </c>
      <c r="D956">
        <v>12</v>
      </c>
      <c r="E956" t="str">
        <f>VLOOKUP(D956,'Cadatro Clientes'!A:O,2,2)</f>
        <v>Limão da Ilha</v>
      </c>
      <c r="F956" t="str">
        <f>VLOOKUP(D956,'Cadatro Clientes'!A:O,9,2)</f>
        <v>Sul</v>
      </c>
      <c r="G956" s="15">
        <v>41996</v>
      </c>
      <c r="H956">
        <f t="shared" si="71"/>
        <v>3</v>
      </c>
      <c r="I956">
        <f t="shared" si="72"/>
        <v>23</v>
      </c>
      <c r="J956">
        <f t="shared" si="73"/>
        <v>12</v>
      </c>
      <c r="K956">
        <f t="shared" si="74"/>
        <v>2014</v>
      </c>
      <c r="M956">
        <v>12</v>
      </c>
      <c r="N956" t="str">
        <f>VLOOKUP(M956,'Cadastro Vendedores'!A:H,2,2)</f>
        <v>Paulo</v>
      </c>
      <c r="O956" s="2"/>
      <c r="P956" s="16">
        <v>7500</v>
      </c>
      <c r="Q956" s="2">
        <f>VLOOKUP(B956,'Cadastro Produtos'!A:F,5,2)</f>
        <v>7</v>
      </c>
      <c r="R956" s="14">
        <f t="shared" si="70"/>
        <v>52500</v>
      </c>
    </row>
    <row r="957" spans="1:18" x14ac:dyDescent="0.25">
      <c r="A957">
        <v>956</v>
      </c>
      <c r="B957">
        <v>5</v>
      </c>
      <c r="C957" t="str">
        <f>VLOOKUP(B957,'Cadastro Produtos'!A:E,2,2)</f>
        <v>Limonada Alfa com Açúcar 1 L</v>
      </c>
      <c r="D957">
        <v>8</v>
      </c>
      <c r="E957" t="str">
        <f>VLOOKUP(D957,'Cadatro Clientes'!A:O,2,2)</f>
        <v>Refresko</v>
      </c>
      <c r="F957" t="str">
        <f>VLOOKUP(D957,'Cadatro Clientes'!A:O,9,2)</f>
        <v>Sul</v>
      </c>
      <c r="G957" s="15">
        <v>41997</v>
      </c>
      <c r="H957">
        <f t="shared" si="71"/>
        <v>4</v>
      </c>
      <c r="I957">
        <f t="shared" si="72"/>
        <v>24</v>
      </c>
      <c r="J957">
        <f t="shared" si="73"/>
        <v>12</v>
      </c>
      <c r="K957">
        <f t="shared" si="74"/>
        <v>2014</v>
      </c>
      <c r="M957">
        <v>4</v>
      </c>
      <c r="N957" t="str">
        <f>VLOOKUP(M957,'Cadastro Vendedores'!A:H,2,2)</f>
        <v>José</v>
      </c>
      <c r="O957" s="2"/>
      <c r="P957" s="16">
        <v>1300</v>
      </c>
      <c r="Q957" s="2">
        <f>VLOOKUP(B957,'Cadastro Produtos'!A:F,5,2)</f>
        <v>15</v>
      </c>
      <c r="R957" s="14">
        <f t="shared" si="70"/>
        <v>19500</v>
      </c>
    </row>
    <row r="958" spans="1:18" x14ac:dyDescent="0.25">
      <c r="A958">
        <v>957</v>
      </c>
      <c r="B958">
        <v>5</v>
      </c>
      <c r="C958" t="str">
        <f>VLOOKUP(B958,'Cadastro Produtos'!A:E,2,2)</f>
        <v>Limonada Alfa com Açúcar 1 L</v>
      </c>
      <c r="D958">
        <v>20</v>
      </c>
      <c r="E958" t="str">
        <f>VLOOKUP(D958,'Cadatro Clientes'!A:O,2,2)</f>
        <v>Brasil Saúde</v>
      </c>
      <c r="F958" t="str">
        <f>VLOOKUP(D958,'Cadatro Clientes'!A:O,9,2)</f>
        <v>Nordeste</v>
      </c>
      <c r="G958" s="15">
        <v>41997</v>
      </c>
      <c r="H958">
        <f t="shared" si="71"/>
        <v>4</v>
      </c>
      <c r="I958">
        <f t="shared" si="72"/>
        <v>24</v>
      </c>
      <c r="J958">
        <f t="shared" si="73"/>
        <v>12</v>
      </c>
      <c r="K958">
        <f t="shared" si="74"/>
        <v>2014</v>
      </c>
      <c r="M958">
        <v>12</v>
      </c>
      <c r="N958" t="str">
        <f>VLOOKUP(M958,'Cadastro Vendedores'!A:H,2,2)</f>
        <v>Paulo</v>
      </c>
      <c r="O958" s="2"/>
      <c r="P958" s="16">
        <v>2400</v>
      </c>
      <c r="Q958" s="2">
        <f>VLOOKUP(B958,'Cadastro Produtos'!A:F,5,2)</f>
        <v>15</v>
      </c>
      <c r="R958" s="14">
        <f t="shared" si="70"/>
        <v>36000</v>
      </c>
    </row>
    <row r="959" spans="1:18" x14ac:dyDescent="0.25">
      <c r="A959">
        <v>958</v>
      </c>
      <c r="B959">
        <v>8</v>
      </c>
      <c r="C959" t="str">
        <f>VLOOKUP(B959,'Cadastro Produtos'!A:E,2,2)</f>
        <v>Limonada Beta Zero 1 L</v>
      </c>
      <c r="D959">
        <v>13</v>
      </c>
      <c r="E959" t="str">
        <f>VLOOKUP(D959,'Cadatro Clientes'!A:O,2,2)</f>
        <v>Monster Lemon</v>
      </c>
      <c r="F959" t="str">
        <f>VLOOKUP(D959,'Cadatro Clientes'!A:O,9,2)</f>
        <v>Nordeste</v>
      </c>
      <c r="G959" s="15">
        <v>41997</v>
      </c>
      <c r="H959">
        <f t="shared" si="71"/>
        <v>4</v>
      </c>
      <c r="I959">
        <f t="shared" si="72"/>
        <v>24</v>
      </c>
      <c r="J959">
        <f t="shared" si="73"/>
        <v>12</v>
      </c>
      <c r="K959">
        <f t="shared" si="74"/>
        <v>2014</v>
      </c>
      <c r="M959">
        <v>6</v>
      </c>
      <c r="N959" t="str">
        <f>VLOOKUP(M959,'Cadastro Vendedores'!A:H,2,2)</f>
        <v>Antônia</v>
      </c>
      <c r="O959" s="2"/>
      <c r="P959" s="16">
        <v>4800</v>
      </c>
      <c r="Q959" s="2">
        <f>VLOOKUP(B959,'Cadastro Produtos'!A:F,5,2)</f>
        <v>12</v>
      </c>
      <c r="R959" s="14">
        <f t="shared" si="70"/>
        <v>57600</v>
      </c>
    </row>
    <row r="960" spans="1:18" x14ac:dyDescent="0.25">
      <c r="A960">
        <v>959</v>
      </c>
      <c r="B960">
        <v>5</v>
      </c>
      <c r="C960" t="str">
        <f>VLOOKUP(B960,'Cadastro Produtos'!A:E,2,2)</f>
        <v>Limonada Alfa com Açúcar 1 L</v>
      </c>
      <c r="D960">
        <v>16</v>
      </c>
      <c r="E960" t="str">
        <f>VLOOKUP(D960,'Cadatro Clientes'!A:O,2,2)</f>
        <v>Norte Suco</v>
      </c>
      <c r="F960" t="str">
        <f>VLOOKUP(D960,'Cadatro Clientes'!A:O,9,2)</f>
        <v>Nordeste</v>
      </c>
      <c r="G960" s="15">
        <v>41997</v>
      </c>
      <c r="H960">
        <f t="shared" si="71"/>
        <v>4</v>
      </c>
      <c r="I960">
        <f t="shared" si="72"/>
        <v>24</v>
      </c>
      <c r="J960">
        <f t="shared" si="73"/>
        <v>12</v>
      </c>
      <c r="K960">
        <f t="shared" si="74"/>
        <v>2014</v>
      </c>
      <c r="M960">
        <v>3</v>
      </c>
      <c r="N960" t="str">
        <f>VLOOKUP(M960,'Cadastro Vendedores'!A:H,2,2)</f>
        <v>Antônia</v>
      </c>
      <c r="O960" s="2"/>
      <c r="P960" s="16">
        <v>3900</v>
      </c>
      <c r="Q960" s="2">
        <f>VLOOKUP(B960,'Cadastro Produtos'!A:F,5,2)</f>
        <v>15</v>
      </c>
      <c r="R960" s="14">
        <f t="shared" si="70"/>
        <v>58500</v>
      </c>
    </row>
    <row r="961" spans="1:18" x14ac:dyDescent="0.25">
      <c r="A961">
        <v>960</v>
      </c>
      <c r="B961">
        <v>1</v>
      </c>
      <c r="C961" t="str">
        <f>VLOOKUP(B961,'Cadastro Produtos'!A:E,2,2)</f>
        <v>Limonada Alfa com Açúcar 500 ml</v>
      </c>
      <c r="D961">
        <v>19</v>
      </c>
      <c r="E961" t="str">
        <f>VLOOKUP(D961,'Cadatro Clientes'!A:O,2,2)</f>
        <v>Lima Limão</v>
      </c>
      <c r="F961" t="str">
        <f>VLOOKUP(D961,'Cadatro Clientes'!A:O,9,2)</f>
        <v>Sudeste</v>
      </c>
      <c r="G961" s="15">
        <v>41997</v>
      </c>
      <c r="H961">
        <f t="shared" si="71"/>
        <v>4</v>
      </c>
      <c r="I961">
        <f t="shared" si="72"/>
        <v>24</v>
      </c>
      <c r="J961">
        <f t="shared" si="73"/>
        <v>12</v>
      </c>
      <c r="K961">
        <f t="shared" si="74"/>
        <v>2014</v>
      </c>
      <c r="M961">
        <v>7</v>
      </c>
      <c r="N961" t="str">
        <f>VLOOKUP(M961,'Cadastro Vendedores'!A:H,2,2)</f>
        <v>Benedito</v>
      </c>
      <c r="O961" s="2"/>
      <c r="P961" s="16">
        <v>7000</v>
      </c>
      <c r="Q961" s="2">
        <f>VLOOKUP(B961,'Cadastro Produtos'!A:F,5,2)</f>
        <v>8.5</v>
      </c>
      <c r="R961" s="14">
        <f t="shared" si="70"/>
        <v>59500</v>
      </c>
    </row>
    <row r="962" spans="1:18" x14ac:dyDescent="0.25">
      <c r="A962">
        <v>961</v>
      </c>
      <c r="B962">
        <v>4</v>
      </c>
      <c r="C962" t="str">
        <f>VLOOKUP(B962,'Cadastro Produtos'!A:E,2,2)</f>
        <v>Limonada Beta Zero 500 ml</v>
      </c>
      <c r="D962">
        <v>8</v>
      </c>
      <c r="E962" t="str">
        <f>VLOOKUP(D962,'Cadatro Clientes'!A:O,2,2)</f>
        <v>Refresko</v>
      </c>
      <c r="F962" t="str">
        <f>VLOOKUP(D962,'Cadatro Clientes'!A:O,9,2)</f>
        <v>Sul</v>
      </c>
      <c r="G962" s="15">
        <v>41997</v>
      </c>
      <c r="H962">
        <f t="shared" si="71"/>
        <v>4</v>
      </c>
      <c r="I962">
        <f t="shared" si="72"/>
        <v>24</v>
      </c>
      <c r="J962">
        <f t="shared" si="73"/>
        <v>12</v>
      </c>
      <c r="K962">
        <f t="shared" si="74"/>
        <v>2014</v>
      </c>
      <c r="M962">
        <v>9</v>
      </c>
      <c r="N962" t="str">
        <f>VLOOKUP(M962,'Cadastro Vendedores'!A:H,2,2)</f>
        <v>Adriana</v>
      </c>
      <c r="O962" s="2"/>
      <c r="P962" s="16">
        <v>4900</v>
      </c>
      <c r="Q962" s="2">
        <f>VLOOKUP(B962,'Cadastro Produtos'!A:F,5,2)</f>
        <v>7</v>
      </c>
      <c r="R962" s="14">
        <f t="shared" ref="R962:R1025" si="75">Q962*P962</f>
        <v>34300</v>
      </c>
    </row>
    <row r="963" spans="1:18" x14ac:dyDescent="0.25">
      <c r="A963">
        <v>962</v>
      </c>
      <c r="B963">
        <v>6</v>
      </c>
      <c r="C963" t="str">
        <f>VLOOKUP(B963,'Cadastro Produtos'!A:E,2,2)</f>
        <v>Limonada Beta com Açúcar 1 L</v>
      </c>
      <c r="D963">
        <v>11</v>
      </c>
      <c r="E963" t="str">
        <f>VLOOKUP(D963,'Cadatro Clientes'!A:O,2,2)</f>
        <v>Red Lemon</v>
      </c>
      <c r="F963" t="str">
        <f>VLOOKUP(D963,'Cadatro Clientes'!A:O,9,2)</f>
        <v>Sul</v>
      </c>
      <c r="G963" s="15">
        <v>41998</v>
      </c>
      <c r="H963">
        <f t="shared" ref="H963:H1026" si="76">WEEKDAY(G963)</f>
        <v>5</v>
      </c>
      <c r="I963">
        <f t="shared" ref="I963:I1026" si="77">DAY(G963)</f>
        <v>25</v>
      </c>
      <c r="J963">
        <f t="shared" ref="J963:J1026" si="78">MONTH(G963)</f>
        <v>12</v>
      </c>
      <c r="K963">
        <f t="shared" ref="K963:K1026" si="79">YEAR(G963)</f>
        <v>2014</v>
      </c>
      <c r="M963">
        <v>3</v>
      </c>
      <c r="N963" t="str">
        <f>VLOOKUP(M963,'Cadastro Vendedores'!A:H,2,2)</f>
        <v>Antônia</v>
      </c>
      <c r="O963" s="2"/>
      <c r="P963" s="16">
        <v>4600</v>
      </c>
      <c r="Q963" s="2">
        <f>VLOOKUP(B963,'Cadastro Produtos'!A:F,5,2)</f>
        <v>12</v>
      </c>
      <c r="R963" s="14">
        <f t="shared" si="75"/>
        <v>55200</v>
      </c>
    </row>
    <row r="964" spans="1:18" x14ac:dyDescent="0.25">
      <c r="A964">
        <v>963</v>
      </c>
      <c r="B964">
        <v>3</v>
      </c>
      <c r="C964" t="str">
        <f>VLOOKUP(B964,'Cadastro Produtos'!A:E,2,2)</f>
        <v>Limonada Alfa Zero 500 ml</v>
      </c>
      <c r="D964">
        <v>17</v>
      </c>
      <c r="E964" t="str">
        <f>VLOOKUP(D964,'Cadatro Clientes'!A:O,2,2)</f>
        <v>Aracasuco</v>
      </c>
      <c r="F964" t="str">
        <f>VLOOKUP(D964,'Cadatro Clientes'!A:O,9,2)</f>
        <v>Nordeste</v>
      </c>
      <c r="G964" s="15">
        <v>41998</v>
      </c>
      <c r="H964">
        <f t="shared" si="76"/>
        <v>5</v>
      </c>
      <c r="I964">
        <f t="shared" si="77"/>
        <v>25</v>
      </c>
      <c r="J964">
        <f t="shared" si="78"/>
        <v>12</v>
      </c>
      <c r="K964">
        <f t="shared" si="79"/>
        <v>2014</v>
      </c>
      <c r="M964">
        <v>6</v>
      </c>
      <c r="N964" t="str">
        <f>VLOOKUP(M964,'Cadastro Vendedores'!A:H,2,2)</f>
        <v>Antônia</v>
      </c>
      <c r="O964" s="2"/>
      <c r="P964" s="16">
        <v>6900</v>
      </c>
      <c r="Q964" s="2">
        <f>VLOOKUP(B964,'Cadastro Produtos'!A:F,5,2)</f>
        <v>9</v>
      </c>
      <c r="R964" s="14">
        <f t="shared" si="75"/>
        <v>62100</v>
      </c>
    </row>
    <row r="965" spans="1:18" x14ac:dyDescent="0.25">
      <c r="A965">
        <v>964</v>
      </c>
      <c r="B965">
        <v>10</v>
      </c>
      <c r="C965" t="str">
        <f>VLOOKUP(B965,'Cadastro Produtos'!A:E,2,2)</f>
        <v>Limonada Alfa com Hortelã Zero 1 L</v>
      </c>
      <c r="D965">
        <v>19</v>
      </c>
      <c r="E965" t="str">
        <f>VLOOKUP(D965,'Cadatro Clientes'!A:O,2,2)</f>
        <v>Lima Limão</v>
      </c>
      <c r="F965" t="str">
        <f>VLOOKUP(D965,'Cadatro Clientes'!A:O,9,2)</f>
        <v>Sudeste</v>
      </c>
      <c r="G965" s="15">
        <v>41998</v>
      </c>
      <c r="H965">
        <f t="shared" si="76"/>
        <v>5</v>
      </c>
      <c r="I965">
        <f t="shared" si="77"/>
        <v>25</v>
      </c>
      <c r="J965">
        <f t="shared" si="78"/>
        <v>12</v>
      </c>
      <c r="K965">
        <f t="shared" si="79"/>
        <v>2014</v>
      </c>
      <c r="M965">
        <v>9</v>
      </c>
      <c r="N965" t="str">
        <f>VLOOKUP(M965,'Cadastro Vendedores'!A:H,2,2)</f>
        <v>Adriana</v>
      </c>
      <c r="O965" s="2"/>
      <c r="P965" s="16">
        <v>2500</v>
      </c>
      <c r="Q965" s="2">
        <f>VLOOKUP(B965,'Cadastro Produtos'!A:F,5,2)</f>
        <v>21</v>
      </c>
      <c r="R965" s="14">
        <f t="shared" si="75"/>
        <v>52500</v>
      </c>
    </row>
    <row r="966" spans="1:18" x14ac:dyDescent="0.25">
      <c r="A966">
        <v>965</v>
      </c>
      <c r="B966">
        <v>7</v>
      </c>
      <c r="C966" t="str">
        <f>VLOOKUP(B966,'Cadastro Produtos'!A:E,2,2)</f>
        <v>Limonada Alfa Zero 1 L</v>
      </c>
      <c r="D966">
        <v>6</v>
      </c>
      <c r="E966" t="str">
        <f>VLOOKUP(D966,'Cadatro Clientes'!A:O,2,2)</f>
        <v>Lemonade</v>
      </c>
      <c r="F966" t="str">
        <f>VLOOKUP(D966,'Cadatro Clientes'!A:O,9,2)</f>
        <v>Norte</v>
      </c>
      <c r="G966" s="15">
        <v>41998</v>
      </c>
      <c r="H966">
        <f t="shared" si="76"/>
        <v>5</v>
      </c>
      <c r="I966">
        <f t="shared" si="77"/>
        <v>25</v>
      </c>
      <c r="J966">
        <f t="shared" si="78"/>
        <v>12</v>
      </c>
      <c r="K966">
        <f t="shared" si="79"/>
        <v>2014</v>
      </c>
      <c r="M966">
        <v>4</v>
      </c>
      <c r="N966" t="str">
        <f>VLOOKUP(M966,'Cadastro Vendedores'!A:H,2,2)</f>
        <v>José</v>
      </c>
      <c r="O966" s="2"/>
      <c r="P966" s="16">
        <v>1000</v>
      </c>
      <c r="Q966" s="2">
        <f>VLOOKUP(B966,'Cadastro Produtos'!A:F,5,2)</f>
        <v>15</v>
      </c>
      <c r="R966" s="14">
        <f t="shared" si="75"/>
        <v>15000</v>
      </c>
    </row>
    <row r="967" spans="1:18" x14ac:dyDescent="0.25">
      <c r="A967">
        <v>966</v>
      </c>
      <c r="B967">
        <v>2</v>
      </c>
      <c r="C967" t="str">
        <f>VLOOKUP(B967,'Cadastro Produtos'!A:E,2,2)</f>
        <v>Limonada Beta com Açúcar 500 ml</v>
      </c>
      <c r="D967">
        <v>7</v>
      </c>
      <c r="E967" t="str">
        <f>VLOOKUP(D967,'Cadatro Clientes'!A:O,2,2)</f>
        <v>Limo</v>
      </c>
      <c r="F967" t="str">
        <f>VLOOKUP(D967,'Cadatro Clientes'!A:O,9,2)</f>
        <v>Centro-Oeste</v>
      </c>
      <c r="G967" s="15">
        <v>41998</v>
      </c>
      <c r="H967">
        <f t="shared" si="76"/>
        <v>5</v>
      </c>
      <c r="I967">
        <f t="shared" si="77"/>
        <v>25</v>
      </c>
      <c r="J967">
        <f t="shared" si="78"/>
        <v>12</v>
      </c>
      <c r="K967">
        <f t="shared" si="79"/>
        <v>2014</v>
      </c>
      <c r="M967">
        <v>13</v>
      </c>
      <c r="N967" t="str">
        <f>VLOOKUP(M967,'Cadastro Vendedores'!A:H,2,2)</f>
        <v>Andre</v>
      </c>
      <c r="O967" s="2"/>
      <c r="P967" s="16">
        <v>4100</v>
      </c>
      <c r="Q967" s="2">
        <f>VLOOKUP(B967,'Cadastro Produtos'!A:F,5,2)</f>
        <v>6.5</v>
      </c>
      <c r="R967" s="14">
        <f t="shared" si="75"/>
        <v>26650</v>
      </c>
    </row>
    <row r="968" spans="1:18" x14ac:dyDescent="0.25">
      <c r="A968">
        <v>967</v>
      </c>
      <c r="B968">
        <v>10</v>
      </c>
      <c r="C968" t="str">
        <f>VLOOKUP(B968,'Cadastro Produtos'!A:E,2,2)</f>
        <v>Limonada Alfa com Hortelã Zero 1 L</v>
      </c>
      <c r="D968">
        <v>8</v>
      </c>
      <c r="E968" t="str">
        <f>VLOOKUP(D968,'Cadatro Clientes'!A:O,2,2)</f>
        <v>Refresko</v>
      </c>
      <c r="F968" t="str">
        <f>VLOOKUP(D968,'Cadatro Clientes'!A:O,9,2)</f>
        <v>Sul</v>
      </c>
      <c r="G968" s="15">
        <v>41998</v>
      </c>
      <c r="H968">
        <f t="shared" si="76"/>
        <v>5</v>
      </c>
      <c r="I968">
        <f t="shared" si="77"/>
        <v>25</v>
      </c>
      <c r="J968">
        <f t="shared" si="78"/>
        <v>12</v>
      </c>
      <c r="K968">
        <f t="shared" si="79"/>
        <v>2014</v>
      </c>
      <c r="M968">
        <v>7</v>
      </c>
      <c r="N968" t="str">
        <f>VLOOKUP(M968,'Cadastro Vendedores'!A:H,2,2)</f>
        <v>Benedito</v>
      </c>
      <c r="O968" s="2"/>
      <c r="P968" s="16">
        <v>2300</v>
      </c>
      <c r="Q968" s="2">
        <f>VLOOKUP(B968,'Cadastro Produtos'!A:F,5,2)</f>
        <v>21</v>
      </c>
      <c r="R968" s="14">
        <f t="shared" si="75"/>
        <v>48300</v>
      </c>
    </row>
    <row r="969" spans="1:18" x14ac:dyDescent="0.25">
      <c r="A969">
        <v>968</v>
      </c>
      <c r="B969">
        <v>8</v>
      </c>
      <c r="C969" t="str">
        <f>VLOOKUP(B969,'Cadastro Produtos'!A:E,2,2)</f>
        <v>Limonada Beta Zero 1 L</v>
      </c>
      <c r="D969">
        <v>14</v>
      </c>
      <c r="E969" t="str">
        <f>VLOOKUP(D969,'Cadatro Clientes'!A:O,2,2)</f>
        <v>Sprite</v>
      </c>
      <c r="F969" t="str">
        <f>VLOOKUP(D969,'Cadatro Clientes'!A:O,9,2)</f>
        <v>Norte</v>
      </c>
      <c r="G969" s="15">
        <v>41999</v>
      </c>
      <c r="H969">
        <f t="shared" si="76"/>
        <v>6</v>
      </c>
      <c r="I969">
        <f t="shared" si="77"/>
        <v>26</v>
      </c>
      <c r="J969">
        <f t="shared" si="78"/>
        <v>12</v>
      </c>
      <c r="K969">
        <f t="shared" si="79"/>
        <v>2014</v>
      </c>
      <c r="M969">
        <v>4</v>
      </c>
      <c r="N969" t="str">
        <f>VLOOKUP(M969,'Cadastro Vendedores'!A:H,2,2)</f>
        <v>José</v>
      </c>
      <c r="O969" s="2"/>
      <c r="P969" s="16">
        <v>2200</v>
      </c>
      <c r="Q969" s="2">
        <f>VLOOKUP(B969,'Cadastro Produtos'!A:F,5,2)</f>
        <v>12</v>
      </c>
      <c r="R969" s="14">
        <f t="shared" si="75"/>
        <v>26400</v>
      </c>
    </row>
    <row r="970" spans="1:18" x14ac:dyDescent="0.25">
      <c r="A970">
        <v>969</v>
      </c>
      <c r="B970">
        <v>7</v>
      </c>
      <c r="C970" t="str">
        <f>VLOOKUP(B970,'Cadastro Produtos'!A:E,2,2)</f>
        <v>Limonada Alfa Zero 1 L</v>
      </c>
      <c r="D970">
        <v>2</v>
      </c>
      <c r="E970" t="str">
        <f>VLOOKUP(D970,'Cadatro Clientes'!A:O,2,2)</f>
        <v>Limão S/A</v>
      </c>
      <c r="F970" t="str">
        <f>VLOOKUP(D970,'Cadatro Clientes'!A:O,9,2)</f>
        <v>Centro-Oeste</v>
      </c>
      <c r="G970" s="15">
        <v>41999</v>
      </c>
      <c r="H970">
        <f t="shared" si="76"/>
        <v>6</v>
      </c>
      <c r="I970">
        <f t="shared" si="77"/>
        <v>26</v>
      </c>
      <c r="J970">
        <f t="shared" si="78"/>
        <v>12</v>
      </c>
      <c r="K970">
        <f t="shared" si="79"/>
        <v>2014</v>
      </c>
      <c r="M970">
        <v>7</v>
      </c>
      <c r="N970" t="str">
        <f>VLOOKUP(M970,'Cadastro Vendedores'!A:H,2,2)</f>
        <v>Benedito</v>
      </c>
      <c r="O970" s="2"/>
      <c r="P970" s="16">
        <v>2300</v>
      </c>
      <c r="Q970" s="2">
        <f>VLOOKUP(B970,'Cadastro Produtos'!A:F,5,2)</f>
        <v>15</v>
      </c>
      <c r="R970" s="14">
        <f t="shared" si="75"/>
        <v>34500</v>
      </c>
    </row>
    <row r="971" spans="1:18" x14ac:dyDescent="0.25">
      <c r="A971">
        <v>970</v>
      </c>
      <c r="B971">
        <v>3</v>
      </c>
      <c r="C971" t="str">
        <f>VLOOKUP(B971,'Cadastro Produtos'!A:E,2,2)</f>
        <v>Limonada Alfa Zero 500 ml</v>
      </c>
      <c r="D971">
        <v>4</v>
      </c>
      <c r="E971" t="str">
        <f>VLOOKUP(D971,'Cadatro Clientes'!A:O,2,2)</f>
        <v>Limão Carioca e Cia</v>
      </c>
      <c r="F971" t="str">
        <f>VLOOKUP(D971,'Cadatro Clientes'!A:O,9,2)</f>
        <v>Sudeste</v>
      </c>
      <c r="G971" s="15">
        <v>42000</v>
      </c>
      <c r="H971">
        <f t="shared" si="76"/>
        <v>7</v>
      </c>
      <c r="I971">
        <f t="shared" si="77"/>
        <v>27</v>
      </c>
      <c r="J971">
        <f t="shared" si="78"/>
        <v>12</v>
      </c>
      <c r="K971">
        <f t="shared" si="79"/>
        <v>2014</v>
      </c>
      <c r="M971">
        <v>12</v>
      </c>
      <c r="N971" t="str">
        <f>VLOOKUP(M971,'Cadastro Vendedores'!A:H,2,2)</f>
        <v>Paulo</v>
      </c>
      <c r="O971" s="2"/>
      <c r="P971" s="16">
        <v>4100</v>
      </c>
      <c r="Q971" s="2">
        <f>VLOOKUP(B971,'Cadastro Produtos'!A:F,5,2)</f>
        <v>9</v>
      </c>
      <c r="R971" s="14">
        <f t="shared" si="75"/>
        <v>36900</v>
      </c>
    </row>
    <row r="972" spans="1:18" x14ac:dyDescent="0.25">
      <c r="A972">
        <v>971</v>
      </c>
      <c r="B972">
        <v>1</v>
      </c>
      <c r="C972" t="str">
        <f>VLOOKUP(B972,'Cadastro Produtos'!A:E,2,2)</f>
        <v>Limonada Alfa com Açúcar 500 ml</v>
      </c>
      <c r="D972">
        <v>20</v>
      </c>
      <c r="E972" t="str">
        <f>VLOOKUP(D972,'Cadatro Clientes'!A:O,2,2)</f>
        <v>Brasil Saúde</v>
      </c>
      <c r="F972" t="str">
        <f>VLOOKUP(D972,'Cadatro Clientes'!A:O,9,2)</f>
        <v>Nordeste</v>
      </c>
      <c r="G972" s="15">
        <v>42000</v>
      </c>
      <c r="H972">
        <f t="shared" si="76"/>
        <v>7</v>
      </c>
      <c r="I972">
        <f t="shared" si="77"/>
        <v>27</v>
      </c>
      <c r="J972">
        <f t="shared" si="78"/>
        <v>12</v>
      </c>
      <c r="K972">
        <f t="shared" si="79"/>
        <v>2014</v>
      </c>
      <c r="M972">
        <v>4</v>
      </c>
      <c r="N972" t="str">
        <f>VLOOKUP(M972,'Cadastro Vendedores'!A:H,2,2)</f>
        <v>José</v>
      </c>
      <c r="O972" s="2"/>
      <c r="P972" s="16">
        <v>3700</v>
      </c>
      <c r="Q972" s="2">
        <f>VLOOKUP(B972,'Cadastro Produtos'!A:F,5,2)</f>
        <v>8.5</v>
      </c>
      <c r="R972" s="14">
        <f t="shared" si="75"/>
        <v>31450</v>
      </c>
    </row>
    <row r="973" spans="1:18" x14ac:dyDescent="0.25">
      <c r="A973">
        <v>972</v>
      </c>
      <c r="B973">
        <v>3</v>
      </c>
      <c r="C973" t="str">
        <f>VLOOKUP(B973,'Cadastro Produtos'!A:E,2,2)</f>
        <v>Limonada Alfa Zero 500 ml</v>
      </c>
      <c r="D973">
        <v>6</v>
      </c>
      <c r="E973" t="str">
        <f>VLOOKUP(D973,'Cadatro Clientes'!A:O,2,2)</f>
        <v>Lemonade</v>
      </c>
      <c r="F973" t="str">
        <f>VLOOKUP(D973,'Cadatro Clientes'!A:O,9,2)</f>
        <v>Norte</v>
      </c>
      <c r="G973" s="15">
        <v>42000</v>
      </c>
      <c r="H973">
        <f t="shared" si="76"/>
        <v>7</v>
      </c>
      <c r="I973">
        <f t="shared" si="77"/>
        <v>27</v>
      </c>
      <c r="J973">
        <f t="shared" si="78"/>
        <v>12</v>
      </c>
      <c r="K973">
        <f t="shared" si="79"/>
        <v>2014</v>
      </c>
      <c r="M973">
        <v>8</v>
      </c>
      <c r="N973" t="str">
        <f>VLOOKUP(M973,'Cadastro Vendedores'!A:H,2,2)</f>
        <v>Sérgio</v>
      </c>
      <c r="O973" s="2"/>
      <c r="P973" s="16">
        <v>7400</v>
      </c>
      <c r="Q973" s="2">
        <f>VLOOKUP(B973,'Cadastro Produtos'!A:F,5,2)</f>
        <v>9</v>
      </c>
      <c r="R973" s="14">
        <f t="shared" si="75"/>
        <v>66600</v>
      </c>
    </row>
    <row r="974" spans="1:18" x14ac:dyDescent="0.25">
      <c r="A974">
        <v>973</v>
      </c>
      <c r="B974">
        <v>6</v>
      </c>
      <c r="C974" t="str">
        <f>VLOOKUP(B974,'Cadastro Produtos'!A:E,2,2)</f>
        <v>Limonada Beta com Açúcar 1 L</v>
      </c>
      <c r="D974">
        <v>8</v>
      </c>
      <c r="E974" t="str">
        <f>VLOOKUP(D974,'Cadatro Clientes'!A:O,2,2)</f>
        <v>Refresko</v>
      </c>
      <c r="F974" t="str">
        <f>VLOOKUP(D974,'Cadatro Clientes'!A:O,9,2)</f>
        <v>Sul</v>
      </c>
      <c r="G974" s="15">
        <v>42000</v>
      </c>
      <c r="H974">
        <f t="shared" si="76"/>
        <v>7</v>
      </c>
      <c r="I974">
        <f t="shared" si="77"/>
        <v>27</v>
      </c>
      <c r="J974">
        <f t="shared" si="78"/>
        <v>12</v>
      </c>
      <c r="K974">
        <f t="shared" si="79"/>
        <v>2014</v>
      </c>
      <c r="M974">
        <v>15</v>
      </c>
      <c r="N974" t="str">
        <f>VLOOKUP(M974,'Cadastro Vendedores'!A:H,2,2)</f>
        <v>Luis</v>
      </c>
      <c r="O974" s="2"/>
      <c r="P974" s="16">
        <v>2600</v>
      </c>
      <c r="Q974" s="2">
        <f>VLOOKUP(B974,'Cadastro Produtos'!A:F,5,2)</f>
        <v>12</v>
      </c>
      <c r="R974" s="14">
        <f t="shared" si="75"/>
        <v>31200</v>
      </c>
    </row>
    <row r="975" spans="1:18" x14ac:dyDescent="0.25">
      <c r="A975">
        <v>974</v>
      </c>
      <c r="B975">
        <v>9</v>
      </c>
      <c r="C975" t="str">
        <f>VLOOKUP(B975,'Cadastro Produtos'!A:E,2,2)</f>
        <v>Limonada Alfa com Hortelã e Açúcar 1 L</v>
      </c>
      <c r="D975">
        <v>20</v>
      </c>
      <c r="E975" t="str">
        <f>VLOOKUP(D975,'Cadatro Clientes'!A:O,2,2)</f>
        <v>Brasil Saúde</v>
      </c>
      <c r="F975" t="str">
        <f>VLOOKUP(D975,'Cadatro Clientes'!A:O,9,2)</f>
        <v>Nordeste</v>
      </c>
      <c r="G975" s="15">
        <v>42001</v>
      </c>
      <c r="H975">
        <f t="shared" si="76"/>
        <v>1</v>
      </c>
      <c r="I975">
        <f t="shared" si="77"/>
        <v>28</v>
      </c>
      <c r="J975">
        <f t="shared" si="78"/>
        <v>12</v>
      </c>
      <c r="K975">
        <f t="shared" si="79"/>
        <v>2014</v>
      </c>
      <c r="M975">
        <v>3</v>
      </c>
      <c r="N975" t="str">
        <f>VLOOKUP(M975,'Cadastro Vendedores'!A:H,2,2)</f>
        <v>Antônia</v>
      </c>
      <c r="O975" s="2"/>
      <c r="P975" s="16">
        <v>3300</v>
      </c>
      <c r="Q975" s="2">
        <f>VLOOKUP(B975,'Cadastro Produtos'!A:F,5,2)</f>
        <v>17.5</v>
      </c>
      <c r="R975" s="14">
        <f t="shared" si="75"/>
        <v>57750</v>
      </c>
    </row>
    <row r="976" spans="1:18" x14ac:dyDescent="0.25">
      <c r="A976">
        <v>975</v>
      </c>
      <c r="B976">
        <v>2</v>
      </c>
      <c r="C976" t="str">
        <f>VLOOKUP(B976,'Cadastro Produtos'!A:E,2,2)</f>
        <v>Limonada Beta com Açúcar 500 ml</v>
      </c>
      <c r="D976">
        <v>13</v>
      </c>
      <c r="E976" t="str">
        <f>VLOOKUP(D976,'Cadatro Clientes'!A:O,2,2)</f>
        <v>Monster Lemon</v>
      </c>
      <c r="F976" t="str">
        <f>VLOOKUP(D976,'Cadatro Clientes'!A:O,9,2)</f>
        <v>Nordeste</v>
      </c>
      <c r="G976" s="15">
        <v>42001</v>
      </c>
      <c r="H976">
        <f t="shared" si="76"/>
        <v>1</v>
      </c>
      <c r="I976">
        <f t="shared" si="77"/>
        <v>28</v>
      </c>
      <c r="J976">
        <f t="shared" si="78"/>
        <v>12</v>
      </c>
      <c r="K976">
        <f t="shared" si="79"/>
        <v>2014</v>
      </c>
      <c r="M976">
        <v>4</v>
      </c>
      <c r="N976" t="str">
        <f>VLOOKUP(M976,'Cadastro Vendedores'!A:H,2,2)</f>
        <v>José</v>
      </c>
      <c r="O976" s="2"/>
      <c r="P976" s="16">
        <v>4400</v>
      </c>
      <c r="Q976" s="2">
        <f>VLOOKUP(B976,'Cadastro Produtos'!A:F,5,2)</f>
        <v>6.5</v>
      </c>
      <c r="R976" s="14">
        <f t="shared" si="75"/>
        <v>28600</v>
      </c>
    </row>
    <row r="977" spans="1:18" x14ac:dyDescent="0.25">
      <c r="A977">
        <v>976</v>
      </c>
      <c r="B977">
        <v>1</v>
      </c>
      <c r="C977" t="str">
        <f>VLOOKUP(B977,'Cadastro Produtos'!A:E,2,2)</f>
        <v>Limonada Alfa com Açúcar 500 ml</v>
      </c>
      <c r="D977">
        <v>8</v>
      </c>
      <c r="E977" t="str">
        <f>VLOOKUP(D977,'Cadatro Clientes'!A:O,2,2)</f>
        <v>Refresko</v>
      </c>
      <c r="F977" t="str">
        <f>VLOOKUP(D977,'Cadatro Clientes'!A:O,9,2)</f>
        <v>Sul</v>
      </c>
      <c r="G977" s="15">
        <v>42001</v>
      </c>
      <c r="H977">
        <f t="shared" si="76"/>
        <v>1</v>
      </c>
      <c r="I977">
        <f t="shared" si="77"/>
        <v>28</v>
      </c>
      <c r="J977">
        <f t="shared" si="78"/>
        <v>12</v>
      </c>
      <c r="K977">
        <f t="shared" si="79"/>
        <v>2014</v>
      </c>
      <c r="M977">
        <v>2</v>
      </c>
      <c r="N977" t="str">
        <f>VLOOKUP(M977,'Cadastro Vendedores'!A:H,2,2)</f>
        <v>Luis</v>
      </c>
      <c r="O977" s="2"/>
      <c r="P977" s="16">
        <v>5500</v>
      </c>
      <c r="Q977" s="2">
        <f>VLOOKUP(B977,'Cadastro Produtos'!A:F,5,2)</f>
        <v>8.5</v>
      </c>
      <c r="R977" s="14">
        <f t="shared" si="75"/>
        <v>46750</v>
      </c>
    </row>
    <row r="978" spans="1:18" x14ac:dyDescent="0.25">
      <c r="A978">
        <v>977</v>
      </c>
      <c r="B978">
        <v>7</v>
      </c>
      <c r="C978" t="str">
        <f>VLOOKUP(B978,'Cadastro Produtos'!A:E,2,2)</f>
        <v>Limonada Alfa Zero 1 L</v>
      </c>
      <c r="D978">
        <v>8</v>
      </c>
      <c r="E978" t="str">
        <f>VLOOKUP(D978,'Cadatro Clientes'!A:O,2,2)</f>
        <v>Refresko</v>
      </c>
      <c r="F978" t="str">
        <f>VLOOKUP(D978,'Cadatro Clientes'!A:O,9,2)</f>
        <v>Sul</v>
      </c>
      <c r="G978" s="15">
        <v>42002</v>
      </c>
      <c r="H978">
        <f t="shared" si="76"/>
        <v>2</v>
      </c>
      <c r="I978">
        <f t="shared" si="77"/>
        <v>29</v>
      </c>
      <c r="J978">
        <f t="shared" si="78"/>
        <v>12</v>
      </c>
      <c r="K978">
        <f t="shared" si="79"/>
        <v>2014</v>
      </c>
      <c r="M978">
        <v>12</v>
      </c>
      <c r="N978" t="str">
        <f>VLOOKUP(M978,'Cadastro Vendedores'!A:H,2,2)</f>
        <v>Paulo</v>
      </c>
      <c r="O978" s="2"/>
      <c r="P978" s="16">
        <v>1900</v>
      </c>
      <c r="Q978" s="2">
        <f>VLOOKUP(B978,'Cadastro Produtos'!A:F,5,2)</f>
        <v>15</v>
      </c>
      <c r="R978" s="14">
        <f t="shared" si="75"/>
        <v>28500</v>
      </c>
    </row>
    <row r="979" spans="1:18" x14ac:dyDescent="0.25">
      <c r="A979">
        <v>978</v>
      </c>
      <c r="B979">
        <v>6</v>
      </c>
      <c r="C979" t="str">
        <f>VLOOKUP(B979,'Cadastro Produtos'!A:E,2,2)</f>
        <v>Limonada Beta com Açúcar 1 L</v>
      </c>
      <c r="D979">
        <v>11</v>
      </c>
      <c r="E979" t="str">
        <f>VLOOKUP(D979,'Cadatro Clientes'!A:O,2,2)</f>
        <v>Red Lemon</v>
      </c>
      <c r="F979" t="str">
        <f>VLOOKUP(D979,'Cadatro Clientes'!A:O,9,2)</f>
        <v>Sul</v>
      </c>
      <c r="G979" s="15">
        <v>42002</v>
      </c>
      <c r="H979">
        <f t="shared" si="76"/>
        <v>2</v>
      </c>
      <c r="I979">
        <f t="shared" si="77"/>
        <v>29</v>
      </c>
      <c r="J979">
        <f t="shared" si="78"/>
        <v>12</v>
      </c>
      <c r="K979">
        <f t="shared" si="79"/>
        <v>2014</v>
      </c>
      <c r="M979">
        <v>13</v>
      </c>
      <c r="N979" t="str">
        <f>VLOOKUP(M979,'Cadastro Vendedores'!A:H,2,2)</f>
        <v>Andre</v>
      </c>
      <c r="O979" s="2"/>
      <c r="P979" s="16">
        <v>5200</v>
      </c>
      <c r="Q979" s="2">
        <f>VLOOKUP(B979,'Cadastro Produtos'!A:F,5,2)</f>
        <v>12</v>
      </c>
      <c r="R979" s="14">
        <f t="shared" si="75"/>
        <v>62400</v>
      </c>
    </row>
    <row r="980" spans="1:18" x14ac:dyDescent="0.25">
      <c r="A980">
        <v>979</v>
      </c>
      <c r="B980">
        <v>1</v>
      </c>
      <c r="C980" t="str">
        <f>VLOOKUP(B980,'Cadastro Produtos'!A:E,2,2)</f>
        <v>Limonada Alfa com Açúcar 500 ml</v>
      </c>
      <c r="D980">
        <v>11</v>
      </c>
      <c r="E980" t="str">
        <f>VLOOKUP(D980,'Cadatro Clientes'!A:O,2,2)</f>
        <v>Red Lemon</v>
      </c>
      <c r="F980" t="str">
        <f>VLOOKUP(D980,'Cadatro Clientes'!A:O,9,2)</f>
        <v>Sul</v>
      </c>
      <c r="G980" s="15">
        <v>42002</v>
      </c>
      <c r="H980">
        <f t="shared" si="76"/>
        <v>2</v>
      </c>
      <c r="I980">
        <f t="shared" si="77"/>
        <v>29</v>
      </c>
      <c r="J980">
        <f t="shared" si="78"/>
        <v>12</v>
      </c>
      <c r="K980">
        <f t="shared" si="79"/>
        <v>2014</v>
      </c>
      <c r="M980">
        <v>2</v>
      </c>
      <c r="N980" t="str">
        <f>VLOOKUP(M980,'Cadastro Vendedores'!A:H,2,2)</f>
        <v>Luis</v>
      </c>
      <c r="O980" s="2"/>
      <c r="P980" s="16">
        <v>1800</v>
      </c>
      <c r="Q980" s="2">
        <f>VLOOKUP(B980,'Cadastro Produtos'!A:F,5,2)</f>
        <v>8.5</v>
      </c>
      <c r="R980" s="14">
        <f t="shared" si="75"/>
        <v>15300</v>
      </c>
    </row>
    <row r="981" spans="1:18" x14ac:dyDescent="0.25">
      <c r="A981">
        <v>980</v>
      </c>
      <c r="B981">
        <v>4</v>
      </c>
      <c r="C981" t="str">
        <f>VLOOKUP(B981,'Cadastro Produtos'!A:E,2,2)</f>
        <v>Limonada Beta Zero 500 ml</v>
      </c>
      <c r="D981">
        <v>13</v>
      </c>
      <c r="E981" t="str">
        <f>VLOOKUP(D981,'Cadatro Clientes'!A:O,2,2)</f>
        <v>Monster Lemon</v>
      </c>
      <c r="F981" t="str">
        <f>VLOOKUP(D981,'Cadatro Clientes'!A:O,9,2)</f>
        <v>Nordeste</v>
      </c>
      <c r="G981" s="15">
        <v>42004</v>
      </c>
      <c r="H981">
        <f t="shared" si="76"/>
        <v>4</v>
      </c>
      <c r="I981">
        <f t="shared" si="77"/>
        <v>31</v>
      </c>
      <c r="J981">
        <f t="shared" si="78"/>
        <v>12</v>
      </c>
      <c r="K981">
        <f t="shared" si="79"/>
        <v>2014</v>
      </c>
      <c r="M981">
        <v>3</v>
      </c>
      <c r="N981" t="str">
        <f>VLOOKUP(M981,'Cadastro Vendedores'!A:H,2,2)</f>
        <v>Antônia</v>
      </c>
      <c r="O981" s="2"/>
      <c r="P981" s="16">
        <v>6100</v>
      </c>
      <c r="Q981" s="2">
        <f>VLOOKUP(B981,'Cadastro Produtos'!A:F,5,2)</f>
        <v>7</v>
      </c>
      <c r="R981" s="14">
        <f t="shared" si="75"/>
        <v>42700</v>
      </c>
    </row>
    <row r="982" spans="1:18" x14ac:dyDescent="0.25">
      <c r="A982">
        <v>981</v>
      </c>
      <c r="B982">
        <v>7</v>
      </c>
      <c r="C982" t="str">
        <f>VLOOKUP(B982,'Cadastro Produtos'!A:E,2,2)</f>
        <v>Limonada Alfa Zero 1 L</v>
      </c>
      <c r="D982">
        <v>8</v>
      </c>
      <c r="E982" t="str">
        <f>VLOOKUP(D982,'Cadatro Clientes'!A:O,2,2)</f>
        <v>Refresko</v>
      </c>
      <c r="F982" t="str">
        <f>VLOOKUP(D982,'Cadatro Clientes'!A:O,9,2)</f>
        <v>Sul</v>
      </c>
      <c r="G982" s="15">
        <v>42004</v>
      </c>
      <c r="H982">
        <f t="shared" si="76"/>
        <v>4</v>
      </c>
      <c r="I982">
        <f t="shared" si="77"/>
        <v>31</v>
      </c>
      <c r="J982">
        <f t="shared" si="78"/>
        <v>12</v>
      </c>
      <c r="K982">
        <f t="shared" si="79"/>
        <v>2014</v>
      </c>
      <c r="M982">
        <v>6</v>
      </c>
      <c r="N982" t="str">
        <f>VLOOKUP(M982,'Cadastro Vendedores'!A:H,2,2)</f>
        <v>Antônia</v>
      </c>
      <c r="O982" s="2"/>
      <c r="P982" s="16">
        <v>3700</v>
      </c>
      <c r="Q982" s="2">
        <f>VLOOKUP(B982,'Cadastro Produtos'!A:F,5,2)</f>
        <v>15</v>
      </c>
      <c r="R982" s="14">
        <f t="shared" si="75"/>
        <v>55500</v>
      </c>
    </row>
    <row r="983" spans="1:18" x14ac:dyDescent="0.25">
      <c r="A983">
        <v>982</v>
      </c>
      <c r="B983">
        <v>3</v>
      </c>
      <c r="C983" t="str">
        <f>VLOOKUP(B983,'Cadastro Produtos'!A:E,2,2)</f>
        <v>Limonada Alfa Zero 500 ml</v>
      </c>
      <c r="D983">
        <v>4</v>
      </c>
      <c r="E983" t="str">
        <f>VLOOKUP(D983,'Cadatro Clientes'!A:O,2,2)</f>
        <v>Limão Carioca e Cia</v>
      </c>
      <c r="F983" t="str">
        <f>VLOOKUP(D983,'Cadatro Clientes'!A:O,9,2)</f>
        <v>Sudeste</v>
      </c>
      <c r="G983" s="15">
        <v>42005</v>
      </c>
      <c r="H983">
        <f t="shared" si="76"/>
        <v>5</v>
      </c>
      <c r="I983">
        <f t="shared" si="77"/>
        <v>1</v>
      </c>
      <c r="J983">
        <f t="shared" si="78"/>
        <v>1</v>
      </c>
      <c r="K983">
        <f t="shared" si="79"/>
        <v>2015</v>
      </c>
      <c r="M983">
        <v>4</v>
      </c>
      <c r="N983" t="str">
        <f>VLOOKUP(M983,'Cadastro Vendedores'!A:H,2,2)</f>
        <v>José</v>
      </c>
      <c r="O983" s="2"/>
      <c r="P983" s="16">
        <v>7100</v>
      </c>
      <c r="Q983" s="2">
        <f>VLOOKUP(B983,'Cadastro Produtos'!A:F,5,2)</f>
        <v>9</v>
      </c>
      <c r="R983" s="14">
        <f t="shared" si="75"/>
        <v>63900</v>
      </c>
    </row>
    <row r="984" spans="1:18" x14ac:dyDescent="0.25">
      <c r="A984">
        <v>983</v>
      </c>
      <c r="B984">
        <v>6</v>
      </c>
      <c r="C984" t="str">
        <f>VLOOKUP(B984,'Cadastro Produtos'!A:E,2,2)</f>
        <v>Limonada Beta com Açúcar 1 L</v>
      </c>
      <c r="D984">
        <v>11</v>
      </c>
      <c r="E984" t="str">
        <f>VLOOKUP(D984,'Cadatro Clientes'!A:O,2,2)</f>
        <v>Red Lemon</v>
      </c>
      <c r="F984" t="str">
        <f>VLOOKUP(D984,'Cadatro Clientes'!A:O,9,2)</f>
        <v>Sul</v>
      </c>
      <c r="G984" s="15">
        <v>42005</v>
      </c>
      <c r="H984">
        <f t="shared" si="76"/>
        <v>5</v>
      </c>
      <c r="I984">
        <f t="shared" si="77"/>
        <v>1</v>
      </c>
      <c r="J984">
        <f t="shared" si="78"/>
        <v>1</v>
      </c>
      <c r="K984">
        <f t="shared" si="79"/>
        <v>2015</v>
      </c>
      <c r="M984">
        <v>15</v>
      </c>
      <c r="N984" t="str">
        <f>VLOOKUP(M984,'Cadastro Vendedores'!A:H,2,2)</f>
        <v>Luis</v>
      </c>
      <c r="O984" s="2"/>
      <c r="P984" s="16">
        <v>3500</v>
      </c>
      <c r="Q984" s="2">
        <f>VLOOKUP(B984,'Cadastro Produtos'!A:F,5,2)</f>
        <v>12</v>
      </c>
      <c r="R984" s="14">
        <f t="shared" si="75"/>
        <v>42000</v>
      </c>
    </row>
    <row r="985" spans="1:18" x14ac:dyDescent="0.25">
      <c r="A985">
        <v>984</v>
      </c>
      <c r="B985">
        <v>10</v>
      </c>
      <c r="C985" t="str">
        <f>VLOOKUP(B985,'Cadastro Produtos'!A:E,2,2)</f>
        <v>Limonada Alfa com Hortelã Zero 1 L</v>
      </c>
      <c r="D985">
        <v>8</v>
      </c>
      <c r="E985" t="str">
        <f>VLOOKUP(D985,'Cadatro Clientes'!A:O,2,2)</f>
        <v>Refresko</v>
      </c>
      <c r="F985" t="str">
        <f>VLOOKUP(D985,'Cadatro Clientes'!A:O,9,2)</f>
        <v>Sul</v>
      </c>
      <c r="G985" s="15">
        <v>42006</v>
      </c>
      <c r="H985">
        <f t="shared" si="76"/>
        <v>6</v>
      </c>
      <c r="I985">
        <f t="shared" si="77"/>
        <v>2</v>
      </c>
      <c r="J985">
        <f t="shared" si="78"/>
        <v>1</v>
      </c>
      <c r="K985">
        <f t="shared" si="79"/>
        <v>2015</v>
      </c>
      <c r="M985">
        <v>13</v>
      </c>
      <c r="N985" t="str">
        <f>VLOOKUP(M985,'Cadastro Vendedores'!A:H,2,2)</f>
        <v>Andre</v>
      </c>
      <c r="O985" s="2"/>
      <c r="P985" s="16">
        <v>2500</v>
      </c>
      <c r="Q985" s="2">
        <f>VLOOKUP(B985,'Cadastro Produtos'!A:F,5,2)</f>
        <v>21</v>
      </c>
      <c r="R985" s="14">
        <f t="shared" si="75"/>
        <v>52500</v>
      </c>
    </row>
    <row r="986" spans="1:18" x14ac:dyDescent="0.25">
      <c r="A986">
        <v>985</v>
      </c>
      <c r="B986">
        <v>6</v>
      </c>
      <c r="C986" t="str">
        <f>VLOOKUP(B986,'Cadastro Produtos'!A:E,2,2)</f>
        <v>Limonada Beta com Açúcar 1 L</v>
      </c>
      <c r="D986">
        <v>19</v>
      </c>
      <c r="E986" t="str">
        <f>VLOOKUP(D986,'Cadatro Clientes'!A:O,2,2)</f>
        <v>Lima Limão</v>
      </c>
      <c r="F986" t="str">
        <f>VLOOKUP(D986,'Cadatro Clientes'!A:O,9,2)</f>
        <v>Sudeste</v>
      </c>
      <c r="G986" s="15">
        <v>42006</v>
      </c>
      <c r="H986">
        <f t="shared" si="76"/>
        <v>6</v>
      </c>
      <c r="I986">
        <f t="shared" si="77"/>
        <v>2</v>
      </c>
      <c r="J986">
        <f t="shared" si="78"/>
        <v>1</v>
      </c>
      <c r="K986">
        <f t="shared" si="79"/>
        <v>2015</v>
      </c>
      <c r="M986">
        <v>4</v>
      </c>
      <c r="N986" t="str">
        <f>VLOOKUP(M986,'Cadastro Vendedores'!A:H,2,2)</f>
        <v>José</v>
      </c>
      <c r="O986" s="2"/>
      <c r="P986" s="16">
        <v>5800</v>
      </c>
      <c r="Q986" s="2">
        <f>VLOOKUP(B986,'Cadastro Produtos'!A:F,5,2)</f>
        <v>12</v>
      </c>
      <c r="R986" s="14">
        <f t="shared" si="75"/>
        <v>69600</v>
      </c>
    </row>
    <row r="987" spans="1:18" x14ac:dyDescent="0.25">
      <c r="A987">
        <v>986</v>
      </c>
      <c r="B987">
        <v>6</v>
      </c>
      <c r="C987" t="str">
        <f>VLOOKUP(B987,'Cadastro Produtos'!A:E,2,2)</f>
        <v>Limonada Beta com Açúcar 1 L</v>
      </c>
      <c r="D987">
        <v>11</v>
      </c>
      <c r="E987" t="str">
        <f>VLOOKUP(D987,'Cadatro Clientes'!A:O,2,2)</f>
        <v>Red Lemon</v>
      </c>
      <c r="F987" t="str">
        <f>VLOOKUP(D987,'Cadatro Clientes'!A:O,9,2)</f>
        <v>Sul</v>
      </c>
      <c r="G987" s="15">
        <v>42007</v>
      </c>
      <c r="H987">
        <f t="shared" si="76"/>
        <v>7</v>
      </c>
      <c r="I987">
        <f t="shared" si="77"/>
        <v>3</v>
      </c>
      <c r="J987">
        <f t="shared" si="78"/>
        <v>1</v>
      </c>
      <c r="K987">
        <f t="shared" si="79"/>
        <v>2015</v>
      </c>
      <c r="M987">
        <v>9</v>
      </c>
      <c r="N987" t="str">
        <f>VLOOKUP(M987,'Cadastro Vendedores'!A:H,2,2)</f>
        <v>Adriana</v>
      </c>
      <c r="O987" s="2"/>
      <c r="P987" s="16">
        <v>1500</v>
      </c>
      <c r="Q987" s="2">
        <f>VLOOKUP(B987,'Cadastro Produtos'!A:F,5,2)</f>
        <v>12</v>
      </c>
      <c r="R987" s="14">
        <f t="shared" si="75"/>
        <v>18000</v>
      </c>
    </row>
    <row r="988" spans="1:18" x14ac:dyDescent="0.25">
      <c r="A988">
        <v>987</v>
      </c>
      <c r="B988">
        <v>2</v>
      </c>
      <c r="C988" t="str">
        <f>VLOOKUP(B988,'Cadastro Produtos'!A:E,2,2)</f>
        <v>Limonada Beta com Açúcar 500 ml</v>
      </c>
      <c r="D988">
        <v>8</v>
      </c>
      <c r="E988" t="str">
        <f>VLOOKUP(D988,'Cadatro Clientes'!A:O,2,2)</f>
        <v>Refresko</v>
      </c>
      <c r="F988" t="str">
        <f>VLOOKUP(D988,'Cadatro Clientes'!A:O,9,2)</f>
        <v>Sul</v>
      </c>
      <c r="G988" s="15">
        <v>42007</v>
      </c>
      <c r="H988">
        <f t="shared" si="76"/>
        <v>7</v>
      </c>
      <c r="I988">
        <f t="shared" si="77"/>
        <v>3</v>
      </c>
      <c r="J988">
        <f t="shared" si="78"/>
        <v>1</v>
      </c>
      <c r="K988">
        <f t="shared" si="79"/>
        <v>2015</v>
      </c>
      <c r="M988">
        <v>12</v>
      </c>
      <c r="N988" t="str">
        <f>VLOOKUP(M988,'Cadastro Vendedores'!A:H,2,2)</f>
        <v>Paulo</v>
      </c>
      <c r="O988" s="2"/>
      <c r="P988" s="16">
        <v>10500</v>
      </c>
      <c r="Q988" s="2">
        <f>VLOOKUP(B988,'Cadastro Produtos'!A:F,5,2)</f>
        <v>6.5</v>
      </c>
      <c r="R988" s="14">
        <f t="shared" si="75"/>
        <v>68250</v>
      </c>
    </row>
    <row r="989" spans="1:18" x14ac:dyDescent="0.25">
      <c r="A989">
        <v>988</v>
      </c>
      <c r="B989">
        <v>2</v>
      </c>
      <c r="C989" t="str">
        <f>VLOOKUP(B989,'Cadastro Produtos'!A:E,2,2)</f>
        <v>Limonada Beta com Açúcar 500 ml</v>
      </c>
      <c r="D989">
        <v>13</v>
      </c>
      <c r="E989" t="str">
        <f>VLOOKUP(D989,'Cadatro Clientes'!A:O,2,2)</f>
        <v>Monster Lemon</v>
      </c>
      <c r="F989" t="str">
        <f>VLOOKUP(D989,'Cadatro Clientes'!A:O,9,2)</f>
        <v>Nordeste</v>
      </c>
      <c r="G989" s="15">
        <v>42007</v>
      </c>
      <c r="H989">
        <f t="shared" si="76"/>
        <v>7</v>
      </c>
      <c r="I989">
        <f t="shared" si="77"/>
        <v>3</v>
      </c>
      <c r="J989">
        <f t="shared" si="78"/>
        <v>1</v>
      </c>
      <c r="K989">
        <f t="shared" si="79"/>
        <v>2015</v>
      </c>
      <c r="M989">
        <v>4</v>
      </c>
      <c r="N989" t="str">
        <f>VLOOKUP(M989,'Cadastro Vendedores'!A:H,2,2)</f>
        <v>José</v>
      </c>
      <c r="O989" s="2"/>
      <c r="P989" s="16">
        <v>7700</v>
      </c>
      <c r="Q989" s="2">
        <f>VLOOKUP(B989,'Cadastro Produtos'!A:F,5,2)</f>
        <v>6.5</v>
      </c>
      <c r="R989" s="14">
        <f t="shared" si="75"/>
        <v>50050</v>
      </c>
    </row>
    <row r="990" spans="1:18" x14ac:dyDescent="0.25">
      <c r="A990">
        <v>989</v>
      </c>
      <c r="B990">
        <v>2</v>
      </c>
      <c r="C990" t="str">
        <f>VLOOKUP(B990,'Cadastro Produtos'!A:E,2,2)</f>
        <v>Limonada Beta com Açúcar 500 ml</v>
      </c>
      <c r="D990">
        <v>17</v>
      </c>
      <c r="E990" t="str">
        <f>VLOOKUP(D990,'Cadatro Clientes'!A:O,2,2)</f>
        <v>Aracasuco</v>
      </c>
      <c r="F990" t="str">
        <f>VLOOKUP(D990,'Cadatro Clientes'!A:O,9,2)</f>
        <v>Nordeste</v>
      </c>
      <c r="G990" s="15">
        <v>42007</v>
      </c>
      <c r="H990">
        <f t="shared" si="76"/>
        <v>7</v>
      </c>
      <c r="I990">
        <f t="shared" si="77"/>
        <v>3</v>
      </c>
      <c r="J990">
        <f t="shared" si="78"/>
        <v>1</v>
      </c>
      <c r="K990">
        <f t="shared" si="79"/>
        <v>2015</v>
      </c>
      <c r="M990">
        <v>6</v>
      </c>
      <c r="N990" t="str">
        <f>VLOOKUP(M990,'Cadastro Vendedores'!A:H,2,2)</f>
        <v>Antônia</v>
      </c>
      <c r="O990" s="2"/>
      <c r="P990" s="16">
        <v>6400</v>
      </c>
      <c r="Q990" s="2">
        <f>VLOOKUP(B990,'Cadastro Produtos'!A:F,5,2)</f>
        <v>6.5</v>
      </c>
      <c r="R990" s="14">
        <f t="shared" si="75"/>
        <v>41600</v>
      </c>
    </row>
    <row r="991" spans="1:18" x14ac:dyDescent="0.25">
      <c r="A991">
        <v>990</v>
      </c>
      <c r="B991">
        <v>6</v>
      </c>
      <c r="C991" t="str">
        <f>VLOOKUP(B991,'Cadastro Produtos'!A:E,2,2)</f>
        <v>Limonada Beta com Açúcar 1 L</v>
      </c>
      <c r="D991">
        <v>11</v>
      </c>
      <c r="E991" t="str">
        <f>VLOOKUP(D991,'Cadatro Clientes'!A:O,2,2)</f>
        <v>Red Lemon</v>
      </c>
      <c r="F991" t="str">
        <f>VLOOKUP(D991,'Cadatro Clientes'!A:O,9,2)</f>
        <v>Sul</v>
      </c>
      <c r="G991" s="15">
        <v>42007</v>
      </c>
      <c r="H991">
        <f t="shared" si="76"/>
        <v>7</v>
      </c>
      <c r="I991">
        <f t="shared" si="77"/>
        <v>3</v>
      </c>
      <c r="J991">
        <f t="shared" si="78"/>
        <v>1</v>
      </c>
      <c r="K991">
        <f t="shared" si="79"/>
        <v>2015</v>
      </c>
      <c r="M991">
        <v>2</v>
      </c>
      <c r="N991" t="str">
        <f>VLOOKUP(M991,'Cadastro Vendedores'!A:H,2,2)</f>
        <v>Luis</v>
      </c>
      <c r="O991" s="2"/>
      <c r="P991" s="16">
        <v>4200</v>
      </c>
      <c r="Q991" s="2">
        <f>VLOOKUP(B991,'Cadastro Produtos'!A:F,5,2)</f>
        <v>12</v>
      </c>
      <c r="R991" s="14">
        <f t="shared" si="75"/>
        <v>50400</v>
      </c>
    </row>
    <row r="992" spans="1:18" x14ac:dyDescent="0.25">
      <c r="A992">
        <v>991</v>
      </c>
      <c r="B992">
        <v>5</v>
      </c>
      <c r="C992" t="str">
        <f>VLOOKUP(B992,'Cadastro Produtos'!A:E,2,2)</f>
        <v>Limonada Alfa com Açúcar 1 L</v>
      </c>
      <c r="D992">
        <v>1</v>
      </c>
      <c r="E992" t="str">
        <f>VLOOKUP(D992,'Cadatro Clientes'!A:O,2,2)</f>
        <v>Meu Suco de Limão</v>
      </c>
      <c r="F992" t="str">
        <f>VLOOKUP(D992,'Cadatro Clientes'!A:O,9,2)</f>
        <v>Norte</v>
      </c>
      <c r="G992" s="15">
        <v>42008</v>
      </c>
      <c r="H992">
        <f t="shared" si="76"/>
        <v>1</v>
      </c>
      <c r="I992">
        <f t="shared" si="77"/>
        <v>4</v>
      </c>
      <c r="J992">
        <f t="shared" si="78"/>
        <v>1</v>
      </c>
      <c r="K992">
        <f t="shared" si="79"/>
        <v>2015</v>
      </c>
      <c r="M992">
        <v>13</v>
      </c>
      <c r="N992" t="str">
        <f>VLOOKUP(M992,'Cadastro Vendedores'!A:H,2,2)</f>
        <v>Andre</v>
      </c>
      <c r="O992" s="2"/>
      <c r="P992" s="16">
        <v>1500</v>
      </c>
      <c r="Q992" s="2">
        <f>VLOOKUP(B992,'Cadastro Produtos'!A:F,5,2)</f>
        <v>15</v>
      </c>
      <c r="R992" s="14">
        <f t="shared" si="75"/>
        <v>22500</v>
      </c>
    </row>
    <row r="993" spans="1:18" x14ac:dyDescent="0.25">
      <c r="A993">
        <v>992</v>
      </c>
      <c r="B993">
        <v>2</v>
      </c>
      <c r="C993" t="str">
        <f>VLOOKUP(B993,'Cadastro Produtos'!A:E,2,2)</f>
        <v>Limonada Beta com Açúcar 500 ml</v>
      </c>
      <c r="D993">
        <v>6</v>
      </c>
      <c r="E993" t="str">
        <f>VLOOKUP(D993,'Cadatro Clientes'!A:O,2,2)</f>
        <v>Lemonade</v>
      </c>
      <c r="F993" t="str">
        <f>VLOOKUP(D993,'Cadatro Clientes'!A:O,9,2)</f>
        <v>Norte</v>
      </c>
      <c r="G993" s="15">
        <v>42008</v>
      </c>
      <c r="H993">
        <f t="shared" si="76"/>
        <v>1</v>
      </c>
      <c r="I993">
        <f t="shared" si="77"/>
        <v>4</v>
      </c>
      <c r="J993">
        <f t="shared" si="78"/>
        <v>1</v>
      </c>
      <c r="K993">
        <f t="shared" si="79"/>
        <v>2015</v>
      </c>
      <c r="M993">
        <v>12</v>
      </c>
      <c r="N993" t="str">
        <f>VLOOKUP(M993,'Cadastro Vendedores'!A:H,2,2)</f>
        <v>Paulo</v>
      </c>
      <c r="O993" s="2"/>
      <c r="P993" s="16">
        <v>9100</v>
      </c>
      <c r="Q993" s="2">
        <f>VLOOKUP(B993,'Cadastro Produtos'!A:F,5,2)</f>
        <v>6.5</v>
      </c>
      <c r="R993" s="14">
        <f t="shared" si="75"/>
        <v>59150</v>
      </c>
    </row>
    <row r="994" spans="1:18" x14ac:dyDescent="0.25">
      <c r="A994">
        <v>993</v>
      </c>
      <c r="B994">
        <v>9</v>
      </c>
      <c r="C994" t="str">
        <f>VLOOKUP(B994,'Cadastro Produtos'!A:E,2,2)</f>
        <v>Limonada Alfa com Hortelã e Açúcar 1 L</v>
      </c>
      <c r="D994">
        <v>10</v>
      </c>
      <c r="E994" t="str">
        <f>VLOOKUP(D994,'Cadatro Clientes'!A:O,2,2)</f>
        <v>Lemon Gator</v>
      </c>
      <c r="F994" t="str">
        <f>VLOOKUP(D994,'Cadatro Clientes'!A:O,9,2)</f>
        <v>Nordeste</v>
      </c>
      <c r="G994" s="15">
        <v>42008</v>
      </c>
      <c r="H994">
        <f t="shared" si="76"/>
        <v>1</v>
      </c>
      <c r="I994">
        <f t="shared" si="77"/>
        <v>4</v>
      </c>
      <c r="J994">
        <f t="shared" si="78"/>
        <v>1</v>
      </c>
      <c r="K994">
        <f t="shared" si="79"/>
        <v>2015</v>
      </c>
      <c r="M994">
        <v>13</v>
      </c>
      <c r="N994" t="str">
        <f>VLOOKUP(M994,'Cadastro Vendedores'!A:H,2,2)</f>
        <v>Andre</v>
      </c>
      <c r="O994" s="2"/>
      <c r="P994" s="16">
        <v>2300</v>
      </c>
      <c r="Q994" s="2">
        <f>VLOOKUP(B994,'Cadastro Produtos'!A:F,5,2)</f>
        <v>17.5</v>
      </c>
      <c r="R994" s="14">
        <f t="shared" si="75"/>
        <v>40250</v>
      </c>
    </row>
    <row r="995" spans="1:18" x14ac:dyDescent="0.25">
      <c r="A995">
        <v>994</v>
      </c>
      <c r="B995">
        <v>2</v>
      </c>
      <c r="C995" t="str">
        <f>VLOOKUP(B995,'Cadastro Produtos'!A:E,2,2)</f>
        <v>Limonada Beta com Açúcar 500 ml</v>
      </c>
      <c r="D995">
        <v>4</v>
      </c>
      <c r="E995" t="str">
        <f>VLOOKUP(D995,'Cadatro Clientes'!A:O,2,2)</f>
        <v>Limão Carioca e Cia</v>
      </c>
      <c r="F995" t="str">
        <f>VLOOKUP(D995,'Cadatro Clientes'!A:O,9,2)</f>
        <v>Sudeste</v>
      </c>
      <c r="G995" s="15">
        <v>42009</v>
      </c>
      <c r="H995">
        <f t="shared" si="76"/>
        <v>2</v>
      </c>
      <c r="I995">
        <f t="shared" si="77"/>
        <v>5</v>
      </c>
      <c r="J995">
        <f t="shared" si="78"/>
        <v>1</v>
      </c>
      <c r="K995">
        <f t="shared" si="79"/>
        <v>2015</v>
      </c>
      <c r="M995">
        <v>7</v>
      </c>
      <c r="N995" t="str">
        <f>VLOOKUP(M995,'Cadastro Vendedores'!A:H,2,2)</f>
        <v>Benedito</v>
      </c>
      <c r="O995" s="2"/>
      <c r="P995" s="16">
        <v>10000</v>
      </c>
      <c r="Q995" s="2">
        <f>VLOOKUP(B995,'Cadastro Produtos'!A:F,5,2)</f>
        <v>6.5</v>
      </c>
      <c r="R995" s="14">
        <f t="shared" si="75"/>
        <v>65000</v>
      </c>
    </row>
    <row r="996" spans="1:18" x14ac:dyDescent="0.25">
      <c r="A996">
        <v>995</v>
      </c>
      <c r="B996">
        <v>8</v>
      </c>
      <c r="C996" t="str">
        <f>VLOOKUP(B996,'Cadastro Produtos'!A:E,2,2)</f>
        <v>Limonada Beta Zero 1 L</v>
      </c>
      <c r="D996">
        <v>6</v>
      </c>
      <c r="E996" t="str">
        <f>VLOOKUP(D996,'Cadatro Clientes'!A:O,2,2)</f>
        <v>Lemonade</v>
      </c>
      <c r="F996" t="str">
        <f>VLOOKUP(D996,'Cadatro Clientes'!A:O,9,2)</f>
        <v>Norte</v>
      </c>
      <c r="G996" s="15">
        <v>42010</v>
      </c>
      <c r="H996">
        <f t="shared" si="76"/>
        <v>3</v>
      </c>
      <c r="I996">
        <f t="shared" si="77"/>
        <v>6</v>
      </c>
      <c r="J996">
        <f t="shared" si="78"/>
        <v>1</v>
      </c>
      <c r="K996">
        <f t="shared" si="79"/>
        <v>2015</v>
      </c>
      <c r="M996">
        <v>13</v>
      </c>
      <c r="N996" t="str">
        <f>VLOOKUP(M996,'Cadastro Vendedores'!A:H,2,2)</f>
        <v>Andre</v>
      </c>
      <c r="O996" s="2"/>
      <c r="P996" s="16">
        <v>2500</v>
      </c>
      <c r="Q996" s="2">
        <f>VLOOKUP(B996,'Cadastro Produtos'!A:F,5,2)</f>
        <v>12</v>
      </c>
      <c r="R996" s="14">
        <f t="shared" si="75"/>
        <v>30000</v>
      </c>
    </row>
    <row r="997" spans="1:18" x14ac:dyDescent="0.25">
      <c r="A997">
        <v>996</v>
      </c>
      <c r="B997">
        <v>1</v>
      </c>
      <c r="C997" t="str">
        <f>VLOOKUP(B997,'Cadastro Produtos'!A:E,2,2)</f>
        <v>Limonada Alfa com Açúcar 500 ml</v>
      </c>
      <c r="D997">
        <v>13</v>
      </c>
      <c r="E997" t="str">
        <f>VLOOKUP(D997,'Cadatro Clientes'!A:O,2,2)</f>
        <v>Monster Lemon</v>
      </c>
      <c r="F997" t="str">
        <f>VLOOKUP(D997,'Cadatro Clientes'!A:O,9,2)</f>
        <v>Nordeste</v>
      </c>
      <c r="G997" s="15">
        <v>42010</v>
      </c>
      <c r="H997">
        <f t="shared" si="76"/>
        <v>3</v>
      </c>
      <c r="I997">
        <f t="shared" si="77"/>
        <v>6</v>
      </c>
      <c r="J997">
        <f t="shared" si="78"/>
        <v>1</v>
      </c>
      <c r="K997">
        <f t="shared" si="79"/>
        <v>2015</v>
      </c>
      <c r="M997">
        <v>6</v>
      </c>
      <c r="N997" t="str">
        <f>VLOOKUP(M997,'Cadastro Vendedores'!A:H,2,2)</f>
        <v>Antônia</v>
      </c>
      <c r="O997" s="2"/>
      <c r="P997" s="16">
        <v>5800</v>
      </c>
      <c r="Q997" s="2">
        <f>VLOOKUP(B997,'Cadastro Produtos'!A:F,5,2)</f>
        <v>8.5</v>
      </c>
      <c r="R997" s="14">
        <f t="shared" si="75"/>
        <v>49300</v>
      </c>
    </row>
    <row r="998" spans="1:18" x14ac:dyDescent="0.25">
      <c r="A998">
        <v>997</v>
      </c>
      <c r="B998">
        <v>2</v>
      </c>
      <c r="C998" t="str">
        <f>VLOOKUP(B998,'Cadastro Produtos'!A:E,2,2)</f>
        <v>Limonada Beta com Açúcar 500 ml</v>
      </c>
      <c r="D998">
        <v>9</v>
      </c>
      <c r="E998" t="str">
        <f>VLOOKUP(D998,'Cadatro Clientes'!A:O,2,2)</f>
        <v>Fresh Lemon</v>
      </c>
      <c r="F998" t="str">
        <f>VLOOKUP(D998,'Cadatro Clientes'!A:O,9,2)</f>
        <v>Sudeste</v>
      </c>
      <c r="G998" s="15">
        <v>42010</v>
      </c>
      <c r="H998">
        <f t="shared" si="76"/>
        <v>3</v>
      </c>
      <c r="I998">
        <f t="shared" si="77"/>
        <v>6</v>
      </c>
      <c r="J998">
        <f t="shared" si="78"/>
        <v>1</v>
      </c>
      <c r="K998">
        <f t="shared" si="79"/>
        <v>2015</v>
      </c>
      <c r="M998">
        <v>4</v>
      </c>
      <c r="N998" t="str">
        <f>VLOOKUP(M998,'Cadastro Vendedores'!A:H,2,2)</f>
        <v>José</v>
      </c>
      <c r="O998" s="2"/>
      <c r="P998" s="16">
        <v>3400</v>
      </c>
      <c r="Q998" s="2">
        <f>VLOOKUP(B998,'Cadastro Produtos'!A:F,5,2)</f>
        <v>6.5</v>
      </c>
      <c r="R998" s="14">
        <f t="shared" si="75"/>
        <v>22100</v>
      </c>
    </row>
    <row r="999" spans="1:18" x14ac:dyDescent="0.25">
      <c r="A999">
        <v>998</v>
      </c>
      <c r="B999">
        <v>8</v>
      </c>
      <c r="C999" t="str">
        <f>VLOOKUP(B999,'Cadastro Produtos'!A:E,2,2)</f>
        <v>Limonada Beta Zero 1 L</v>
      </c>
      <c r="D999">
        <v>11</v>
      </c>
      <c r="E999" t="str">
        <f>VLOOKUP(D999,'Cadatro Clientes'!A:O,2,2)</f>
        <v>Red Lemon</v>
      </c>
      <c r="F999" t="str">
        <f>VLOOKUP(D999,'Cadatro Clientes'!A:O,9,2)</f>
        <v>Sul</v>
      </c>
      <c r="G999" s="15">
        <v>42011</v>
      </c>
      <c r="H999">
        <f t="shared" si="76"/>
        <v>4</v>
      </c>
      <c r="I999">
        <f t="shared" si="77"/>
        <v>7</v>
      </c>
      <c r="J999">
        <f t="shared" si="78"/>
        <v>1</v>
      </c>
      <c r="K999">
        <f t="shared" si="79"/>
        <v>2015</v>
      </c>
      <c r="M999">
        <v>6</v>
      </c>
      <c r="N999" t="str">
        <f>VLOOKUP(M999,'Cadastro Vendedores'!A:H,2,2)</f>
        <v>Antônia</v>
      </c>
      <c r="O999" s="2"/>
      <c r="P999" s="16">
        <v>3300</v>
      </c>
      <c r="Q999" s="2">
        <f>VLOOKUP(B999,'Cadastro Produtos'!A:F,5,2)</f>
        <v>12</v>
      </c>
      <c r="R999" s="14">
        <f t="shared" si="75"/>
        <v>39600</v>
      </c>
    </row>
    <row r="1000" spans="1:18" x14ac:dyDescent="0.25">
      <c r="A1000">
        <v>999</v>
      </c>
      <c r="B1000">
        <v>2</v>
      </c>
      <c r="C1000" t="str">
        <f>VLOOKUP(B1000,'Cadastro Produtos'!A:E,2,2)</f>
        <v>Limonada Beta com Açúcar 500 ml</v>
      </c>
      <c r="D1000">
        <v>11</v>
      </c>
      <c r="E1000" t="str">
        <f>VLOOKUP(D1000,'Cadatro Clientes'!A:O,2,2)</f>
        <v>Red Lemon</v>
      </c>
      <c r="F1000" t="str">
        <f>VLOOKUP(D1000,'Cadatro Clientes'!A:O,9,2)</f>
        <v>Sul</v>
      </c>
      <c r="G1000" s="15">
        <v>42011</v>
      </c>
      <c r="H1000">
        <f t="shared" si="76"/>
        <v>4</v>
      </c>
      <c r="I1000">
        <f t="shared" si="77"/>
        <v>7</v>
      </c>
      <c r="J1000">
        <f t="shared" si="78"/>
        <v>1</v>
      </c>
      <c r="K1000">
        <f t="shared" si="79"/>
        <v>2015</v>
      </c>
      <c r="M1000">
        <v>6</v>
      </c>
      <c r="N1000" t="str">
        <f>VLOOKUP(M1000,'Cadastro Vendedores'!A:H,2,2)</f>
        <v>Antônia</v>
      </c>
      <c r="O1000" s="2"/>
      <c r="P1000" s="16">
        <v>9300</v>
      </c>
      <c r="Q1000" s="2">
        <f>VLOOKUP(B1000,'Cadastro Produtos'!A:F,5,2)</f>
        <v>6.5</v>
      </c>
      <c r="R1000" s="14">
        <f t="shared" si="75"/>
        <v>60450</v>
      </c>
    </row>
    <row r="1001" spans="1:18" x14ac:dyDescent="0.25">
      <c r="A1001">
        <v>1000</v>
      </c>
      <c r="B1001">
        <v>9</v>
      </c>
      <c r="C1001" t="str">
        <f>VLOOKUP(B1001,'Cadastro Produtos'!A:E,2,2)</f>
        <v>Limonada Alfa com Hortelã e Açúcar 1 L</v>
      </c>
      <c r="D1001">
        <v>5</v>
      </c>
      <c r="E1001" t="str">
        <f>VLOOKUP(D1001,'Cadatro Clientes'!A:O,2,2)</f>
        <v>Axé com Limão</v>
      </c>
      <c r="F1001" t="str">
        <f>VLOOKUP(D1001,'Cadatro Clientes'!A:O,9,2)</f>
        <v>Nordeste</v>
      </c>
      <c r="G1001" s="15">
        <v>42011</v>
      </c>
      <c r="H1001">
        <f t="shared" si="76"/>
        <v>4</v>
      </c>
      <c r="I1001">
        <f t="shared" si="77"/>
        <v>7</v>
      </c>
      <c r="J1001">
        <f t="shared" si="78"/>
        <v>1</v>
      </c>
      <c r="K1001">
        <f t="shared" si="79"/>
        <v>2015</v>
      </c>
      <c r="M1001">
        <v>15</v>
      </c>
      <c r="N1001" t="str">
        <f>VLOOKUP(M1001,'Cadastro Vendedores'!A:H,2,2)</f>
        <v>Luis</v>
      </c>
      <c r="O1001" s="2"/>
      <c r="P1001" s="16">
        <v>800</v>
      </c>
      <c r="Q1001" s="2">
        <f>VLOOKUP(B1001,'Cadastro Produtos'!A:F,5,2)</f>
        <v>17.5</v>
      </c>
      <c r="R1001" s="14">
        <f t="shared" si="75"/>
        <v>14000</v>
      </c>
    </row>
    <row r="1002" spans="1:18" x14ac:dyDescent="0.25">
      <c r="A1002">
        <v>1001</v>
      </c>
      <c r="B1002">
        <v>9</v>
      </c>
      <c r="C1002" t="str">
        <f>VLOOKUP(B1002,'Cadastro Produtos'!A:E,2,2)</f>
        <v>Limonada Alfa com Hortelã e Açúcar 1 L</v>
      </c>
      <c r="D1002">
        <v>8</v>
      </c>
      <c r="E1002" t="str">
        <f>VLOOKUP(D1002,'Cadatro Clientes'!A:O,2,2)</f>
        <v>Refresko</v>
      </c>
      <c r="F1002" t="str">
        <f>VLOOKUP(D1002,'Cadatro Clientes'!A:O,9,2)</f>
        <v>Sul</v>
      </c>
      <c r="G1002" s="15">
        <v>42012</v>
      </c>
      <c r="H1002">
        <f t="shared" si="76"/>
        <v>5</v>
      </c>
      <c r="I1002">
        <f t="shared" si="77"/>
        <v>8</v>
      </c>
      <c r="J1002">
        <f t="shared" si="78"/>
        <v>1</v>
      </c>
      <c r="K1002">
        <f t="shared" si="79"/>
        <v>2015</v>
      </c>
      <c r="M1002">
        <v>8</v>
      </c>
      <c r="N1002" t="str">
        <f>VLOOKUP(M1002,'Cadastro Vendedores'!A:H,2,2)</f>
        <v>Sérgio</v>
      </c>
      <c r="O1002" s="2"/>
      <c r="P1002" s="16">
        <v>1600</v>
      </c>
      <c r="Q1002" s="2">
        <f>VLOOKUP(B1002,'Cadastro Produtos'!A:F,5,2)</f>
        <v>17.5</v>
      </c>
      <c r="R1002" s="14">
        <f t="shared" si="75"/>
        <v>28000</v>
      </c>
    </row>
    <row r="1003" spans="1:18" x14ac:dyDescent="0.25">
      <c r="A1003">
        <v>1002</v>
      </c>
      <c r="B1003">
        <v>10</v>
      </c>
      <c r="C1003" t="str">
        <f>VLOOKUP(B1003,'Cadastro Produtos'!A:E,2,2)</f>
        <v>Limonada Alfa com Hortelã Zero 1 L</v>
      </c>
      <c r="D1003">
        <v>18</v>
      </c>
      <c r="E1003" t="str">
        <f>VLOOKUP(D1003,'Cadatro Clientes'!A:O,2,2)</f>
        <v>Rio Branco Limonada Ltda</v>
      </c>
      <c r="F1003" t="str">
        <f>VLOOKUP(D1003,'Cadatro Clientes'!A:O,9,2)</f>
        <v>Norte</v>
      </c>
      <c r="G1003" s="15">
        <v>42012</v>
      </c>
      <c r="H1003">
        <f t="shared" si="76"/>
        <v>5</v>
      </c>
      <c r="I1003">
        <f t="shared" si="77"/>
        <v>8</v>
      </c>
      <c r="J1003">
        <f t="shared" si="78"/>
        <v>1</v>
      </c>
      <c r="K1003">
        <f t="shared" si="79"/>
        <v>2015</v>
      </c>
      <c r="M1003">
        <v>9</v>
      </c>
      <c r="N1003" t="str">
        <f>VLOOKUP(M1003,'Cadastro Vendedores'!A:H,2,2)</f>
        <v>Adriana</v>
      </c>
      <c r="O1003" s="2"/>
      <c r="P1003" s="16">
        <v>2900</v>
      </c>
      <c r="Q1003" s="2">
        <f>VLOOKUP(B1003,'Cadastro Produtos'!A:F,5,2)</f>
        <v>21</v>
      </c>
      <c r="R1003" s="14">
        <f t="shared" si="75"/>
        <v>60900</v>
      </c>
    </row>
    <row r="1004" spans="1:18" x14ac:dyDescent="0.25">
      <c r="A1004">
        <v>1003</v>
      </c>
      <c r="B1004">
        <v>6</v>
      </c>
      <c r="C1004" t="str">
        <f>VLOOKUP(B1004,'Cadastro Produtos'!A:E,2,2)</f>
        <v>Limonada Beta com Açúcar 1 L</v>
      </c>
      <c r="D1004">
        <v>13</v>
      </c>
      <c r="E1004" t="str">
        <f>VLOOKUP(D1004,'Cadatro Clientes'!A:O,2,2)</f>
        <v>Monster Lemon</v>
      </c>
      <c r="F1004" t="str">
        <f>VLOOKUP(D1004,'Cadatro Clientes'!A:O,9,2)</f>
        <v>Nordeste</v>
      </c>
      <c r="G1004" s="15">
        <v>42012</v>
      </c>
      <c r="H1004">
        <f t="shared" si="76"/>
        <v>5</v>
      </c>
      <c r="I1004">
        <f t="shared" si="77"/>
        <v>8</v>
      </c>
      <c r="J1004">
        <f t="shared" si="78"/>
        <v>1</v>
      </c>
      <c r="K1004">
        <f t="shared" si="79"/>
        <v>2015</v>
      </c>
      <c r="M1004">
        <v>16</v>
      </c>
      <c r="N1004" t="str">
        <f>VLOOKUP(M1004,'Cadastro Vendedores'!A:H,2,2)</f>
        <v>Jose</v>
      </c>
      <c r="O1004" s="2"/>
      <c r="P1004" s="16">
        <v>1700</v>
      </c>
      <c r="Q1004" s="2">
        <f>VLOOKUP(B1004,'Cadastro Produtos'!A:F,5,2)</f>
        <v>12</v>
      </c>
      <c r="R1004" s="14">
        <f t="shared" si="75"/>
        <v>20400</v>
      </c>
    </row>
    <row r="1005" spans="1:18" x14ac:dyDescent="0.25">
      <c r="A1005">
        <v>1004</v>
      </c>
      <c r="B1005">
        <v>8</v>
      </c>
      <c r="C1005" t="str">
        <f>VLOOKUP(B1005,'Cadastro Produtos'!A:E,2,2)</f>
        <v>Limonada Beta Zero 1 L</v>
      </c>
      <c r="D1005">
        <v>11</v>
      </c>
      <c r="E1005" t="str">
        <f>VLOOKUP(D1005,'Cadatro Clientes'!A:O,2,2)</f>
        <v>Red Lemon</v>
      </c>
      <c r="F1005" t="str">
        <f>VLOOKUP(D1005,'Cadatro Clientes'!A:O,9,2)</f>
        <v>Sul</v>
      </c>
      <c r="G1005" s="15">
        <v>42012</v>
      </c>
      <c r="H1005">
        <f t="shared" si="76"/>
        <v>5</v>
      </c>
      <c r="I1005">
        <f t="shared" si="77"/>
        <v>8</v>
      </c>
      <c r="J1005">
        <f t="shared" si="78"/>
        <v>1</v>
      </c>
      <c r="K1005">
        <f t="shared" si="79"/>
        <v>2015</v>
      </c>
      <c r="M1005">
        <v>13</v>
      </c>
      <c r="N1005" t="str">
        <f>VLOOKUP(M1005,'Cadastro Vendedores'!A:H,2,2)</f>
        <v>Andre</v>
      </c>
      <c r="O1005" s="2"/>
      <c r="P1005" s="16">
        <v>3900</v>
      </c>
      <c r="Q1005" s="2">
        <f>VLOOKUP(B1005,'Cadastro Produtos'!A:F,5,2)</f>
        <v>12</v>
      </c>
      <c r="R1005" s="14">
        <f t="shared" si="75"/>
        <v>46800</v>
      </c>
    </row>
    <row r="1006" spans="1:18" x14ac:dyDescent="0.25">
      <c r="A1006">
        <v>1005</v>
      </c>
      <c r="B1006">
        <v>5</v>
      </c>
      <c r="C1006" t="str">
        <f>VLOOKUP(B1006,'Cadastro Produtos'!A:E,2,2)</f>
        <v>Limonada Alfa com Açúcar 1 L</v>
      </c>
      <c r="D1006">
        <v>1</v>
      </c>
      <c r="E1006" t="str">
        <f>VLOOKUP(D1006,'Cadatro Clientes'!A:O,2,2)</f>
        <v>Meu Suco de Limão</v>
      </c>
      <c r="F1006" t="str">
        <f>VLOOKUP(D1006,'Cadatro Clientes'!A:O,9,2)</f>
        <v>Norte</v>
      </c>
      <c r="G1006" s="15">
        <v>42013</v>
      </c>
      <c r="H1006">
        <f t="shared" si="76"/>
        <v>6</v>
      </c>
      <c r="I1006">
        <f t="shared" si="77"/>
        <v>9</v>
      </c>
      <c r="J1006">
        <f t="shared" si="78"/>
        <v>1</v>
      </c>
      <c r="K1006">
        <f t="shared" si="79"/>
        <v>2015</v>
      </c>
      <c r="M1006">
        <v>16</v>
      </c>
      <c r="N1006" t="str">
        <f>VLOOKUP(M1006,'Cadastro Vendedores'!A:H,2,2)</f>
        <v>Jose</v>
      </c>
      <c r="O1006" s="2"/>
      <c r="P1006" s="16">
        <v>1800</v>
      </c>
      <c r="Q1006" s="2">
        <f>VLOOKUP(B1006,'Cadastro Produtos'!A:F,5,2)</f>
        <v>15</v>
      </c>
      <c r="R1006" s="14">
        <f t="shared" si="75"/>
        <v>27000</v>
      </c>
    </row>
    <row r="1007" spans="1:18" x14ac:dyDescent="0.25">
      <c r="A1007">
        <v>1006</v>
      </c>
      <c r="B1007">
        <v>3</v>
      </c>
      <c r="C1007" t="str">
        <f>VLOOKUP(B1007,'Cadastro Produtos'!A:E,2,2)</f>
        <v>Limonada Alfa Zero 500 ml</v>
      </c>
      <c r="D1007">
        <v>11</v>
      </c>
      <c r="E1007" t="str">
        <f>VLOOKUP(D1007,'Cadatro Clientes'!A:O,2,2)</f>
        <v>Red Lemon</v>
      </c>
      <c r="F1007" t="str">
        <f>VLOOKUP(D1007,'Cadatro Clientes'!A:O,9,2)</f>
        <v>Sul</v>
      </c>
      <c r="G1007" s="15">
        <v>42013</v>
      </c>
      <c r="H1007">
        <f t="shared" si="76"/>
        <v>6</v>
      </c>
      <c r="I1007">
        <f t="shared" si="77"/>
        <v>9</v>
      </c>
      <c r="J1007">
        <f t="shared" si="78"/>
        <v>1</v>
      </c>
      <c r="K1007">
        <f t="shared" si="79"/>
        <v>2015</v>
      </c>
      <c r="M1007">
        <v>6</v>
      </c>
      <c r="N1007" t="str">
        <f>VLOOKUP(M1007,'Cadastro Vendedores'!A:H,2,2)</f>
        <v>Antônia</v>
      </c>
      <c r="O1007" s="2"/>
      <c r="P1007" s="16">
        <v>4200</v>
      </c>
      <c r="Q1007" s="2">
        <f>VLOOKUP(B1007,'Cadastro Produtos'!A:F,5,2)</f>
        <v>9</v>
      </c>
      <c r="R1007" s="14">
        <f t="shared" si="75"/>
        <v>37800</v>
      </c>
    </row>
    <row r="1008" spans="1:18" x14ac:dyDescent="0.25">
      <c r="A1008">
        <v>1007</v>
      </c>
      <c r="B1008">
        <v>7</v>
      </c>
      <c r="C1008" t="str">
        <f>VLOOKUP(B1008,'Cadastro Produtos'!A:E,2,2)</f>
        <v>Limonada Alfa Zero 1 L</v>
      </c>
      <c r="D1008">
        <v>13</v>
      </c>
      <c r="E1008" t="str">
        <f>VLOOKUP(D1008,'Cadatro Clientes'!A:O,2,2)</f>
        <v>Monster Lemon</v>
      </c>
      <c r="F1008" t="str">
        <f>VLOOKUP(D1008,'Cadatro Clientes'!A:O,9,2)</f>
        <v>Nordeste</v>
      </c>
      <c r="G1008" s="15">
        <v>42013</v>
      </c>
      <c r="H1008">
        <f t="shared" si="76"/>
        <v>6</v>
      </c>
      <c r="I1008">
        <f t="shared" si="77"/>
        <v>9</v>
      </c>
      <c r="J1008">
        <f t="shared" si="78"/>
        <v>1</v>
      </c>
      <c r="K1008">
        <f t="shared" si="79"/>
        <v>2015</v>
      </c>
      <c r="M1008">
        <v>12</v>
      </c>
      <c r="N1008" t="str">
        <f>VLOOKUP(M1008,'Cadastro Vendedores'!A:H,2,2)</f>
        <v>Paulo</v>
      </c>
      <c r="O1008" s="2"/>
      <c r="P1008" s="16">
        <v>3500</v>
      </c>
      <c r="Q1008" s="2">
        <f>VLOOKUP(B1008,'Cadastro Produtos'!A:F,5,2)</f>
        <v>15</v>
      </c>
      <c r="R1008" s="14">
        <f t="shared" si="75"/>
        <v>52500</v>
      </c>
    </row>
    <row r="1009" spans="1:18" x14ac:dyDescent="0.25">
      <c r="A1009">
        <v>1008</v>
      </c>
      <c r="B1009">
        <v>7</v>
      </c>
      <c r="C1009" t="str">
        <f>VLOOKUP(B1009,'Cadastro Produtos'!A:E,2,2)</f>
        <v>Limonada Alfa Zero 1 L</v>
      </c>
      <c r="D1009">
        <v>12</v>
      </c>
      <c r="E1009" t="str">
        <f>VLOOKUP(D1009,'Cadatro Clientes'!A:O,2,2)</f>
        <v>Limão da Ilha</v>
      </c>
      <c r="F1009" t="str">
        <f>VLOOKUP(D1009,'Cadatro Clientes'!A:O,9,2)</f>
        <v>Sul</v>
      </c>
      <c r="G1009" s="15">
        <v>42013</v>
      </c>
      <c r="H1009">
        <f t="shared" si="76"/>
        <v>6</v>
      </c>
      <c r="I1009">
        <f t="shared" si="77"/>
        <v>9</v>
      </c>
      <c r="J1009">
        <f t="shared" si="78"/>
        <v>1</v>
      </c>
      <c r="K1009">
        <f t="shared" si="79"/>
        <v>2015</v>
      </c>
      <c r="M1009">
        <v>15</v>
      </c>
      <c r="N1009" t="str">
        <f>VLOOKUP(M1009,'Cadastro Vendedores'!A:H,2,2)</f>
        <v>Luis</v>
      </c>
      <c r="O1009" s="2"/>
      <c r="P1009" s="16">
        <v>2200</v>
      </c>
      <c r="Q1009" s="2">
        <f>VLOOKUP(B1009,'Cadastro Produtos'!A:F,5,2)</f>
        <v>15</v>
      </c>
      <c r="R1009" s="14">
        <f t="shared" si="75"/>
        <v>33000</v>
      </c>
    </row>
    <row r="1010" spans="1:18" x14ac:dyDescent="0.25">
      <c r="A1010">
        <v>1009</v>
      </c>
      <c r="B1010">
        <v>4</v>
      </c>
      <c r="C1010" t="str">
        <f>VLOOKUP(B1010,'Cadastro Produtos'!A:E,2,2)</f>
        <v>Limonada Beta Zero 500 ml</v>
      </c>
      <c r="D1010">
        <v>5</v>
      </c>
      <c r="E1010" t="str">
        <f>VLOOKUP(D1010,'Cadatro Clientes'!A:O,2,2)</f>
        <v>Axé com Limão</v>
      </c>
      <c r="F1010" t="str">
        <f>VLOOKUP(D1010,'Cadatro Clientes'!A:O,9,2)</f>
        <v>Nordeste</v>
      </c>
      <c r="G1010" s="15">
        <v>42014</v>
      </c>
      <c r="H1010">
        <f t="shared" si="76"/>
        <v>7</v>
      </c>
      <c r="I1010">
        <f t="shared" si="77"/>
        <v>10</v>
      </c>
      <c r="J1010">
        <f t="shared" si="78"/>
        <v>1</v>
      </c>
      <c r="K1010">
        <f t="shared" si="79"/>
        <v>2015</v>
      </c>
      <c r="M1010">
        <v>9</v>
      </c>
      <c r="N1010" t="str">
        <f>VLOOKUP(M1010,'Cadastro Vendedores'!A:H,2,2)</f>
        <v>Adriana</v>
      </c>
      <c r="O1010" s="2"/>
      <c r="P1010" s="16">
        <v>4900</v>
      </c>
      <c r="Q1010" s="2">
        <f>VLOOKUP(B1010,'Cadastro Produtos'!A:F,5,2)</f>
        <v>7</v>
      </c>
      <c r="R1010" s="14">
        <f t="shared" si="75"/>
        <v>34300</v>
      </c>
    </row>
    <row r="1011" spans="1:18" x14ac:dyDescent="0.25">
      <c r="A1011">
        <v>1010</v>
      </c>
      <c r="B1011">
        <v>5</v>
      </c>
      <c r="C1011" t="str">
        <f>VLOOKUP(B1011,'Cadastro Produtos'!A:E,2,2)</f>
        <v>Limonada Alfa com Açúcar 1 L</v>
      </c>
      <c r="D1011">
        <v>9</v>
      </c>
      <c r="E1011" t="str">
        <f>VLOOKUP(D1011,'Cadatro Clientes'!A:O,2,2)</f>
        <v>Fresh Lemon</v>
      </c>
      <c r="F1011" t="str">
        <f>VLOOKUP(D1011,'Cadatro Clientes'!A:O,9,2)</f>
        <v>Sudeste</v>
      </c>
      <c r="G1011" s="15">
        <v>42014</v>
      </c>
      <c r="H1011">
        <f t="shared" si="76"/>
        <v>7</v>
      </c>
      <c r="I1011">
        <f t="shared" si="77"/>
        <v>10</v>
      </c>
      <c r="J1011">
        <f t="shared" si="78"/>
        <v>1</v>
      </c>
      <c r="K1011">
        <f t="shared" si="79"/>
        <v>2015</v>
      </c>
      <c r="M1011">
        <v>7</v>
      </c>
      <c r="N1011" t="str">
        <f>VLOOKUP(M1011,'Cadastro Vendedores'!A:H,2,2)</f>
        <v>Benedito</v>
      </c>
      <c r="O1011" s="2"/>
      <c r="P1011" s="16">
        <v>1500</v>
      </c>
      <c r="Q1011" s="2">
        <f>VLOOKUP(B1011,'Cadastro Produtos'!A:F,5,2)</f>
        <v>15</v>
      </c>
      <c r="R1011" s="14">
        <f t="shared" si="75"/>
        <v>22500</v>
      </c>
    </row>
    <row r="1012" spans="1:18" x14ac:dyDescent="0.25">
      <c r="A1012">
        <v>1011</v>
      </c>
      <c r="B1012">
        <v>9</v>
      </c>
      <c r="C1012" t="str">
        <f>VLOOKUP(B1012,'Cadastro Produtos'!A:E,2,2)</f>
        <v>Limonada Alfa com Hortelã e Açúcar 1 L</v>
      </c>
      <c r="D1012">
        <v>20</v>
      </c>
      <c r="E1012" t="str">
        <f>VLOOKUP(D1012,'Cadatro Clientes'!A:O,2,2)</f>
        <v>Brasil Saúde</v>
      </c>
      <c r="F1012" t="str">
        <f>VLOOKUP(D1012,'Cadatro Clientes'!A:O,9,2)</f>
        <v>Nordeste</v>
      </c>
      <c r="G1012" s="15">
        <v>42014</v>
      </c>
      <c r="H1012">
        <f t="shared" si="76"/>
        <v>7</v>
      </c>
      <c r="I1012">
        <f t="shared" si="77"/>
        <v>10</v>
      </c>
      <c r="J1012">
        <f t="shared" si="78"/>
        <v>1</v>
      </c>
      <c r="K1012">
        <f t="shared" si="79"/>
        <v>2015</v>
      </c>
      <c r="M1012">
        <v>6</v>
      </c>
      <c r="N1012" t="str">
        <f>VLOOKUP(M1012,'Cadastro Vendedores'!A:H,2,2)</f>
        <v>Antônia</v>
      </c>
      <c r="O1012" s="2"/>
      <c r="P1012" s="16">
        <v>2200</v>
      </c>
      <c r="Q1012" s="2">
        <f>VLOOKUP(B1012,'Cadastro Produtos'!A:F,5,2)</f>
        <v>17.5</v>
      </c>
      <c r="R1012" s="14">
        <f t="shared" si="75"/>
        <v>38500</v>
      </c>
    </row>
    <row r="1013" spans="1:18" x14ac:dyDescent="0.25">
      <c r="A1013">
        <v>1012</v>
      </c>
      <c r="B1013">
        <v>10</v>
      </c>
      <c r="C1013" t="str">
        <f>VLOOKUP(B1013,'Cadastro Produtos'!A:E,2,2)</f>
        <v>Limonada Alfa com Hortelã Zero 1 L</v>
      </c>
      <c r="D1013">
        <v>17</v>
      </c>
      <c r="E1013" t="str">
        <f>VLOOKUP(D1013,'Cadatro Clientes'!A:O,2,2)</f>
        <v>Aracasuco</v>
      </c>
      <c r="F1013" t="str">
        <f>VLOOKUP(D1013,'Cadatro Clientes'!A:O,9,2)</f>
        <v>Nordeste</v>
      </c>
      <c r="G1013" s="15">
        <v>42014</v>
      </c>
      <c r="H1013">
        <f t="shared" si="76"/>
        <v>7</v>
      </c>
      <c r="I1013">
        <f t="shared" si="77"/>
        <v>10</v>
      </c>
      <c r="J1013">
        <f t="shared" si="78"/>
        <v>1</v>
      </c>
      <c r="K1013">
        <f t="shared" si="79"/>
        <v>2015</v>
      </c>
      <c r="M1013">
        <v>3</v>
      </c>
      <c r="N1013" t="str">
        <f>VLOOKUP(M1013,'Cadastro Vendedores'!A:H,2,2)</f>
        <v>Antônia</v>
      </c>
      <c r="O1013" s="2"/>
      <c r="P1013" s="16">
        <v>1100</v>
      </c>
      <c r="Q1013" s="2">
        <f>VLOOKUP(B1013,'Cadastro Produtos'!A:F,5,2)</f>
        <v>21</v>
      </c>
      <c r="R1013" s="14">
        <f t="shared" si="75"/>
        <v>23100</v>
      </c>
    </row>
    <row r="1014" spans="1:18" x14ac:dyDescent="0.25">
      <c r="A1014">
        <v>1013</v>
      </c>
      <c r="B1014">
        <v>5</v>
      </c>
      <c r="C1014" t="str">
        <f>VLOOKUP(B1014,'Cadastro Produtos'!A:E,2,2)</f>
        <v>Limonada Alfa com Açúcar 1 L</v>
      </c>
      <c r="D1014">
        <v>14</v>
      </c>
      <c r="E1014" t="str">
        <f>VLOOKUP(D1014,'Cadatro Clientes'!A:O,2,2)</f>
        <v>Sprite</v>
      </c>
      <c r="F1014" t="str">
        <f>VLOOKUP(D1014,'Cadatro Clientes'!A:O,9,2)</f>
        <v>Norte</v>
      </c>
      <c r="G1014" s="15">
        <v>42015</v>
      </c>
      <c r="H1014">
        <f t="shared" si="76"/>
        <v>1</v>
      </c>
      <c r="I1014">
        <f t="shared" si="77"/>
        <v>11</v>
      </c>
      <c r="J1014">
        <f t="shared" si="78"/>
        <v>1</v>
      </c>
      <c r="K1014">
        <f t="shared" si="79"/>
        <v>2015</v>
      </c>
      <c r="M1014">
        <v>16</v>
      </c>
      <c r="N1014" t="str">
        <f>VLOOKUP(M1014,'Cadastro Vendedores'!A:H,2,2)</f>
        <v>Jose</v>
      </c>
      <c r="O1014" s="2"/>
      <c r="P1014" s="16">
        <v>2800</v>
      </c>
      <c r="Q1014" s="2">
        <f>VLOOKUP(B1014,'Cadastro Produtos'!A:F,5,2)</f>
        <v>15</v>
      </c>
      <c r="R1014" s="14">
        <f t="shared" si="75"/>
        <v>42000</v>
      </c>
    </row>
    <row r="1015" spans="1:18" x14ac:dyDescent="0.25">
      <c r="A1015">
        <v>1014</v>
      </c>
      <c r="B1015">
        <v>10</v>
      </c>
      <c r="C1015" t="str">
        <f>VLOOKUP(B1015,'Cadastro Produtos'!A:E,2,2)</f>
        <v>Limonada Alfa com Hortelã Zero 1 L</v>
      </c>
      <c r="D1015">
        <v>11</v>
      </c>
      <c r="E1015" t="str">
        <f>VLOOKUP(D1015,'Cadatro Clientes'!A:O,2,2)</f>
        <v>Red Lemon</v>
      </c>
      <c r="F1015" t="str">
        <f>VLOOKUP(D1015,'Cadatro Clientes'!A:O,9,2)</f>
        <v>Sul</v>
      </c>
      <c r="G1015" s="15">
        <v>42015</v>
      </c>
      <c r="H1015">
        <f t="shared" si="76"/>
        <v>1</v>
      </c>
      <c r="I1015">
        <f t="shared" si="77"/>
        <v>11</v>
      </c>
      <c r="J1015">
        <f t="shared" si="78"/>
        <v>1</v>
      </c>
      <c r="K1015">
        <f t="shared" si="79"/>
        <v>2015</v>
      </c>
      <c r="M1015">
        <v>4</v>
      </c>
      <c r="N1015" t="str">
        <f>VLOOKUP(M1015,'Cadastro Vendedores'!A:H,2,2)</f>
        <v>José</v>
      </c>
      <c r="O1015" s="2"/>
      <c r="P1015" s="16">
        <v>900</v>
      </c>
      <c r="Q1015" s="2">
        <f>VLOOKUP(B1015,'Cadastro Produtos'!A:F,5,2)</f>
        <v>21</v>
      </c>
      <c r="R1015" s="14">
        <f t="shared" si="75"/>
        <v>18900</v>
      </c>
    </row>
    <row r="1016" spans="1:18" x14ac:dyDescent="0.25">
      <c r="A1016">
        <v>1015</v>
      </c>
      <c r="B1016">
        <v>1</v>
      </c>
      <c r="C1016" t="str">
        <f>VLOOKUP(B1016,'Cadastro Produtos'!A:E,2,2)</f>
        <v>Limonada Alfa com Açúcar 500 ml</v>
      </c>
      <c r="D1016">
        <v>11</v>
      </c>
      <c r="E1016" t="str">
        <f>VLOOKUP(D1016,'Cadatro Clientes'!A:O,2,2)</f>
        <v>Red Lemon</v>
      </c>
      <c r="F1016" t="str">
        <f>VLOOKUP(D1016,'Cadatro Clientes'!A:O,9,2)</f>
        <v>Sul</v>
      </c>
      <c r="G1016" s="15">
        <v>42015</v>
      </c>
      <c r="H1016">
        <f t="shared" si="76"/>
        <v>1</v>
      </c>
      <c r="I1016">
        <f t="shared" si="77"/>
        <v>11</v>
      </c>
      <c r="J1016">
        <f t="shared" si="78"/>
        <v>1</v>
      </c>
      <c r="K1016">
        <f t="shared" si="79"/>
        <v>2015</v>
      </c>
      <c r="M1016">
        <v>15</v>
      </c>
      <c r="N1016" t="str">
        <f>VLOOKUP(M1016,'Cadastro Vendedores'!A:H,2,2)</f>
        <v>Luis</v>
      </c>
      <c r="O1016" s="2"/>
      <c r="P1016" s="16">
        <v>8300</v>
      </c>
      <c r="Q1016" s="2">
        <f>VLOOKUP(B1016,'Cadastro Produtos'!A:F,5,2)</f>
        <v>8.5</v>
      </c>
      <c r="R1016" s="14">
        <f t="shared" si="75"/>
        <v>70550</v>
      </c>
    </row>
    <row r="1017" spans="1:18" x14ac:dyDescent="0.25">
      <c r="A1017">
        <v>1016</v>
      </c>
      <c r="B1017">
        <v>7</v>
      </c>
      <c r="C1017" t="str">
        <f>VLOOKUP(B1017,'Cadastro Produtos'!A:E,2,2)</f>
        <v>Limonada Alfa Zero 1 L</v>
      </c>
      <c r="D1017">
        <v>17</v>
      </c>
      <c r="E1017" t="str">
        <f>VLOOKUP(D1017,'Cadatro Clientes'!A:O,2,2)</f>
        <v>Aracasuco</v>
      </c>
      <c r="F1017" t="str">
        <f>VLOOKUP(D1017,'Cadatro Clientes'!A:O,9,2)</f>
        <v>Nordeste</v>
      </c>
      <c r="G1017" s="15">
        <v>42016</v>
      </c>
      <c r="H1017">
        <f t="shared" si="76"/>
        <v>2</v>
      </c>
      <c r="I1017">
        <f t="shared" si="77"/>
        <v>12</v>
      </c>
      <c r="J1017">
        <f t="shared" si="78"/>
        <v>1</v>
      </c>
      <c r="K1017">
        <f t="shared" si="79"/>
        <v>2015</v>
      </c>
      <c r="M1017">
        <v>2</v>
      </c>
      <c r="N1017" t="str">
        <f>VLOOKUP(M1017,'Cadastro Vendedores'!A:H,2,2)</f>
        <v>Luis</v>
      </c>
      <c r="O1017" s="2"/>
      <c r="P1017" s="16">
        <v>1600</v>
      </c>
      <c r="Q1017" s="2">
        <f>VLOOKUP(B1017,'Cadastro Produtos'!A:F,5,2)</f>
        <v>15</v>
      </c>
      <c r="R1017" s="14">
        <f t="shared" si="75"/>
        <v>24000</v>
      </c>
    </row>
    <row r="1018" spans="1:18" x14ac:dyDescent="0.25">
      <c r="A1018">
        <v>1017</v>
      </c>
      <c r="B1018">
        <v>3</v>
      </c>
      <c r="C1018" t="str">
        <f>VLOOKUP(B1018,'Cadastro Produtos'!A:E,2,2)</f>
        <v>Limonada Alfa Zero 500 ml</v>
      </c>
      <c r="D1018">
        <v>2</v>
      </c>
      <c r="E1018" t="str">
        <f>VLOOKUP(D1018,'Cadatro Clientes'!A:O,2,2)</f>
        <v>Limão S/A</v>
      </c>
      <c r="F1018" t="str">
        <f>VLOOKUP(D1018,'Cadatro Clientes'!A:O,9,2)</f>
        <v>Centro-Oeste</v>
      </c>
      <c r="G1018" s="15">
        <v>42016</v>
      </c>
      <c r="H1018">
        <f t="shared" si="76"/>
        <v>2</v>
      </c>
      <c r="I1018">
        <f t="shared" si="77"/>
        <v>12</v>
      </c>
      <c r="J1018">
        <f t="shared" si="78"/>
        <v>1</v>
      </c>
      <c r="K1018">
        <f t="shared" si="79"/>
        <v>2015</v>
      </c>
      <c r="M1018">
        <v>7</v>
      </c>
      <c r="N1018" t="str">
        <f>VLOOKUP(M1018,'Cadastro Vendedores'!A:H,2,2)</f>
        <v>Benedito</v>
      </c>
      <c r="O1018" s="2"/>
      <c r="P1018" s="16">
        <v>3000</v>
      </c>
      <c r="Q1018" s="2">
        <f>VLOOKUP(B1018,'Cadastro Produtos'!A:F,5,2)</f>
        <v>9</v>
      </c>
      <c r="R1018" s="14">
        <f t="shared" si="75"/>
        <v>27000</v>
      </c>
    </row>
    <row r="1019" spans="1:18" x14ac:dyDescent="0.25">
      <c r="A1019">
        <v>1018</v>
      </c>
      <c r="B1019">
        <v>8</v>
      </c>
      <c r="C1019" t="str">
        <f>VLOOKUP(B1019,'Cadastro Produtos'!A:E,2,2)</f>
        <v>Limonada Beta Zero 1 L</v>
      </c>
      <c r="D1019">
        <v>4</v>
      </c>
      <c r="E1019" t="str">
        <f>VLOOKUP(D1019,'Cadatro Clientes'!A:O,2,2)</f>
        <v>Limão Carioca e Cia</v>
      </c>
      <c r="F1019" t="str">
        <f>VLOOKUP(D1019,'Cadatro Clientes'!A:O,9,2)</f>
        <v>Sudeste</v>
      </c>
      <c r="G1019" s="15">
        <v>42016</v>
      </c>
      <c r="H1019">
        <f t="shared" si="76"/>
        <v>2</v>
      </c>
      <c r="I1019">
        <f t="shared" si="77"/>
        <v>12</v>
      </c>
      <c r="J1019">
        <f t="shared" si="78"/>
        <v>1</v>
      </c>
      <c r="K1019">
        <f t="shared" si="79"/>
        <v>2015</v>
      </c>
      <c r="M1019">
        <v>9</v>
      </c>
      <c r="N1019" t="str">
        <f>VLOOKUP(M1019,'Cadastro Vendedores'!A:H,2,2)</f>
        <v>Adriana</v>
      </c>
      <c r="O1019" s="2"/>
      <c r="P1019" s="16">
        <v>1800</v>
      </c>
      <c r="Q1019" s="2">
        <f>VLOOKUP(B1019,'Cadastro Produtos'!A:F,5,2)</f>
        <v>12</v>
      </c>
      <c r="R1019" s="14">
        <f t="shared" si="75"/>
        <v>21600</v>
      </c>
    </row>
    <row r="1020" spans="1:18" x14ac:dyDescent="0.25">
      <c r="A1020">
        <v>1019</v>
      </c>
      <c r="B1020">
        <v>4</v>
      </c>
      <c r="C1020" t="str">
        <f>VLOOKUP(B1020,'Cadastro Produtos'!A:E,2,2)</f>
        <v>Limonada Beta Zero 500 ml</v>
      </c>
      <c r="D1020">
        <v>8</v>
      </c>
      <c r="E1020" t="str">
        <f>VLOOKUP(D1020,'Cadatro Clientes'!A:O,2,2)</f>
        <v>Refresko</v>
      </c>
      <c r="F1020" t="str">
        <f>VLOOKUP(D1020,'Cadatro Clientes'!A:O,9,2)</f>
        <v>Sul</v>
      </c>
      <c r="G1020" s="15">
        <v>42017</v>
      </c>
      <c r="H1020">
        <f t="shared" si="76"/>
        <v>3</v>
      </c>
      <c r="I1020">
        <f t="shared" si="77"/>
        <v>13</v>
      </c>
      <c r="J1020">
        <f t="shared" si="78"/>
        <v>1</v>
      </c>
      <c r="K1020">
        <f t="shared" si="79"/>
        <v>2015</v>
      </c>
      <c r="M1020">
        <v>15</v>
      </c>
      <c r="N1020" t="str">
        <f>VLOOKUP(M1020,'Cadastro Vendedores'!A:H,2,2)</f>
        <v>Luis</v>
      </c>
      <c r="O1020" s="2"/>
      <c r="P1020" s="16">
        <v>8000</v>
      </c>
      <c r="Q1020" s="2">
        <f>VLOOKUP(B1020,'Cadastro Produtos'!A:F,5,2)</f>
        <v>7</v>
      </c>
      <c r="R1020" s="14">
        <f t="shared" si="75"/>
        <v>56000</v>
      </c>
    </row>
    <row r="1021" spans="1:18" x14ac:dyDescent="0.25">
      <c r="A1021">
        <v>1020</v>
      </c>
      <c r="B1021">
        <v>3</v>
      </c>
      <c r="C1021" t="str">
        <f>VLOOKUP(B1021,'Cadastro Produtos'!A:E,2,2)</f>
        <v>Limonada Alfa Zero 500 ml</v>
      </c>
      <c r="D1021">
        <v>4</v>
      </c>
      <c r="E1021" t="str">
        <f>VLOOKUP(D1021,'Cadatro Clientes'!A:O,2,2)</f>
        <v>Limão Carioca e Cia</v>
      </c>
      <c r="F1021" t="str">
        <f>VLOOKUP(D1021,'Cadatro Clientes'!A:O,9,2)</f>
        <v>Sudeste</v>
      </c>
      <c r="G1021" s="15">
        <v>42017</v>
      </c>
      <c r="H1021">
        <f t="shared" si="76"/>
        <v>3</v>
      </c>
      <c r="I1021">
        <f t="shared" si="77"/>
        <v>13</v>
      </c>
      <c r="J1021">
        <f t="shared" si="78"/>
        <v>1</v>
      </c>
      <c r="K1021">
        <f t="shared" si="79"/>
        <v>2015</v>
      </c>
      <c r="M1021">
        <v>8</v>
      </c>
      <c r="N1021" t="str">
        <f>VLOOKUP(M1021,'Cadastro Vendedores'!A:H,2,2)</f>
        <v>Sérgio</v>
      </c>
      <c r="O1021" s="2"/>
      <c r="P1021" s="16">
        <v>4300</v>
      </c>
      <c r="Q1021" s="2">
        <f>VLOOKUP(B1021,'Cadastro Produtos'!A:F,5,2)</f>
        <v>9</v>
      </c>
      <c r="R1021" s="14">
        <f t="shared" si="75"/>
        <v>38700</v>
      </c>
    </row>
    <row r="1022" spans="1:18" x14ac:dyDescent="0.25">
      <c r="A1022">
        <v>1021</v>
      </c>
      <c r="B1022">
        <v>6</v>
      </c>
      <c r="C1022" t="str">
        <f>VLOOKUP(B1022,'Cadastro Produtos'!A:E,2,2)</f>
        <v>Limonada Beta com Açúcar 1 L</v>
      </c>
      <c r="D1022">
        <v>19</v>
      </c>
      <c r="E1022" t="str">
        <f>VLOOKUP(D1022,'Cadatro Clientes'!A:O,2,2)</f>
        <v>Lima Limão</v>
      </c>
      <c r="F1022" t="str">
        <f>VLOOKUP(D1022,'Cadatro Clientes'!A:O,9,2)</f>
        <v>Sudeste</v>
      </c>
      <c r="G1022" s="15">
        <v>42017</v>
      </c>
      <c r="H1022">
        <f t="shared" si="76"/>
        <v>3</v>
      </c>
      <c r="I1022">
        <f t="shared" si="77"/>
        <v>13</v>
      </c>
      <c r="J1022">
        <f t="shared" si="78"/>
        <v>1</v>
      </c>
      <c r="K1022">
        <f t="shared" si="79"/>
        <v>2015</v>
      </c>
      <c r="M1022">
        <v>6</v>
      </c>
      <c r="N1022" t="str">
        <f>VLOOKUP(M1022,'Cadastro Vendedores'!A:H,2,2)</f>
        <v>Antônia</v>
      </c>
      <c r="O1022" s="2"/>
      <c r="P1022" s="16">
        <v>3400</v>
      </c>
      <c r="Q1022" s="2">
        <f>VLOOKUP(B1022,'Cadastro Produtos'!A:F,5,2)</f>
        <v>12</v>
      </c>
      <c r="R1022" s="14">
        <f t="shared" si="75"/>
        <v>40800</v>
      </c>
    </row>
    <row r="1023" spans="1:18" x14ac:dyDescent="0.25">
      <c r="A1023">
        <v>1022</v>
      </c>
      <c r="B1023">
        <v>5</v>
      </c>
      <c r="C1023" t="str">
        <f>VLOOKUP(B1023,'Cadastro Produtos'!A:E,2,2)</f>
        <v>Limonada Alfa com Açúcar 1 L</v>
      </c>
      <c r="D1023">
        <v>6</v>
      </c>
      <c r="E1023" t="str">
        <f>VLOOKUP(D1023,'Cadatro Clientes'!A:O,2,2)</f>
        <v>Lemonade</v>
      </c>
      <c r="F1023" t="str">
        <f>VLOOKUP(D1023,'Cadatro Clientes'!A:O,9,2)</f>
        <v>Norte</v>
      </c>
      <c r="G1023" s="15">
        <v>42017</v>
      </c>
      <c r="H1023">
        <f t="shared" si="76"/>
        <v>3</v>
      </c>
      <c r="I1023">
        <f t="shared" si="77"/>
        <v>13</v>
      </c>
      <c r="J1023">
        <f t="shared" si="78"/>
        <v>1</v>
      </c>
      <c r="K1023">
        <f t="shared" si="79"/>
        <v>2015</v>
      </c>
      <c r="M1023">
        <v>4</v>
      </c>
      <c r="N1023" t="str">
        <f>VLOOKUP(M1023,'Cadastro Vendedores'!A:H,2,2)</f>
        <v>José</v>
      </c>
      <c r="O1023" s="2"/>
      <c r="P1023" s="16">
        <v>2300</v>
      </c>
      <c r="Q1023" s="2">
        <f>VLOOKUP(B1023,'Cadastro Produtos'!A:F,5,2)</f>
        <v>15</v>
      </c>
      <c r="R1023" s="14">
        <f t="shared" si="75"/>
        <v>34500</v>
      </c>
    </row>
    <row r="1024" spans="1:18" x14ac:dyDescent="0.25">
      <c r="A1024">
        <v>1023</v>
      </c>
      <c r="B1024">
        <v>5</v>
      </c>
      <c r="C1024" t="str">
        <f>VLOOKUP(B1024,'Cadastro Produtos'!A:E,2,2)</f>
        <v>Limonada Alfa com Açúcar 1 L</v>
      </c>
      <c r="D1024">
        <v>8</v>
      </c>
      <c r="E1024" t="str">
        <f>VLOOKUP(D1024,'Cadatro Clientes'!A:O,2,2)</f>
        <v>Refresko</v>
      </c>
      <c r="F1024" t="str">
        <f>VLOOKUP(D1024,'Cadatro Clientes'!A:O,9,2)</f>
        <v>Sul</v>
      </c>
      <c r="G1024" s="15">
        <v>42018</v>
      </c>
      <c r="H1024">
        <f t="shared" si="76"/>
        <v>4</v>
      </c>
      <c r="I1024">
        <f t="shared" si="77"/>
        <v>14</v>
      </c>
      <c r="J1024">
        <f t="shared" si="78"/>
        <v>1</v>
      </c>
      <c r="K1024">
        <f t="shared" si="79"/>
        <v>2015</v>
      </c>
      <c r="M1024">
        <v>15</v>
      </c>
      <c r="N1024" t="str">
        <f>VLOOKUP(M1024,'Cadastro Vendedores'!A:H,2,2)</f>
        <v>Luis</v>
      </c>
      <c r="O1024" s="2"/>
      <c r="P1024" s="16">
        <v>2200</v>
      </c>
      <c r="Q1024" s="2">
        <f>VLOOKUP(B1024,'Cadastro Produtos'!A:F,5,2)</f>
        <v>15</v>
      </c>
      <c r="R1024" s="14">
        <f t="shared" si="75"/>
        <v>33000</v>
      </c>
    </row>
    <row r="1025" spans="1:18" x14ac:dyDescent="0.25">
      <c r="A1025">
        <v>1024</v>
      </c>
      <c r="B1025">
        <v>2</v>
      </c>
      <c r="C1025" t="str">
        <f>VLOOKUP(B1025,'Cadastro Produtos'!A:E,2,2)</f>
        <v>Limonada Beta com Açúcar 500 ml</v>
      </c>
      <c r="D1025">
        <v>19</v>
      </c>
      <c r="E1025" t="str">
        <f>VLOOKUP(D1025,'Cadatro Clientes'!A:O,2,2)</f>
        <v>Lima Limão</v>
      </c>
      <c r="F1025" t="str">
        <f>VLOOKUP(D1025,'Cadatro Clientes'!A:O,9,2)</f>
        <v>Sudeste</v>
      </c>
      <c r="G1025" s="15">
        <v>42018</v>
      </c>
      <c r="H1025">
        <f t="shared" si="76"/>
        <v>4</v>
      </c>
      <c r="I1025">
        <f t="shared" si="77"/>
        <v>14</v>
      </c>
      <c r="J1025">
        <f t="shared" si="78"/>
        <v>1</v>
      </c>
      <c r="K1025">
        <f t="shared" si="79"/>
        <v>2015</v>
      </c>
      <c r="M1025">
        <v>4</v>
      </c>
      <c r="N1025" t="str">
        <f>VLOOKUP(M1025,'Cadastro Vendedores'!A:H,2,2)</f>
        <v>José</v>
      </c>
      <c r="O1025" s="2"/>
      <c r="P1025" s="16">
        <v>6500</v>
      </c>
      <c r="Q1025" s="2">
        <f>VLOOKUP(B1025,'Cadastro Produtos'!A:F,5,2)</f>
        <v>6.5</v>
      </c>
      <c r="R1025" s="14">
        <f t="shared" si="75"/>
        <v>42250</v>
      </c>
    </row>
    <row r="1026" spans="1:18" x14ac:dyDescent="0.25">
      <c r="A1026">
        <v>1025</v>
      </c>
      <c r="B1026">
        <v>4</v>
      </c>
      <c r="C1026" t="str">
        <f>VLOOKUP(B1026,'Cadastro Produtos'!A:E,2,2)</f>
        <v>Limonada Beta Zero 500 ml</v>
      </c>
      <c r="D1026">
        <v>18</v>
      </c>
      <c r="E1026" t="str">
        <f>VLOOKUP(D1026,'Cadatro Clientes'!A:O,2,2)</f>
        <v>Rio Branco Limonada Ltda</v>
      </c>
      <c r="F1026" t="str">
        <f>VLOOKUP(D1026,'Cadatro Clientes'!A:O,9,2)</f>
        <v>Norte</v>
      </c>
      <c r="G1026" s="15">
        <v>42018</v>
      </c>
      <c r="H1026">
        <f t="shared" si="76"/>
        <v>4</v>
      </c>
      <c r="I1026">
        <f t="shared" si="77"/>
        <v>14</v>
      </c>
      <c r="J1026">
        <f t="shared" si="78"/>
        <v>1</v>
      </c>
      <c r="K1026">
        <f t="shared" si="79"/>
        <v>2015</v>
      </c>
      <c r="M1026">
        <v>7</v>
      </c>
      <c r="N1026" t="str">
        <f>VLOOKUP(M1026,'Cadastro Vendedores'!A:H,2,2)</f>
        <v>Benedito</v>
      </c>
      <c r="O1026" s="2"/>
      <c r="P1026" s="16">
        <v>6500</v>
      </c>
      <c r="Q1026" s="2">
        <f>VLOOKUP(B1026,'Cadastro Produtos'!A:F,5,2)</f>
        <v>7</v>
      </c>
      <c r="R1026" s="14">
        <f t="shared" ref="R1026:R1089" si="80">Q1026*P1026</f>
        <v>45500</v>
      </c>
    </row>
    <row r="1027" spans="1:18" x14ac:dyDescent="0.25">
      <c r="A1027">
        <v>1026</v>
      </c>
      <c r="B1027">
        <v>9</v>
      </c>
      <c r="C1027" t="str">
        <f>VLOOKUP(B1027,'Cadastro Produtos'!A:E,2,2)</f>
        <v>Limonada Alfa com Hortelã e Açúcar 1 L</v>
      </c>
      <c r="D1027">
        <v>5</v>
      </c>
      <c r="E1027" t="str">
        <f>VLOOKUP(D1027,'Cadatro Clientes'!A:O,2,2)</f>
        <v>Axé com Limão</v>
      </c>
      <c r="F1027" t="str">
        <f>VLOOKUP(D1027,'Cadatro Clientes'!A:O,9,2)</f>
        <v>Nordeste</v>
      </c>
      <c r="G1027" s="15">
        <v>42018</v>
      </c>
      <c r="H1027">
        <f t="shared" ref="H1027:H1090" si="81">WEEKDAY(G1027)</f>
        <v>4</v>
      </c>
      <c r="I1027">
        <f t="shared" ref="I1027:I1090" si="82">DAY(G1027)</f>
        <v>14</v>
      </c>
      <c r="J1027">
        <f t="shared" ref="J1027:J1090" si="83">MONTH(G1027)</f>
        <v>1</v>
      </c>
      <c r="K1027">
        <f t="shared" ref="K1027:K1090" si="84">YEAR(G1027)</f>
        <v>2015</v>
      </c>
      <c r="M1027">
        <v>15</v>
      </c>
      <c r="N1027" t="str">
        <f>VLOOKUP(M1027,'Cadastro Vendedores'!A:H,2,2)</f>
        <v>Luis</v>
      </c>
      <c r="O1027" s="2"/>
      <c r="P1027" s="16">
        <v>1800</v>
      </c>
      <c r="Q1027" s="2">
        <f>VLOOKUP(B1027,'Cadastro Produtos'!A:F,5,2)</f>
        <v>17.5</v>
      </c>
      <c r="R1027" s="14">
        <f t="shared" si="80"/>
        <v>31500</v>
      </c>
    </row>
    <row r="1028" spans="1:18" x14ac:dyDescent="0.25">
      <c r="A1028">
        <v>1027</v>
      </c>
      <c r="B1028">
        <v>9</v>
      </c>
      <c r="C1028" t="str">
        <f>VLOOKUP(B1028,'Cadastro Produtos'!A:E,2,2)</f>
        <v>Limonada Alfa com Hortelã e Açúcar 1 L</v>
      </c>
      <c r="D1028">
        <v>12</v>
      </c>
      <c r="E1028" t="str">
        <f>VLOOKUP(D1028,'Cadatro Clientes'!A:O,2,2)</f>
        <v>Limão da Ilha</v>
      </c>
      <c r="F1028" t="str">
        <f>VLOOKUP(D1028,'Cadatro Clientes'!A:O,9,2)</f>
        <v>Sul</v>
      </c>
      <c r="G1028" s="15">
        <v>42018</v>
      </c>
      <c r="H1028">
        <f t="shared" si="81"/>
        <v>4</v>
      </c>
      <c r="I1028">
        <f t="shared" si="82"/>
        <v>14</v>
      </c>
      <c r="J1028">
        <f t="shared" si="83"/>
        <v>1</v>
      </c>
      <c r="K1028">
        <f t="shared" si="84"/>
        <v>2015</v>
      </c>
      <c r="M1028">
        <v>12</v>
      </c>
      <c r="N1028" t="str">
        <f>VLOOKUP(M1028,'Cadastro Vendedores'!A:H,2,2)</f>
        <v>Paulo</v>
      </c>
      <c r="O1028" s="2"/>
      <c r="P1028" s="16">
        <v>2000</v>
      </c>
      <c r="Q1028" s="2">
        <f>VLOOKUP(B1028,'Cadastro Produtos'!A:F,5,2)</f>
        <v>17.5</v>
      </c>
      <c r="R1028" s="14">
        <f t="shared" si="80"/>
        <v>35000</v>
      </c>
    </row>
    <row r="1029" spans="1:18" x14ac:dyDescent="0.25">
      <c r="A1029">
        <v>1028</v>
      </c>
      <c r="B1029">
        <v>7</v>
      </c>
      <c r="C1029" t="str">
        <f>VLOOKUP(B1029,'Cadastro Produtos'!A:E,2,2)</f>
        <v>Limonada Alfa Zero 1 L</v>
      </c>
      <c r="D1029">
        <v>16</v>
      </c>
      <c r="E1029" t="str">
        <f>VLOOKUP(D1029,'Cadatro Clientes'!A:O,2,2)</f>
        <v>Norte Suco</v>
      </c>
      <c r="F1029" t="str">
        <f>VLOOKUP(D1029,'Cadatro Clientes'!A:O,9,2)</f>
        <v>Nordeste</v>
      </c>
      <c r="G1029" s="15">
        <v>42019</v>
      </c>
      <c r="H1029">
        <f t="shared" si="81"/>
        <v>5</v>
      </c>
      <c r="I1029">
        <f t="shared" si="82"/>
        <v>15</v>
      </c>
      <c r="J1029">
        <f t="shared" si="83"/>
        <v>1</v>
      </c>
      <c r="K1029">
        <f t="shared" si="84"/>
        <v>2015</v>
      </c>
      <c r="M1029">
        <v>16</v>
      </c>
      <c r="N1029" t="str">
        <f>VLOOKUP(M1029,'Cadastro Vendedores'!A:H,2,2)</f>
        <v>Jose</v>
      </c>
      <c r="O1029" s="2"/>
      <c r="P1029" s="16">
        <v>1100</v>
      </c>
      <c r="Q1029" s="2">
        <f>VLOOKUP(B1029,'Cadastro Produtos'!A:F,5,2)</f>
        <v>15</v>
      </c>
      <c r="R1029" s="14">
        <f t="shared" si="80"/>
        <v>16500</v>
      </c>
    </row>
    <row r="1030" spans="1:18" x14ac:dyDescent="0.25">
      <c r="A1030">
        <v>1029</v>
      </c>
      <c r="B1030">
        <v>2</v>
      </c>
      <c r="C1030" t="str">
        <f>VLOOKUP(B1030,'Cadastro Produtos'!A:E,2,2)</f>
        <v>Limonada Beta com Açúcar 500 ml</v>
      </c>
      <c r="D1030">
        <v>7</v>
      </c>
      <c r="E1030" t="str">
        <f>VLOOKUP(D1030,'Cadatro Clientes'!A:O,2,2)</f>
        <v>Limo</v>
      </c>
      <c r="F1030" t="str">
        <f>VLOOKUP(D1030,'Cadatro Clientes'!A:O,9,2)</f>
        <v>Centro-Oeste</v>
      </c>
      <c r="G1030" s="15">
        <v>42019</v>
      </c>
      <c r="H1030">
        <f t="shared" si="81"/>
        <v>5</v>
      </c>
      <c r="I1030">
        <f t="shared" si="82"/>
        <v>15</v>
      </c>
      <c r="J1030">
        <f t="shared" si="83"/>
        <v>1</v>
      </c>
      <c r="K1030">
        <f t="shared" si="84"/>
        <v>2015</v>
      </c>
      <c r="M1030">
        <v>8</v>
      </c>
      <c r="N1030" t="str">
        <f>VLOOKUP(M1030,'Cadastro Vendedores'!A:H,2,2)</f>
        <v>Sérgio</v>
      </c>
      <c r="O1030" s="2"/>
      <c r="P1030" s="16">
        <v>4200</v>
      </c>
      <c r="Q1030" s="2">
        <f>VLOOKUP(B1030,'Cadastro Produtos'!A:F,5,2)</f>
        <v>6.5</v>
      </c>
      <c r="R1030" s="14">
        <f t="shared" si="80"/>
        <v>27300</v>
      </c>
    </row>
    <row r="1031" spans="1:18" x14ac:dyDescent="0.25">
      <c r="A1031">
        <v>1030</v>
      </c>
      <c r="B1031">
        <v>10</v>
      </c>
      <c r="C1031" t="str">
        <f>VLOOKUP(B1031,'Cadastro Produtos'!A:E,2,2)</f>
        <v>Limonada Alfa com Hortelã Zero 1 L</v>
      </c>
      <c r="D1031">
        <v>5</v>
      </c>
      <c r="E1031" t="str">
        <f>VLOOKUP(D1031,'Cadatro Clientes'!A:O,2,2)</f>
        <v>Axé com Limão</v>
      </c>
      <c r="F1031" t="str">
        <f>VLOOKUP(D1031,'Cadatro Clientes'!A:O,9,2)</f>
        <v>Nordeste</v>
      </c>
      <c r="G1031" s="15">
        <v>42019</v>
      </c>
      <c r="H1031">
        <f t="shared" si="81"/>
        <v>5</v>
      </c>
      <c r="I1031">
        <f t="shared" si="82"/>
        <v>15</v>
      </c>
      <c r="J1031">
        <f t="shared" si="83"/>
        <v>1</v>
      </c>
      <c r="K1031">
        <f t="shared" si="84"/>
        <v>2015</v>
      </c>
      <c r="M1031">
        <v>4</v>
      </c>
      <c r="N1031" t="str">
        <f>VLOOKUP(M1031,'Cadastro Vendedores'!A:H,2,2)</f>
        <v>José</v>
      </c>
      <c r="O1031" s="2"/>
      <c r="P1031" s="16">
        <v>1000</v>
      </c>
      <c r="Q1031" s="2">
        <f>VLOOKUP(B1031,'Cadastro Produtos'!A:F,5,2)</f>
        <v>21</v>
      </c>
      <c r="R1031" s="14">
        <f t="shared" si="80"/>
        <v>21000</v>
      </c>
    </row>
    <row r="1032" spans="1:18" x14ac:dyDescent="0.25">
      <c r="A1032">
        <v>1031</v>
      </c>
      <c r="B1032">
        <v>5</v>
      </c>
      <c r="C1032" t="str">
        <f>VLOOKUP(B1032,'Cadastro Produtos'!A:E,2,2)</f>
        <v>Limonada Alfa com Açúcar 1 L</v>
      </c>
      <c r="D1032">
        <v>6</v>
      </c>
      <c r="E1032" t="str">
        <f>VLOOKUP(D1032,'Cadatro Clientes'!A:O,2,2)</f>
        <v>Lemonade</v>
      </c>
      <c r="F1032" t="str">
        <f>VLOOKUP(D1032,'Cadatro Clientes'!A:O,9,2)</f>
        <v>Norte</v>
      </c>
      <c r="G1032" s="15">
        <v>42020</v>
      </c>
      <c r="H1032">
        <f t="shared" si="81"/>
        <v>6</v>
      </c>
      <c r="I1032">
        <f t="shared" si="82"/>
        <v>16</v>
      </c>
      <c r="J1032">
        <f t="shared" si="83"/>
        <v>1</v>
      </c>
      <c r="K1032">
        <f t="shared" si="84"/>
        <v>2015</v>
      </c>
      <c r="M1032">
        <v>7</v>
      </c>
      <c r="N1032" t="str">
        <f>VLOOKUP(M1032,'Cadastro Vendedores'!A:H,2,2)</f>
        <v>Benedito</v>
      </c>
      <c r="O1032" s="2"/>
      <c r="P1032" s="16">
        <v>3100</v>
      </c>
      <c r="Q1032" s="2">
        <f>VLOOKUP(B1032,'Cadastro Produtos'!A:F,5,2)</f>
        <v>15</v>
      </c>
      <c r="R1032" s="14">
        <f t="shared" si="80"/>
        <v>46500</v>
      </c>
    </row>
    <row r="1033" spans="1:18" x14ac:dyDescent="0.25">
      <c r="A1033">
        <v>1032</v>
      </c>
      <c r="B1033">
        <v>5</v>
      </c>
      <c r="C1033" t="str">
        <f>VLOOKUP(B1033,'Cadastro Produtos'!A:E,2,2)</f>
        <v>Limonada Alfa com Açúcar 1 L</v>
      </c>
      <c r="D1033">
        <v>4</v>
      </c>
      <c r="E1033" t="str">
        <f>VLOOKUP(D1033,'Cadatro Clientes'!A:O,2,2)</f>
        <v>Limão Carioca e Cia</v>
      </c>
      <c r="F1033" t="str">
        <f>VLOOKUP(D1033,'Cadatro Clientes'!A:O,9,2)</f>
        <v>Sudeste</v>
      </c>
      <c r="G1033" s="15">
        <v>42020</v>
      </c>
      <c r="H1033">
        <f t="shared" si="81"/>
        <v>6</v>
      </c>
      <c r="I1033">
        <f t="shared" si="82"/>
        <v>16</v>
      </c>
      <c r="J1033">
        <f t="shared" si="83"/>
        <v>1</v>
      </c>
      <c r="K1033">
        <f t="shared" si="84"/>
        <v>2015</v>
      </c>
      <c r="M1033">
        <v>12</v>
      </c>
      <c r="N1033" t="str">
        <f>VLOOKUP(M1033,'Cadastro Vendedores'!A:H,2,2)</f>
        <v>Paulo</v>
      </c>
      <c r="O1033" s="2"/>
      <c r="P1033" s="16">
        <v>1300</v>
      </c>
      <c r="Q1033" s="2">
        <f>VLOOKUP(B1033,'Cadastro Produtos'!A:F,5,2)</f>
        <v>15</v>
      </c>
      <c r="R1033" s="14">
        <f t="shared" si="80"/>
        <v>19500</v>
      </c>
    </row>
    <row r="1034" spans="1:18" x14ac:dyDescent="0.25">
      <c r="A1034">
        <v>1033</v>
      </c>
      <c r="B1034">
        <v>7</v>
      </c>
      <c r="C1034" t="str">
        <f>VLOOKUP(B1034,'Cadastro Produtos'!A:E,2,2)</f>
        <v>Limonada Alfa Zero 1 L</v>
      </c>
      <c r="D1034">
        <v>20</v>
      </c>
      <c r="E1034" t="str">
        <f>VLOOKUP(D1034,'Cadatro Clientes'!A:O,2,2)</f>
        <v>Brasil Saúde</v>
      </c>
      <c r="F1034" t="str">
        <f>VLOOKUP(D1034,'Cadatro Clientes'!A:O,9,2)</f>
        <v>Nordeste</v>
      </c>
      <c r="G1034" s="15">
        <v>42020</v>
      </c>
      <c r="H1034">
        <f t="shared" si="81"/>
        <v>6</v>
      </c>
      <c r="I1034">
        <f t="shared" si="82"/>
        <v>16</v>
      </c>
      <c r="J1034">
        <f t="shared" si="83"/>
        <v>1</v>
      </c>
      <c r="K1034">
        <f t="shared" si="84"/>
        <v>2015</v>
      </c>
      <c r="M1034">
        <v>2</v>
      </c>
      <c r="N1034" t="str">
        <f>VLOOKUP(M1034,'Cadastro Vendedores'!A:H,2,2)</f>
        <v>Luis</v>
      </c>
      <c r="O1034" s="2"/>
      <c r="P1034" s="16">
        <v>1200</v>
      </c>
      <c r="Q1034" s="2">
        <f>VLOOKUP(B1034,'Cadastro Produtos'!A:F,5,2)</f>
        <v>15</v>
      </c>
      <c r="R1034" s="14">
        <f t="shared" si="80"/>
        <v>18000</v>
      </c>
    </row>
    <row r="1035" spans="1:18" x14ac:dyDescent="0.25">
      <c r="A1035">
        <v>1034</v>
      </c>
      <c r="B1035">
        <v>9</v>
      </c>
      <c r="C1035" t="str">
        <f>VLOOKUP(B1035,'Cadastro Produtos'!A:E,2,2)</f>
        <v>Limonada Alfa com Hortelã e Açúcar 1 L</v>
      </c>
      <c r="D1035">
        <v>12</v>
      </c>
      <c r="E1035" t="str">
        <f>VLOOKUP(D1035,'Cadatro Clientes'!A:O,2,2)</f>
        <v>Limão da Ilha</v>
      </c>
      <c r="F1035" t="str">
        <f>VLOOKUP(D1035,'Cadatro Clientes'!A:O,9,2)</f>
        <v>Sul</v>
      </c>
      <c r="G1035" s="15">
        <v>42020</v>
      </c>
      <c r="H1035">
        <f t="shared" si="81"/>
        <v>6</v>
      </c>
      <c r="I1035">
        <f t="shared" si="82"/>
        <v>16</v>
      </c>
      <c r="J1035">
        <f t="shared" si="83"/>
        <v>1</v>
      </c>
      <c r="K1035">
        <f t="shared" si="84"/>
        <v>2015</v>
      </c>
      <c r="M1035">
        <v>6</v>
      </c>
      <c r="N1035" t="str">
        <f>VLOOKUP(M1035,'Cadastro Vendedores'!A:H,2,2)</f>
        <v>Antônia</v>
      </c>
      <c r="O1035" s="2"/>
      <c r="P1035" s="16">
        <v>1000</v>
      </c>
      <c r="Q1035" s="2">
        <f>VLOOKUP(B1035,'Cadastro Produtos'!A:F,5,2)</f>
        <v>17.5</v>
      </c>
      <c r="R1035" s="14">
        <f t="shared" si="80"/>
        <v>17500</v>
      </c>
    </row>
    <row r="1036" spans="1:18" x14ac:dyDescent="0.25">
      <c r="A1036">
        <v>1035</v>
      </c>
      <c r="B1036">
        <v>10</v>
      </c>
      <c r="C1036" t="str">
        <f>VLOOKUP(B1036,'Cadastro Produtos'!A:E,2,2)</f>
        <v>Limonada Alfa com Hortelã Zero 1 L</v>
      </c>
      <c r="D1036">
        <v>7</v>
      </c>
      <c r="E1036" t="str">
        <f>VLOOKUP(D1036,'Cadatro Clientes'!A:O,2,2)</f>
        <v>Limo</v>
      </c>
      <c r="F1036" t="str">
        <f>VLOOKUP(D1036,'Cadatro Clientes'!A:O,9,2)</f>
        <v>Centro-Oeste</v>
      </c>
      <c r="G1036" s="15">
        <v>42021</v>
      </c>
      <c r="H1036">
        <f t="shared" si="81"/>
        <v>7</v>
      </c>
      <c r="I1036">
        <f t="shared" si="82"/>
        <v>17</v>
      </c>
      <c r="J1036">
        <f t="shared" si="83"/>
        <v>1</v>
      </c>
      <c r="K1036">
        <f t="shared" si="84"/>
        <v>2015</v>
      </c>
      <c r="M1036">
        <v>3</v>
      </c>
      <c r="N1036" t="str">
        <f>VLOOKUP(M1036,'Cadastro Vendedores'!A:H,2,2)</f>
        <v>Antônia</v>
      </c>
      <c r="O1036" s="2"/>
      <c r="P1036" s="16">
        <v>1600</v>
      </c>
      <c r="Q1036" s="2">
        <f>VLOOKUP(B1036,'Cadastro Produtos'!A:F,5,2)</f>
        <v>21</v>
      </c>
      <c r="R1036" s="14">
        <f t="shared" si="80"/>
        <v>33600</v>
      </c>
    </row>
    <row r="1037" spans="1:18" x14ac:dyDescent="0.25">
      <c r="A1037">
        <v>1036</v>
      </c>
      <c r="B1037">
        <v>8</v>
      </c>
      <c r="C1037" t="str">
        <f>VLOOKUP(B1037,'Cadastro Produtos'!A:E,2,2)</f>
        <v>Limonada Beta Zero 1 L</v>
      </c>
      <c r="D1037">
        <v>11</v>
      </c>
      <c r="E1037" t="str">
        <f>VLOOKUP(D1037,'Cadatro Clientes'!A:O,2,2)</f>
        <v>Red Lemon</v>
      </c>
      <c r="F1037" t="str">
        <f>VLOOKUP(D1037,'Cadatro Clientes'!A:O,9,2)</f>
        <v>Sul</v>
      </c>
      <c r="G1037" s="15">
        <v>42021</v>
      </c>
      <c r="H1037">
        <f t="shared" si="81"/>
        <v>7</v>
      </c>
      <c r="I1037">
        <f t="shared" si="82"/>
        <v>17</v>
      </c>
      <c r="J1037">
        <f t="shared" si="83"/>
        <v>1</v>
      </c>
      <c r="K1037">
        <f t="shared" si="84"/>
        <v>2015</v>
      </c>
      <c r="M1037">
        <v>9</v>
      </c>
      <c r="N1037" t="str">
        <f>VLOOKUP(M1037,'Cadastro Vendedores'!A:H,2,2)</f>
        <v>Adriana</v>
      </c>
      <c r="O1037" s="2"/>
      <c r="P1037" s="16">
        <v>2300</v>
      </c>
      <c r="Q1037" s="2">
        <f>VLOOKUP(B1037,'Cadastro Produtos'!A:F,5,2)</f>
        <v>12</v>
      </c>
      <c r="R1037" s="14">
        <f t="shared" si="80"/>
        <v>27600</v>
      </c>
    </row>
    <row r="1038" spans="1:18" x14ac:dyDescent="0.25">
      <c r="A1038">
        <v>1037</v>
      </c>
      <c r="B1038">
        <v>9</v>
      </c>
      <c r="C1038" t="str">
        <f>VLOOKUP(B1038,'Cadastro Produtos'!A:E,2,2)</f>
        <v>Limonada Alfa com Hortelã e Açúcar 1 L</v>
      </c>
      <c r="D1038">
        <v>1</v>
      </c>
      <c r="E1038" t="str">
        <f>VLOOKUP(D1038,'Cadatro Clientes'!A:O,2,2)</f>
        <v>Meu Suco de Limão</v>
      </c>
      <c r="F1038" t="str">
        <f>VLOOKUP(D1038,'Cadatro Clientes'!A:O,9,2)</f>
        <v>Norte</v>
      </c>
      <c r="G1038" s="15">
        <v>42022</v>
      </c>
      <c r="H1038">
        <f t="shared" si="81"/>
        <v>1</v>
      </c>
      <c r="I1038">
        <f t="shared" si="82"/>
        <v>18</v>
      </c>
      <c r="J1038">
        <f t="shared" si="83"/>
        <v>1</v>
      </c>
      <c r="K1038">
        <f t="shared" si="84"/>
        <v>2015</v>
      </c>
      <c r="M1038">
        <v>12</v>
      </c>
      <c r="N1038" t="str">
        <f>VLOOKUP(M1038,'Cadastro Vendedores'!A:H,2,2)</f>
        <v>Paulo</v>
      </c>
      <c r="O1038" s="2"/>
      <c r="P1038" s="16">
        <v>2600</v>
      </c>
      <c r="Q1038" s="2">
        <f>VLOOKUP(B1038,'Cadastro Produtos'!A:F,5,2)</f>
        <v>17.5</v>
      </c>
      <c r="R1038" s="14">
        <f t="shared" si="80"/>
        <v>45500</v>
      </c>
    </row>
    <row r="1039" spans="1:18" x14ac:dyDescent="0.25">
      <c r="A1039">
        <v>1038</v>
      </c>
      <c r="B1039">
        <v>9</v>
      </c>
      <c r="C1039" t="str">
        <f>VLOOKUP(B1039,'Cadastro Produtos'!A:E,2,2)</f>
        <v>Limonada Alfa com Hortelã e Açúcar 1 L</v>
      </c>
      <c r="D1039">
        <v>11</v>
      </c>
      <c r="E1039" t="str">
        <f>VLOOKUP(D1039,'Cadatro Clientes'!A:O,2,2)</f>
        <v>Red Lemon</v>
      </c>
      <c r="F1039" t="str">
        <f>VLOOKUP(D1039,'Cadatro Clientes'!A:O,9,2)</f>
        <v>Sul</v>
      </c>
      <c r="G1039" s="15">
        <v>42022</v>
      </c>
      <c r="H1039">
        <f t="shared" si="81"/>
        <v>1</v>
      </c>
      <c r="I1039">
        <f t="shared" si="82"/>
        <v>18</v>
      </c>
      <c r="J1039">
        <f t="shared" si="83"/>
        <v>1</v>
      </c>
      <c r="K1039">
        <f t="shared" si="84"/>
        <v>2015</v>
      </c>
      <c r="M1039">
        <v>13</v>
      </c>
      <c r="N1039" t="str">
        <f>VLOOKUP(M1039,'Cadastro Vendedores'!A:H,2,2)</f>
        <v>Andre</v>
      </c>
      <c r="O1039" s="2"/>
      <c r="P1039" s="16">
        <v>2400</v>
      </c>
      <c r="Q1039" s="2">
        <f>VLOOKUP(B1039,'Cadastro Produtos'!A:F,5,2)</f>
        <v>17.5</v>
      </c>
      <c r="R1039" s="14">
        <f t="shared" si="80"/>
        <v>42000</v>
      </c>
    </row>
    <row r="1040" spans="1:18" x14ac:dyDescent="0.25">
      <c r="A1040">
        <v>1039</v>
      </c>
      <c r="B1040">
        <v>3</v>
      </c>
      <c r="C1040" t="str">
        <f>VLOOKUP(B1040,'Cadastro Produtos'!A:E,2,2)</f>
        <v>Limonada Alfa Zero 500 ml</v>
      </c>
      <c r="D1040">
        <v>19</v>
      </c>
      <c r="E1040" t="str">
        <f>VLOOKUP(D1040,'Cadatro Clientes'!A:O,2,2)</f>
        <v>Lima Limão</v>
      </c>
      <c r="F1040" t="str">
        <f>VLOOKUP(D1040,'Cadatro Clientes'!A:O,9,2)</f>
        <v>Sudeste</v>
      </c>
      <c r="G1040" s="15">
        <v>42022</v>
      </c>
      <c r="H1040">
        <f t="shared" si="81"/>
        <v>1</v>
      </c>
      <c r="I1040">
        <f t="shared" si="82"/>
        <v>18</v>
      </c>
      <c r="J1040">
        <f t="shared" si="83"/>
        <v>1</v>
      </c>
      <c r="K1040">
        <f t="shared" si="84"/>
        <v>2015</v>
      </c>
      <c r="M1040">
        <v>9</v>
      </c>
      <c r="N1040" t="str">
        <f>VLOOKUP(M1040,'Cadastro Vendedores'!A:H,2,2)</f>
        <v>Adriana</v>
      </c>
      <c r="O1040" s="2"/>
      <c r="P1040" s="16">
        <v>1700</v>
      </c>
      <c r="Q1040" s="2">
        <f>VLOOKUP(B1040,'Cadastro Produtos'!A:F,5,2)</f>
        <v>9</v>
      </c>
      <c r="R1040" s="14">
        <f t="shared" si="80"/>
        <v>15300</v>
      </c>
    </row>
    <row r="1041" spans="1:18" x14ac:dyDescent="0.25">
      <c r="A1041">
        <v>1040</v>
      </c>
      <c r="B1041">
        <v>6</v>
      </c>
      <c r="C1041" t="str">
        <f>VLOOKUP(B1041,'Cadastro Produtos'!A:E,2,2)</f>
        <v>Limonada Beta com Açúcar 1 L</v>
      </c>
      <c r="D1041">
        <v>4</v>
      </c>
      <c r="E1041" t="str">
        <f>VLOOKUP(D1041,'Cadatro Clientes'!A:O,2,2)</f>
        <v>Limão Carioca e Cia</v>
      </c>
      <c r="F1041" t="str">
        <f>VLOOKUP(D1041,'Cadatro Clientes'!A:O,9,2)</f>
        <v>Sudeste</v>
      </c>
      <c r="G1041" s="15">
        <v>42022</v>
      </c>
      <c r="H1041">
        <f t="shared" si="81"/>
        <v>1</v>
      </c>
      <c r="I1041">
        <f t="shared" si="82"/>
        <v>18</v>
      </c>
      <c r="J1041">
        <f t="shared" si="83"/>
        <v>1</v>
      </c>
      <c r="K1041">
        <f t="shared" si="84"/>
        <v>2015</v>
      </c>
      <c r="M1041">
        <v>6</v>
      </c>
      <c r="N1041" t="str">
        <f>VLOOKUP(M1041,'Cadastro Vendedores'!A:H,2,2)</f>
        <v>Antônia</v>
      </c>
      <c r="O1041" s="2"/>
      <c r="P1041" s="16">
        <v>4900</v>
      </c>
      <c r="Q1041" s="2">
        <f>VLOOKUP(B1041,'Cadastro Produtos'!A:F,5,2)</f>
        <v>12</v>
      </c>
      <c r="R1041" s="14">
        <f t="shared" si="80"/>
        <v>58800</v>
      </c>
    </row>
    <row r="1042" spans="1:18" x14ac:dyDescent="0.25">
      <c r="A1042">
        <v>1041</v>
      </c>
      <c r="B1042">
        <v>8</v>
      </c>
      <c r="C1042" t="str">
        <f>VLOOKUP(B1042,'Cadastro Produtos'!A:E,2,2)</f>
        <v>Limonada Beta Zero 1 L</v>
      </c>
      <c r="D1042">
        <v>7</v>
      </c>
      <c r="E1042" t="str">
        <f>VLOOKUP(D1042,'Cadatro Clientes'!A:O,2,2)</f>
        <v>Limo</v>
      </c>
      <c r="F1042" t="str">
        <f>VLOOKUP(D1042,'Cadatro Clientes'!A:O,9,2)</f>
        <v>Centro-Oeste</v>
      </c>
      <c r="G1042" s="15">
        <v>42023</v>
      </c>
      <c r="H1042">
        <f t="shared" si="81"/>
        <v>2</v>
      </c>
      <c r="I1042">
        <f t="shared" si="82"/>
        <v>19</v>
      </c>
      <c r="J1042">
        <f t="shared" si="83"/>
        <v>1</v>
      </c>
      <c r="K1042">
        <f t="shared" si="84"/>
        <v>2015</v>
      </c>
      <c r="M1042">
        <v>2</v>
      </c>
      <c r="N1042" t="str">
        <f>VLOOKUP(M1042,'Cadastro Vendedores'!A:H,2,2)</f>
        <v>Luis</v>
      </c>
      <c r="O1042" s="2"/>
      <c r="P1042" s="16">
        <v>1700</v>
      </c>
      <c r="Q1042" s="2">
        <f>VLOOKUP(B1042,'Cadastro Produtos'!A:F,5,2)</f>
        <v>12</v>
      </c>
      <c r="R1042" s="14">
        <f t="shared" si="80"/>
        <v>20400</v>
      </c>
    </row>
    <row r="1043" spans="1:18" x14ac:dyDescent="0.25">
      <c r="A1043">
        <v>1042</v>
      </c>
      <c r="B1043">
        <v>7</v>
      </c>
      <c r="C1043" t="str">
        <f>VLOOKUP(B1043,'Cadastro Produtos'!A:E,2,2)</f>
        <v>Limonada Alfa Zero 1 L</v>
      </c>
      <c r="D1043">
        <v>18</v>
      </c>
      <c r="E1043" t="str">
        <f>VLOOKUP(D1043,'Cadatro Clientes'!A:O,2,2)</f>
        <v>Rio Branco Limonada Ltda</v>
      </c>
      <c r="F1043" t="str">
        <f>VLOOKUP(D1043,'Cadatro Clientes'!A:O,9,2)</f>
        <v>Norte</v>
      </c>
      <c r="G1043" s="15">
        <v>42023</v>
      </c>
      <c r="H1043">
        <f t="shared" si="81"/>
        <v>2</v>
      </c>
      <c r="I1043">
        <f t="shared" si="82"/>
        <v>19</v>
      </c>
      <c r="J1043">
        <f t="shared" si="83"/>
        <v>1</v>
      </c>
      <c r="K1043">
        <f t="shared" si="84"/>
        <v>2015</v>
      </c>
      <c r="M1043">
        <v>4</v>
      </c>
      <c r="N1043" t="str">
        <f>VLOOKUP(M1043,'Cadastro Vendedores'!A:H,2,2)</f>
        <v>José</v>
      </c>
      <c r="O1043" s="2"/>
      <c r="P1043" s="16">
        <v>3500</v>
      </c>
      <c r="Q1043" s="2">
        <f>VLOOKUP(B1043,'Cadastro Produtos'!A:F,5,2)</f>
        <v>15</v>
      </c>
      <c r="R1043" s="14">
        <f t="shared" si="80"/>
        <v>52500</v>
      </c>
    </row>
    <row r="1044" spans="1:18" x14ac:dyDescent="0.25">
      <c r="A1044">
        <v>1043</v>
      </c>
      <c r="B1044">
        <v>4</v>
      </c>
      <c r="C1044" t="str">
        <f>VLOOKUP(B1044,'Cadastro Produtos'!A:E,2,2)</f>
        <v>Limonada Beta Zero 500 ml</v>
      </c>
      <c r="D1044">
        <v>7</v>
      </c>
      <c r="E1044" t="str">
        <f>VLOOKUP(D1044,'Cadatro Clientes'!A:O,2,2)</f>
        <v>Limo</v>
      </c>
      <c r="F1044" t="str">
        <f>VLOOKUP(D1044,'Cadatro Clientes'!A:O,9,2)</f>
        <v>Centro-Oeste</v>
      </c>
      <c r="G1044" s="15">
        <v>42024</v>
      </c>
      <c r="H1044">
        <f t="shared" si="81"/>
        <v>3</v>
      </c>
      <c r="I1044">
        <f t="shared" si="82"/>
        <v>20</v>
      </c>
      <c r="J1044">
        <f t="shared" si="83"/>
        <v>1</v>
      </c>
      <c r="K1044">
        <f t="shared" si="84"/>
        <v>2015</v>
      </c>
      <c r="M1044">
        <v>13</v>
      </c>
      <c r="N1044" t="str">
        <f>VLOOKUP(M1044,'Cadastro Vendedores'!A:H,2,2)</f>
        <v>Andre</v>
      </c>
      <c r="O1044" s="2"/>
      <c r="P1044" s="16">
        <v>2000</v>
      </c>
      <c r="Q1044" s="2">
        <f>VLOOKUP(B1044,'Cadastro Produtos'!A:F,5,2)</f>
        <v>7</v>
      </c>
      <c r="R1044" s="14">
        <f t="shared" si="80"/>
        <v>14000</v>
      </c>
    </row>
    <row r="1045" spans="1:18" x14ac:dyDescent="0.25">
      <c r="A1045">
        <v>1044</v>
      </c>
      <c r="B1045">
        <v>3</v>
      </c>
      <c r="C1045" t="str">
        <f>VLOOKUP(B1045,'Cadastro Produtos'!A:E,2,2)</f>
        <v>Limonada Alfa Zero 500 ml</v>
      </c>
      <c r="D1045">
        <v>4</v>
      </c>
      <c r="E1045" t="str">
        <f>VLOOKUP(D1045,'Cadatro Clientes'!A:O,2,2)</f>
        <v>Limão Carioca e Cia</v>
      </c>
      <c r="F1045" t="str">
        <f>VLOOKUP(D1045,'Cadatro Clientes'!A:O,9,2)</f>
        <v>Sudeste</v>
      </c>
      <c r="G1045" s="15">
        <v>42025</v>
      </c>
      <c r="H1045">
        <f t="shared" si="81"/>
        <v>4</v>
      </c>
      <c r="I1045">
        <f t="shared" si="82"/>
        <v>21</v>
      </c>
      <c r="J1045">
        <f t="shared" si="83"/>
        <v>1</v>
      </c>
      <c r="K1045">
        <f t="shared" si="84"/>
        <v>2015</v>
      </c>
      <c r="M1045">
        <v>4</v>
      </c>
      <c r="N1045" t="str">
        <f>VLOOKUP(M1045,'Cadastro Vendedores'!A:H,2,2)</f>
        <v>José</v>
      </c>
      <c r="O1045" s="2"/>
      <c r="P1045" s="16">
        <v>6300</v>
      </c>
      <c r="Q1045" s="2">
        <f>VLOOKUP(B1045,'Cadastro Produtos'!A:F,5,2)</f>
        <v>9</v>
      </c>
      <c r="R1045" s="14">
        <f t="shared" si="80"/>
        <v>56700</v>
      </c>
    </row>
    <row r="1046" spans="1:18" x14ac:dyDescent="0.25">
      <c r="A1046">
        <v>1045</v>
      </c>
      <c r="B1046">
        <v>10</v>
      </c>
      <c r="C1046" t="str">
        <f>VLOOKUP(B1046,'Cadastro Produtos'!A:E,2,2)</f>
        <v>Limonada Alfa com Hortelã Zero 1 L</v>
      </c>
      <c r="D1046">
        <v>12</v>
      </c>
      <c r="E1046" t="str">
        <f>VLOOKUP(D1046,'Cadatro Clientes'!A:O,2,2)</f>
        <v>Limão da Ilha</v>
      </c>
      <c r="F1046" t="str">
        <f>VLOOKUP(D1046,'Cadatro Clientes'!A:O,9,2)</f>
        <v>Sul</v>
      </c>
      <c r="G1046" s="15">
        <v>42025</v>
      </c>
      <c r="H1046">
        <f t="shared" si="81"/>
        <v>4</v>
      </c>
      <c r="I1046">
        <f t="shared" si="82"/>
        <v>21</v>
      </c>
      <c r="J1046">
        <f t="shared" si="83"/>
        <v>1</v>
      </c>
      <c r="K1046">
        <f t="shared" si="84"/>
        <v>2015</v>
      </c>
      <c r="M1046">
        <v>16</v>
      </c>
      <c r="N1046" t="str">
        <f>VLOOKUP(M1046,'Cadastro Vendedores'!A:H,2,2)</f>
        <v>Jose</v>
      </c>
      <c r="O1046" s="2"/>
      <c r="P1046" s="16">
        <v>1300</v>
      </c>
      <c r="Q1046" s="2">
        <f>VLOOKUP(B1046,'Cadastro Produtos'!A:F,5,2)</f>
        <v>21</v>
      </c>
      <c r="R1046" s="14">
        <f t="shared" si="80"/>
        <v>27300</v>
      </c>
    </row>
    <row r="1047" spans="1:18" x14ac:dyDescent="0.25">
      <c r="A1047">
        <v>1046</v>
      </c>
      <c r="B1047">
        <v>8</v>
      </c>
      <c r="C1047" t="str">
        <f>VLOOKUP(B1047,'Cadastro Produtos'!A:E,2,2)</f>
        <v>Limonada Beta Zero 1 L</v>
      </c>
      <c r="D1047">
        <v>7</v>
      </c>
      <c r="E1047" t="str">
        <f>VLOOKUP(D1047,'Cadatro Clientes'!A:O,2,2)</f>
        <v>Limo</v>
      </c>
      <c r="F1047" t="str">
        <f>VLOOKUP(D1047,'Cadatro Clientes'!A:O,9,2)</f>
        <v>Centro-Oeste</v>
      </c>
      <c r="G1047" s="15">
        <v>42026</v>
      </c>
      <c r="H1047">
        <f t="shared" si="81"/>
        <v>5</v>
      </c>
      <c r="I1047">
        <f t="shared" si="82"/>
        <v>22</v>
      </c>
      <c r="J1047">
        <f t="shared" si="83"/>
        <v>1</v>
      </c>
      <c r="K1047">
        <f t="shared" si="84"/>
        <v>2015</v>
      </c>
      <c r="M1047">
        <v>12</v>
      </c>
      <c r="N1047" t="str">
        <f>VLOOKUP(M1047,'Cadastro Vendedores'!A:H,2,2)</f>
        <v>Paulo</v>
      </c>
      <c r="O1047" s="2"/>
      <c r="P1047" s="16">
        <v>4700</v>
      </c>
      <c r="Q1047" s="2">
        <f>VLOOKUP(B1047,'Cadastro Produtos'!A:F,5,2)</f>
        <v>12</v>
      </c>
      <c r="R1047" s="14">
        <f t="shared" si="80"/>
        <v>56400</v>
      </c>
    </row>
    <row r="1048" spans="1:18" x14ac:dyDescent="0.25">
      <c r="A1048">
        <v>1047</v>
      </c>
      <c r="B1048">
        <v>4</v>
      </c>
      <c r="C1048" t="str">
        <f>VLOOKUP(B1048,'Cadastro Produtos'!A:E,2,2)</f>
        <v>Limonada Beta Zero 500 ml</v>
      </c>
      <c r="D1048">
        <v>14</v>
      </c>
      <c r="E1048" t="str">
        <f>VLOOKUP(D1048,'Cadatro Clientes'!A:O,2,2)</f>
        <v>Sprite</v>
      </c>
      <c r="F1048" t="str">
        <f>VLOOKUP(D1048,'Cadatro Clientes'!A:O,9,2)</f>
        <v>Norte</v>
      </c>
      <c r="G1048" s="15">
        <v>42026</v>
      </c>
      <c r="H1048">
        <f t="shared" si="81"/>
        <v>5</v>
      </c>
      <c r="I1048">
        <f t="shared" si="82"/>
        <v>22</v>
      </c>
      <c r="J1048">
        <f t="shared" si="83"/>
        <v>1</v>
      </c>
      <c r="K1048">
        <f t="shared" si="84"/>
        <v>2015</v>
      </c>
      <c r="M1048">
        <v>13</v>
      </c>
      <c r="N1048" t="str">
        <f>VLOOKUP(M1048,'Cadastro Vendedores'!A:H,2,2)</f>
        <v>Andre</v>
      </c>
      <c r="O1048" s="2"/>
      <c r="P1048" s="16">
        <v>3400</v>
      </c>
      <c r="Q1048" s="2">
        <f>VLOOKUP(B1048,'Cadastro Produtos'!A:F,5,2)</f>
        <v>7</v>
      </c>
      <c r="R1048" s="14">
        <f t="shared" si="80"/>
        <v>23800</v>
      </c>
    </row>
    <row r="1049" spans="1:18" x14ac:dyDescent="0.25">
      <c r="A1049">
        <v>1048</v>
      </c>
      <c r="B1049">
        <v>4</v>
      </c>
      <c r="C1049" t="str">
        <f>VLOOKUP(B1049,'Cadastro Produtos'!A:E,2,2)</f>
        <v>Limonada Beta Zero 500 ml</v>
      </c>
      <c r="D1049">
        <v>5</v>
      </c>
      <c r="E1049" t="str">
        <f>VLOOKUP(D1049,'Cadatro Clientes'!A:O,2,2)</f>
        <v>Axé com Limão</v>
      </c>
      <c r="F1049" t="str">
        <f>VLOOKUP(D1049,'Cadatro Clientes'!A:O,9,2)</f>
        <v>Nordeste</v>
      </c>
      <c r="G1049" s="15">
        <v>42027</v>
      </c>
      <c r="H1049">
        <f t="shared" si="81"/>
        <v>6</v>
      </c>
      <c r="I1049">
        <f t="shared" si="82"/>
        <v>23</v>
      </c>
      <c r="J1049">
        <f t="shared" si="83"/>
        <v>1</v>
      </c>
      <c r="K1049">
        <f t="shared" si="84"/>
        <v>2015</v>
      </c>
      <c r="M1049">
        <v>13</v>
      </c>
      <c r="N1049" t="str">
        <f>VLOOKUP(M1049,'Cadastro Vendedores'!A:H,2,2)</f>
        <v>Andre</v>
      </c>
      <c r="O1049" s="2"/>
      <c r="P1049" s="16">
        <v>2900</v>
      </c>
      <c r="Q1049" s="2">
        <f>VLOOKUP(B1049,'Cadastro Produtos'!A:F,5,2)</f>
        <v>7</v>
      </c>
      <c r="R1049" s="14">
        <f t="shared" si="80"/>
        <v>20300</v>
      </c>
    </row>
    <row r="1050" spans="1:18" x14ac:dyDescent="0.25">
      <c r="A1050">
        <v>1049</v>
      </c>
      <c r="B1050">
        <v>3</v>
      </c>
      <c r="C1050" t="str">
        <f>VLOOKUP(B1050,'Cadastro Produtos'!A:E,2,2)</f>
        <v>Limonada Alfa Zero 500 ml</v>
      </c>
      <c r="D1050">
        <v>6</v>
      </c>
      <c r="E1050" t="str">
        <f>VLOOKUP(D1050,'Cadatro Clientes'!A:O,2,2)</f>
        <v>Lemonade</v>
      </c>
      <c r="F1050" t="str">
        <f>VLOOKUP(D1050,'Cadatro Clientes'!A:O,9,2)</f>
        <v>Norte</v>
      </c>
      <c r="G1050" s="15">
        <v>42028</v>
      </c>
      <c r="H1050">
        <f t="shared" si="81"/>
        <v>7</v>
      </c>
      <c r="I1050">
        <f t="shared" si="82"/>
        <v>24</v>
      </c>
      <c r="J1050">
        <f t="shared" si="83"/>
        <v>1</v>
      </c>
      <c r="K1050">
        <f t="shared" si="84"/>
        <v>2015</v>
      </c>
      <c r="M1050">
        <v>4</v>
      </c>
      <c r="N1050" t="str">
        <f>VLOOKUP(M1050,'Cadastro Vendedores'!A:H,2,2)</f>
        <v>José</v>
      </c>
      <c r="O1050" s="2"/>
      <c r="P1050" s="16">
        <v>2800</v>
      </c>
      <c r="Q1050" s="2">
        <f>VLOOKUP(B1050,'Cadastro Produtos'!A:F,5,2)</f>
        <v>9</v>
      </c>
      <c r="R1050" s="14">
        <f t="shared" si="80"/>
        <v>25200</v>
      </c>
    </row>
    <row r="1051" spans="1:18" x14ac:dyDescent="0.25">
      <c r="A1051">
        <v>1050</v>
      </c>
      <c r="B1051">
        <v>2</v>
      </c>
      <c r="C1051" t="str">
        <f>VLOOKUP(B1051,'Cadastro Produtos'!A:E,2,2)</f>
        <v>Limonada Beta com Açúcar 500 ml</v>
      </c>
      <c r="D1051">
        <v>19</v>
      </c>
      <c r="E1051" t="str">
        <f>VLOOKUP(D1051,'Cadatro Clientes'!A:O,2,2)</f>
        <v>Lima Limão</v>
      </c>
      <c r="F1051" t="str">
        <f>VLOOKUP(D1051,'Cadatro Clientes'!A:O,9,2)</f>
        <v>Sudeste</v>
      </c>
      <c r="G1051" s="15">
        <v>42028</v>
      </c>
      <c r="H1051">
        <f t="shared" si="81"/>
        <v>7</v>
      </c>
      <c r="I1051">
        <f t="shared" si="82"/>
        <v>24</v>
      </c>
      <c r="J1051">
        <f t="shared" si="83"/>
        <v>1</v>
      </c>
      <c r="K1051">
        <f t="shared" si="84"/>
        <v>2015</v>
      </c>
      <c r="M1051">
        <v>12</v>
      </c>
      <c r="N1051" t="str">
        <f>VLOOKUP(M1051,'Cadastro Vendedores'!A:H,2,2)</f>
        <v>Paulo</v>
      </c>
      <c r="O1051" s="2"/>
      <c r="P1051" s="16">
        <v>9600</v>
      </c>
      <c r="Q1051" s="2">
        <f>VLOOKUP(B1051,'Cadastro Produtos'!A:F,5,2)</f>
        <v>6.5</v>
      </c>
      <c r="R1051" s="14">
        <f t="shared" si="80"/>
        <v>62400</v>
      </c>
    </row>
    <row r="1052" spans="1:18" x14ac:dyDescent="0.25">
      <c r="A1052">
        <v>1051</v>
      </c>
      <c r="B1052">
        <v>9</v>
      </c>
      <c r="C1052" t="str">
        <f>VLOOKUP(B1052,'Cadastro Produtos'!A:E,2,2)</f>
        <v>Limonada Alfa com Hortelã e Açúcar 1 L</v>
      </c>
      <c r="D1052">
        <v>11</v>
      </c>
      <c r="E1052" t="str">
        <f>VLOOKUP(D1052,'Cadatro Clientes'!A:O,2,2)</f>
        <v>Red Lemon</v>
      </c>
      <c r="F1052" t="str">
        <f>VLOOKUP(D1052,'Cadatro Clientes'!A:O,9,2)</f>
        <v>Sul</v>
      </c>
      <c r="G1052" s="15">
        <v>42030</v>
      </c>
      <c r="H1052">
        <f t="shared" si="81"/>
        <v>2</v>
      </c>
      <c r="I1052">
        <f t="shared" si="82"/>
        <v>26</v>
      </c>
      <c r="J1052">
        <f t="shared" si="83"/>
        <v>1</v>
      </c>
      <c r="K1052">
        <f t="shared" si="84"/>
        <v>2015</v>
      </c>
      <c r="M1052">
        <v>9</v>
      </c>
      <c r="N1052" t="str">
        <f>VLOOKUP(M1052,'Cadastro Vendedores'!A:H,2,2)</f>
        <v>Adriana</v>
      </c>
      <c r="O1052" s="2"/>
      <c r="P1052" s="16">
        <v>1000</v>
      </c>
      <c r="Q1052" s="2">
        <f>VLOOKUP(B1052,'Cadastro Produtos'!A:F,5,2)</f>
        <v>17.5</v>
      </c>
      <c r="R1052" s="14">
        <f t="shared" si="80"/>
        <v>17500</v>
      </c>
    </row>
    <row r="1053" spans="1:18" x14ac:dyDescent="0.25">
      <c r="A1053">
        <v>1052</v>
      </c>
      <c r="B1053">
        <v>7</v>
      </c>
      <c r="C1053" t="str">
        <f>VLOOKUP(B1053,'Cadastro Produtos'!A:E,2,2)</f>
        <v>Limonada Alfa Zero 1 L</v>
      </c>
      <c r="D1053">
        <v>4</v>
      </c>
      <c r="E1053" t="str">
        <f>VLOOKUP(D1053,'Cadatro Clientes'!A:O,2,2)</f>
        <v>Limão Carioca e Cia</v>
      </c>
      <c r="F1053" t="str">
        <f>VLOOKUP(D1053,'Cadatro Clientes'!A:O,9,2)</f>
        <v>Sudeste</v>
      </c>
      <c r="G1053" s="15">
        <v>42030</v>
      </c>
      <c r="H1053">
        <f t="shared" si="81"/>
        <v>2</v>
      </c>
      <c r="I1053">
        <f t="shared" si="82"/>
        <v>26</v>
      </c>
      <c r="J1053">
        <f t="shared" si="83"/>
        <v>1</v>
      </c>
      <c r="K1053">
        <f t="shared" si="84"/>
        <v>2015</v>
      </c>
      <c r="M1053">
        <v>9</v>
      </c>
      <c r="N1053" t="str">
        <f>VLOOKUP(M1053,'Cadastro Vendedores'!A:H,2,2)</f>
        <v>Adriana</v>
      </c>
      <c r="O1053" s="2"/>
      <c r="P1053" s="16">
        <v>3700</v>
      </c>
      <c r="Q1053" s="2">
        <f>VLOOKUP(B1053,'Cadastro Produtos'!A:F,5,2)</f>
        <v>15</v>
      </c>
      <c r="R1053" s="14">
        <f t="shared" si="80"/>
        <v>55500</v>
      </c>
    </row>
    <row r="1054" spans="1:18" x14ac:dyDescent="0.25">
      <c r="A1054">
        <v>1053</v>
      </c>
      <c r="B1054">
        <v>3</v>
      </c>
      <c r="C1054" t="str">
        <f>VLOOKUP(B1054,'Cadastro Produtos'!A:E,2,2)</f>
        <v>Limonada Alfa Zero 500 ml</v>
      </c>
      <c r="D1054">
        <v>20</v>
      </c>
      <c r="E1054" t="str">
        <f>VLOOKUP(D1054,'Cadatro Clientes'!A:O,2,2)</f>
        <v>Brasil Saúde</v>
      </c>
      <c r="F1054" t="str">
        <f>VLOOKUP(D1054,'Cadatro Clientes'!A:O,9,2)</f>
        <v>Nordeste</v>
      </c>
      <c r="G1054" s="15">
        <v>42030</v>
      </c>
      <c r="H1054">
        <f t="shared" si="81"/>
        <v>2</v>
      </c>
      <c r="I1054">
        <f t="shared" si="82"/>
        <v>26</v>
      </c>
      <c r="J1054">
        <f t="shared" si="83"/>
        <v>1</v>
      </c>
      <c r="K1054">
        <f t="shared" si="84"/>
        <v>2015</v>
      </c>
      <c r="M1054">
        <v>13</v>
      </c>
      <c r="N1054" t="str">
        <f>VLOOKUP(M1054,'Cadastro Vendedores'!A:H,2,2)</f>
        <v>Andre</v>
      </c>
      <c r="O1054" s="2"/>
      <c r="P1054" s="16">
        <v>4900</v>
      </c>
      <c r="Q1054" s="2">
        <f>VLOOKUP(B1054,'Cadastro Produtos'!A:F,5,2)</f>
        <v>9</v>
      </c>
      <c r="R1054" s="14">
        <f t="shared" si="80"/>
        <v>44100</v>
      </c>
    </row>
    <row r="1055" spans="1:18" x14ac:dyDescent="0.25">
      <c r="A1055">
        <v>1054</v>
      </c>
      <c r="B1055">
        <v>2</v>
      </c>
      <c r="C1055" t="str">
        <f>VLOOKUP(B1055,'Cadastro Produtos'!A:E,2,2)</f>
        <v>Limonada Beta com Açúcar 500 ml</v>
      </c>
      <c r="D1055">
        <v>10</v>
      </c>
      <c r="E1055" t="str">
        <f>VLOOKUP(D1055,'Cadatro Clientes'!A:O,2,2)</f>
        <v>Lemon Gator</v>
      </c>
      <c r="F1055" t="str">
        <f>VLOOKUP(D1055,'Cadatro Clientes'!A:O,9,2)</f>
        <v>Nordeste</v>
      </c>
      <c r="G1055" s="15">
        <v>42031</v>
      </c>
      <c r="H1055">
        <f t="shared" si="81"/>
        <v>3</v>
      </c>
      <c r="I1055">
        <f t="shared" si="82"/>
        <v>27</v>
      </c>
      <c r="J1055">
        <f t="shared" si="83"/>
        <v>1</v>
      </c>
      <c r="K1055">
        <f t="shared" si="84"/>
        <v>2015</v>
      </c>
      <c r="M1055">
        <v>3</v>
      </c>
      <c r="N1055" t="str">
        <f>VLOOKUP(M1055,'Cadastro Vendedores'!A:H,2,2)</f>
        <v>Antônia</v>
      </c>
      <c r="O1055" s="2"/>
      <c r="P1055" s="16">
        <v>7300</v>
      </c>
      <c r="Q1055" s="2">
        <f>VLOOKUP(B1055,'Cadastro Produtos'!A:F,5,2)</f>
        <v>6.5</v>
      </c>
      <c r="R1055" s="14">
        <f t="shared" si="80"/>
        <v>47450</v>
      </c>
    </row>
    <row r="1056" spans="1:18" x14ac:dyDescent="0.25">
      <c r="A1056">
        <v>1055</v>
      </c>
      <c r="B1056">
        <v>6</v>
      </c>
      <c r="C1056" t="str">
        <f>VLOOKUP(B1056,'Cadastro Produtos'!A:E,2,2)</f>
        <v>Limonada Beta com Açúcar 1 L</v>
      </c>
      <c r="D1056">
        <v>11</v>
      </c>
      <c r="E1056" t="str">
        <f>VLOOKUP(D1056,'Cadatro Clientes'!A:O,2,2)</f>
        <v>Red Lemon</v>
      </c>
      <c r="F1056" t="str">
        <f>VLOOKUP(D1056,'Cadatro Clientes'!A:O,9,2)</f>
        <v>Sul</v>
      </c>
      <c r="G1056" s="15">
        <v>42031</v>
      </c>
      <c r="H1056">
        <f t="shared" si="81"/>
        <v>3</v>
      </c>
      <c r="I1056">
        <f t="shared" si="82"/>
        <v>27</v>
      </c>
      <c r="J1056">
        <f t="shared" si="83"/>
        <v>1</v>
      </c>
      <c r="K1056">
        <f t="shared" si="84"/>
        <v>2015</v>
      </c>
      <c r="M1056">
        <v>4</v>
      </c>
      <c r="N1056" t="str">
        <f>VLOOKUP(M1056,'Cadastro Vendedores'!A:H,2,2)</f>
        <v>José</v>
      </c>
      <c r="O1056" s="2"/>
      <c r="P1056" s="16">
        <v>2700</v>
      </c>
      <c r="Q1056" s="2">
        <f>VLOOKUP(B1056,'Cadastro Produtos'!A:F,5,2)</f>
        <v>12</v>
      </c>
      <c r="R1056" s="14">
        <f t="shared" si="80"/>
        <v>32400</v>
      </c>
    </row>
    <row r="1057" spans="1:18" x14ac:dyDescent="0.25">
      <c r="A1057">
        <v>1056</v>
      </c>
      <c r="B1057">
        <v>2</v>
      </c>
      <c r="C1057" t="str">
        <f>VLOOKUP(B1057,'Cadastro Produtos'!A:E,2,2)</f>
        <v>Limonada Beta com Açúcar 500 ml</v>
      </c>
      <c r="D1057">
        <v>11</v>
      </c>
      <c r="E1057" t="str">
        <f>VLOOKUP(D1057,'Cadatro Clientes'!A:O,2,2)</f>
        <v>Red Lemon</v>
      </c>
      <c r="F1057" t="str">
        <f>VLOOKUP(D1057,'Cadatro Clientes'!A:O,9,2)</f>
        <v>Sul</v>
      </c>
      <c r="G1057" s="15">
        <v>42032</v>
      </c>
      <c r="H1057">
        <f t="shared" si="81"/>
        <v>4</v>
      </c>
      <c r="I1057">
        <f t="shared" si="82"/>
        <v>28</v>
      </c>
      <c r="J1057">
        <f t="shared" si="83"/>
        <v>1</v>
      </c>
      <c r="K1057">
        <f t="shared" si="84"/>
        <v>2015</v>
      </c>
      <c r="M1057">
        <v>2</v>
      </c>
      <c r="N1057" t="str">
        <f>VLOOKUP(M1057,'Cadastro Vendedores'!A:H,2,2)</f>
        <v>Luis</v>
      </c>
      <c r="O1057" s="2"/>
      <c r="P1057" s="16">
        <v>8800</v>
      </c>
      <c r="Q1057" s="2">
        <f>VLOOKUP(B1057,'Cadastro Produtos'!A:F,5,2)</f>
        <v>6.5</v>
      </c>
      <c r="R1057" s="14">
        <f t="shared" si="80"/>
        <v>57200</v>
      </c>
    </row>
    <row r="1058" spans="1:18" x14ac:dyDescent="0.25">
      <c r="A1058">
        <v>1057</v>
      </c>
      <c r="B1058">
        <v>9</v>
      </c>
      <c r="C1058" t="str">
        <f>VLOOKUP(B1058,'Cadastro Produtos'!A:E,2,2)</f>
        <v>Limonada Alfa com Hortelã e Açúcar 1 L</v>
      </c>
      <c r="D1058">
        <v>5</v>
      </c>
      <c r="E1058" t="str">
        <f>VLOOKUP(D1058,'Cadatro Clientes'!A:O,2,2)</f>
        <v>Axé com Limão</v>
      </c>
      <c r="F1058" t="str">
        <f>VLOOKUP(D1058,'Cadatro Clientes'!A:O,9,2)</f>
        <v>Nordeste</v>
      </c>
      <c r="G1058" s="15">
        <v>42032</v>
      </c>
      <c r="H1058">
        <f t="shared" si="81"/>
        <v>4</v>
      </c>
      <c r="I1058">
        <f t="shared" si="82"/>
        <v>28</v>
      </c>
      <c r="J1058">
        <f t="shared" si="83"/>
        <v>1</v>
      </c>
      <c r="K1058">
        <f t="shared" si="84"/>
        <v>2015</v>
      </c>
      <c r="M1058">
        <v>3</v>
      </c>
      <c r="N1058" t="str">
        <f>VLOOKUP(M1058,'Cadastro Vendedores'!A:H,2,2)</f>
        <v>Antônia</v>
      </c>
      <c r="O1058" s="2"/>
      <c r="P1058" s="16">
        <v>2000</v>
      </c>
      <c r="Q1058" s="2">
        <f>VLOOKUP(B1058,'Cadastro Produtos'!A:F,5,2)</f>
        <v>17.5</v>
      </c>
      <c r="R1058" s="14">
        <f t="shared" si="80"/>
        <v>35000</v>
      </c>
    </row>
    <row r="1059" spans="1:18" x14ac:dyDescent="0.25">
      <c r="A1059">
        <v>1058</v>
      </c>
      <c r="B1059">
        <v>1</v>
      </c>
      <c r="C1059" t="str">
        <f>VLOOKUP(B1059,'Cadastro Produtos'!A:E,2,2)</f>
        <v>Limonada Alfa com Açúcar 500 ml</v>
      </c>
      <c r="D1059">
        <v>1</v>
      </c>
      <c r="E1059" t="str">
        <f>VLOOKUP(D1059,'Cadatro Clientes'!A:O,2,2)</f>
        <v>Meu Suco de Limão</v>
      </c>
      <c r="F1059" t="str">
        <f>VLOOKUP(D1059,'Cadatro Clientes'!A:O,9,2)</f>
        <v>Norte</v>
      </c>
      <c r="G1059" s="15">
        <v>42033</v>
      </c>
      <c r="H1059">
        <f t="shared" si="81"/>
        <v>5</v>
      </c>
      <c r="I1059">
        <f t="shared" si="82"/>
        <v>29</v>
      </c>
      <c r="J1059">
        <f t="shared" si="83"/>
        <v>1</v>
      </c>
      <c r="K1059">
        <f t="shared" si="84"/>
        <v>2015</v>
      </c>
      <c r="M1059">
        <v>8</v>
      </c>
      <c r="N1059" t="str">
        <f>VLOOKUP(M1059,'Cadastro Vendedores'!A:H,2,2)</f>
        <v>Sérgio</v>
      </c>
      <c r="O1059" s="2"/>
      <c r="P1059" s="16">
        <v>7200</v>
      </c>
      <c r="Q1059" s="2">
        <f>VLOOKUP(B1059,'Cadastro Produtos'!A:F,5,2)</f>
        <v>8.5</v>
      </c>
      <c r="R1059" s="14">
        <f t="shared" si="80"/>
        <v>61200</v>
      </c>
    </row>
    <row r="1060" spans="1:18" x14ac:dyDescent="0.25">
      <c r="A1060">
        <v>1059</v>
      </c>
      <c r="B1060">
        <v>10</v>
      </c>
      <c r="C1060" t="str">
        <f>VLOOKUP(B1060,'Cadastro Produtos'!A:E,2,2)</f>
        <v>Limonada Alfa com Hortelã Zero 1 L</v>
      </c>
      <c r="D1060">
        <v>3</v>
      </c>
      <c r="E1060" t="str">
        <f>VLOOKUP(D1060,'Cadatro Clientes'!A:O,2,2)</f>
        <v>Limonada Suíça Ltda</v>
      </c>
      <c r="F1060" t="str">
        <f>VLOOKUP(D1060,'Cadatro Clientes'!A:O,9,2)</f>
        <v>Nordeste</v>
      </c>
      <c r="G1060" s="15">
        <v>42033</v>
      </c>
      <c r="H1060">
        <f t="shared" si="81"/>
        <v>5</v>
      </c>
      <c r="I1060">
        <f t="shared" si="82"/>
        <v>29</v>
      </c>
      <c r="J1060">
        <f t="shared" si="83"/>
        <v>1</v>
      </c>
      <c r="K1060">
        <f t="shared" si="84"/>
        <v>2015</v>
      </c>
      <c r="M1060">
        <v>12</v>
      </c>
      <c r="N1060" t="str">
        <f>VLOOKUP(M1060,'Cadastro Vendedores'!A:H,2,2)</f>
        <v>Paulo</v>
      </c>
      <c r="O1060" s="2"/>
      <c r="P1060" s="16">
        <v>1300</v>
      </c>
      <c r="Q1060" s="2">
        <f>VLOOKUP(B1060,'Cadastro Produtos'!A:F,5,2)</f>
        <v>21</v>
      </c>
      <c r="R1060" s="14">
        <f t="shared" si="80"/>
        <v>27300</v>
      </c>
    </row>
    <row r="1061" spans="1:18" x14ac:dyDescent="0.25">
      <c r="A1061">
        <v>1060</v>
      </c>
      <c r="B1061">
        <v>7</v>
      </c>
      <c r="C1061" t="str">
        <f>VLOOKUP(B1061,'Cadastro Produtos'!A:E,2,2)</f>
        <v>Limonada Alfa Zero 1 L</v>
      </c>
      <c r="D1061">
        <v>13</v>
      </c>
      <c r="E1061" t="str">
        <f>VLOOKUP(D1061,'Cadatro Clientes'!A:O,2,2)</f>
        <v>Monster Lemon</v>
      </c>
      <c r="F1061" t="str">
        <f>VLOOKUP(D1061,'Cadatro Clientes'!A:O,9,2)</f>
        <v>Nordeste</v>
      </c>
      <c r="G1061" s="15">
        <v>42033</v>
      </c>
      <c r="H1061">
        <f t="shared" si="81"/>
        <v>5</v>
      </c>
      <c r="I1061">
        <f t="shared" si="82"/>
        <v>29</v>
      </c>
      <c r="J1061">
        <f t="shared" si="83"/>
        <v>1</v>
      </c>
      <c r="K1061">
        <f t="shared" si="84"/>
        <v>2015</v>
      </c>
      <c r="M1061">
        <v>4</v>
      </c>
      <c r="N1061" t="str">
        <f>VLOOKUP(M1061,'Cadastro Vendedores'!A:H,2,2)</f>
        <v>José</v>
      </c>
      <c r="O1061" s="2"/>
      <c r="P1061" s="16">
        <v>1300</v>
      </c>
      <c r="Q1061" s="2">
        <f>VLOOKUP(B1061,'Cadastro Produtos'!A:F,5,2)</f>
        <v>15</v>
      </c>
      <c r="R1061" s="14">
        <f t="shared" si="80"/>
        <v>19500</v>
      </c>
    </row>
    <row r="1062" spans="1:18" x14ac:dyDescent="0.25">
      <c r="A1062">
        <v>1061</v>
      </c>
      <c r="B1062">
        <v>8</v>
      </c>
      <c r="C1062" t="str">
        <f>VLOOKUP(B1062,'Cadastro Produtos'!A:E,2,2)</f>
        <v>Limonada Beta Zero 1 L</v>
      </c>
      <c r="D1062">
        <v>20</v>
      </c>
      <c r="E1062" t="str">
        <f>VLOOKUP(D1062,'Cadatro Clientes'!A:O,2,2)</f>
        <v>Brasil Saúde</v>
      </c>
      <c r="F1062" t="str">
        <f>VLOOKUP(D1062,'Cadatro Clientes'!A:O,9,2)</f>
        <v>Nordeste</v>
      </c>
      <c r="G1062" s="15">
        <v>42033</v>
      </c>
      <c r="H1062">
        <f t="shared" si="81"/>
        <v>5</v>
      </c>
      <c r="I1062">
        <f t="shared" si="82"/>
        <v>29</v>
      </c>
      <c r="J1062">
        <f t="shared" si="83"/>
        <v>1</v>
      </c>
      <c r="K1062">
        <f t="shared" si="84"/>
        <v>2015</v>
      </c>
      <c r="M1062">
        <v>6</v>
      </c>
      <c r="N1062" t="str">
        <f>VLOOKUP(M1062,'Cadastro Vendedores'!A:H,2,2)</f>
        <v>Antônia</v>
      </c>
      <c r="O1062" s="2"/>
      <c r="P1062" s="16">
        <v>4600</v>
      </c>
      <c r="Q1062" s="2">
        <f>VLOOKUP(B1062,'Cadastro Produtos'!A:F,5,2)</f>
        <v>12</v>
      </c>
      <c r="R1062" s="14">
        <f t="shared" si="80"/>
        <v>55200</v>
      </c>
    </row>
    <row r="1063" spans="1:18" x14ac:dyDescent="0.25">
      <c r="A1063">
        <v>1062</v>
      </c>
      <c r="B1063">
        <v>8</v>
      </c>
      <c r="C1063" t="str">
        <f>VLOOKUP(B1063,'Cadastro Produtos'!A:E,2,2)</f>
        <v>Limonada Beta Zero 1 L</v>
      </c>
      <c r="D1063">
        <v>11</v>
      </c>
      <c r="E1063" t="str">
        <f>VLOOKUP(D1063,'Cadatro Clientes'!A:O,2,2)</f>
        <v>Red Lemon</v>
      </c>
      <c r="F1063" t="str">
        <f>VLOOKUP(D1063,'Cadatro Clientes'!A:O,9,2)</f>
        <v>Sul</v>
      </c>
      <c r="G1063" s="15">
        <v>42033</v>
      </c>
      <c r="H1063">
        <f t="shared" si="81"/>
        <v>5</v>
      </c>
      <c r="I1063">
        <f t="shared" si="82"/>
        <v>29</v>
      </c>
      <c r="J1063">
        <f t="shared" si="83"/>
        <v>1</v>
      </c>
      <c r="K1063">
        <f t="shared" si="84"/>
        <v>2015</v>
      </c>
      <c r="M1063">
        <v>4</v>
      </c>
      <c r="N1063" t="str">
        <f>VLOOKUP(M1063,'Cadastro Vendedores'!A:H,2,2)</f>
        <v>José</v>
      </c>
      <c r="O1063" s="2"/>
      <c r="P1063" s="16">
        <v>2500</v>
      </c>
      <c r="Q1063" s="2">
        <f>VLOOKUP(B1063,'Cadastro Produtos'!A:F,5,2)</f>
        <v>12</v>
      </c>
      <c r="R1063" s="14">
        <f t="shared" si="80"/>
        <v>30000</v>
      </c>
    </row>
    <row r="1064" spans="1:18" x14ac:dyDescent="0.25">
      <c r="A1064">
        <v>1063</v>
      </c>
      <c r="B1064">
        <v>9</v>
      </c>
      <c r="C1064" t="str">
        <f>VLOOKUP(B1064,'Cadastro Produtos'!A:E,2,2)</f>
        <v>Limonada Alfa com Hortelã e Açúcar 1 L</v>
      </c>
      <c r="D1064">
        <v>5</v>
      </c>
      <c r="E1064" t="str">
        <f>VLOOKUP(D1064,'Cadatro Clientes'!A:O,2,2)</f>
        <v>Axé com Limão</v>
      </c>
      <c r="F1064" t="str">
        <f>VLOOKUP(D1064,'Cadatro Clientes'!A:O,9,2)</f>
        <v>Nordeste</v>
      </c>
      <c r="G1064" s="15">
        <v>42034</v>
      </c>
      <c r="H1064">
        <f t="shared" si="81"/>
        <v>6</v>
      </c>
      <c r="I1064">
        <f t="shared" si="82"/>
        <v>30</v>
      </c>
      <c r="J1064">
        <f t="shared" si="83"/>
        <v>1</v>
      </c>
      <c r="K1064">
        <f t="shared" si="84"/>
        <v>2015</v>
      </c>
      <c r="M1064">
        <v>9</v>
      </c>
      <c r="N1064" t="str">
        <f>VLOOKUP(M1064,'Cadastro Vendedores'!A:H,2,2)</f>
        <v>Adriana</v>
      </c>
      <c r="O1064" s="2"/>
      <c r="P1064" s="16">
        <v>2400</v>
      </c>
      <c r="Q1064" s="2">
        <f>VLOOKUP(B1064,'Cadastro Produtos'!A:F,5,2)</f>
        <v>17.5</v>
      </c>
      <c r="R1064" s="14">
        <f t="shared" si="80"/>
        <v>42000</v>
      </c>
    </row>
    <row r="1065" spans="1:18" x14ac:dyDescent="0.25">
      <c r="A1065">
        <v>1064</v>
      </c>
      <c r="B1065">
        <v>3</v>
      </c>
      <c r="C1065" t="str">
        <f>VLOOKUP(B1065,'Cadastro Produtos'!A:E,2,2)</f>
        <v>Limonada Alfa Zero 500 ml</v>
      </c>
      <c r="D1065">
        <v>17</v>
      </c>
      <c r="E1065" t="str">
        <f>VLOOKUP(D1065,'Cadatro Clientes'!A:O,2,2)</f>
        <v>Aracasuco</v>
      </c>
      <c r="F1065" t="str">
        <f>VLOOKUP(D1065,'Cadatro Clientes'!A:O,9,2)</f>
        <v>Nordeste</v>
      </c>
      <c r="G1065" s="15">
        <v>42034</v>
      </c>
      <c r="H1065">
        <f t="shared" si="81"/>
        <v>6</v>
      </c>
      <c r="I1065">
        <f t="shared" si="82"/>
        <v>30</v>
      </c>
      <c r="J1065">
        <f t="shared" si="83"/>
        <v>1</v>
      </c>
      <c r="K1065">
        <f t="shared" si="84"/>
        <v>2015</v>
      </c>
      <c r="M1065">
        <v>13</v>
      </c>
      <c r="N1065" t="str">
        <f>VLOOKUP(M1065,'Cadastro Vendedores'!A:H,2,2)</f>
        <v>Andre</v>
      </c>
      <c r="O1065" s="2"/>
      <c r="P1065" s="16">
        <v>1700</v>
      </c>
      <c r="Q1065" s="2">
        <f>VLOOKUP(B1065,'Cadastro Produtos'!A:F,5,2)</f>
        <v>9</v>
      </c>
      <c r="R1065" s="14">
        <f t="shared" si="80"/>
        <v>15300</v>
      </c>
    </row>
    <row r="1066" spans="1:18" x14ac:dyDescent="0.25">
      <c r="A1066">
        <v>1065</v>
      </c>
      <c r="B1066">
        <v>3</v>
      </c>
      <c r="C1066" t="str">
        <f>VLOOKUP(B1066,'Cadastro Produtos'!A:E,2,2)</f>
        <v>Limonada Alfa Zero 500 ml</v>
      </c>
      <c r="D1066">
        <v>5</v>
      </c>
      <c r="E1066" t="str">
        <f>VLOOKUP(D1066,'Cadatro Clientes'!A:O,2,2)</f>
        <v>Axé com Limão</v>
      </c>
      <c r="F1066" t="str">
        <f>VLOOKUP(D1066,'Cadatro Clientes'!A:O,9,2)</f>
        <v>Nordeste</v>
      </c>
      <c r="G1066" s="15">
        <v>42034</v>
      </c>
      <c r="H1066">
        <f t="shared" si="81"/>
        <v>6</v>
      </c>
      <c r="I1066">
        <f t="shared" si="82"/>
        <v>30</v>
      </c>
      <c r="J1066">
        <f t="shared" si="83"/>
        <v>1</v>
      </c>
      <c r="K1066">
        <f t="shared" si="84"/>
        <v>2015</v>
      </c>
      <c r="M1066">
        <v>16</v>
      </c>
      <c r="N1066" t="str">
        <f>VLOOKUP(M1066,'Cadastro Vendedores'!A:H,2,2)</f>
        <v>Jose</v>
      </c>
      <c r="O1066" s="2"/>
      <c r="P1066" s="16">
        <v>6200</v>
      </c>
      <c r="Q1066" s="2">
        <f>VLOOKUP(B1066,'Cadastro Produtos'!A:F,5,2)</f>
        <v>9</v>
      </c>
      <c r="R1066" s="14">
        <f t="shared" si="80"/>
        <v>55800</v>
      </c>
    </row>
    <row r="1067" spans="1:18" x14ac:dyDescent="0.25">
      <c r="A1067">
        <v>1066</v>
      </c>
      <c r="B1067">
        <v>6</v>
      </c>
      <c r="C1067" t="str">
        <f>VLOOKUP(B1067,'Cadastro Produtos'!A:E,2,2)</f>
        <v>Limonada Beta com Açúcar 1 L</v>
      </c>
      <c r="D1067">
        <v>9</v>
      </c>
      <c r="E1067" t="str">
        <f>VLOOKUP(D1067,'Cadatro Clientes'!A:O,2,2)</f>
        <v>Fresh Lemon</v>
      </c>
      <c r="F1067" t="str">
        <f>VLOOKUP(D1067,'Cadatro Clientes'!A:O,9,2)</f>
        <v>Sudeste</v>
      </c>
      <c r="G1067" s="15">
        <v>42035</v>
      </c>
      <c r="H1067">
        <f t="shared" si="81"/>
        <v>7</v>
      </c>
      <c r="I1067">
        <f t="shared" si="82"/>
        <v>31</v>
      </c>
      <c r="J1067">
        <f t="shared" si="83"/>
        <v>1</v>
      </c>
      <c r="K1067">
        <f t="shared" si="84"/>
        <v>2015</v>
      </c>
      <c r="M1067">
        <v>3</v>
      </c>
      <c r="N1067" t="str">
        <f>VLOOKUP(M1067,'Cadastro Vendedores'!A:H,2,2)</f>
        <v>Antônia</v>
      </c>
      <c r="O1067" s="2"/>
      <c r="P1067" s="16">
        <v>4800</v>
      </c>
      <c r="Q1067" s="2">
        <f>VLOOKUP(B1067,'Cadastro Produtos'!A:F,5,2)</f>
        <v>12</v>
      </c>
      <c r="R1067" s="14">
        <f t="shared" si="80"/>
        <v>57600</v>
      </c>
    </row>
    <row r="1068" spans="1:18" x14ac:dyDescent="0.25">
      <c r="A1068">
        <v>1067</v>
      </c>
      <c r="B1068">
        <v>7</v>
      </c>
      <c r="C1068" t="str">
        <f>VLOOKUP(B1068,'Cadastro Produtos'!A:E,2,2)</f>
        <v>Limonada Alfa Zero 1 L</v>
      </c>
      <c r="D1068">
        <v>17</v>
      </c>
      <c r="E1068" t="str">
        <f>VLOOKUP(D1068,'Cadatro Clientes'!A:O,2,2)</f>
        <v>Aracasuco</v>
      </c>
      <c r="F1068" t="str">
        <f>VLOOKUP(D1068,'Cadatro Clientes'!A:O,9,2)</f>
        <v>Nordeste</v>
      </c>
      <c r="G1068" s="15">
        <v>42035</v>
      </c>
      <c r="H1068">
        <f t="shared" si="81"/>
        <v>7</v>
      </c>
      <c r="I1068">
        <f t="shared" si="82"/>
        <v>31</v>
      </c>
      <c r="J1068">
        <f t="shared" si="83"/>
        <v>1</v>
      </c>
      <c r="K1068">
        <f t="shared" si="84"/>
        <v>2015</v>
      </c>
      <c r="M1068">
        <v>8</v>
      </c>
      <c r="N1068" t="str">
        <f>VLOOKUP(M1068,'Cadastro Vendedores'!A:H,2,2)</f>
        <v>Sérgio</v>
      </c>
      <c r="O1068" s="2"/>
      <c r="P1068" s="16">
        <v>3800</v>
      </c>
      <c r="Q1068" s="2">
        <f>VLOOKUP(B1068,'Cadastro Produtos'!A:F,5,2)</f>
        <v>15</v>
      </c>
      <c r="R1068" s="14">
        <f t="shared" si="80"/>
        <v>57000</v>
      </c>
    </row>
    <row r="1069" spans="1:18" x14ac:dyDescent="0.25">
      <c r="A1069">
        <v>1068</v>
      </c>
      <c r="B1069">
        <v>8</v>
      </c>
      <c r="C1069" t="str">
        <f>VLOOKUP(B1069,'Cadastro Produtos'!A:E,2,2)</f>
        <v>Limonada Beta Zero 1 L</v>
      </c>
      <c r="D1069">
        <v>1</v>
      </c>
      <c r="E1069" t="str">
        <f>VLOOKUP(D1069,'Cadatro Clientes'!A:O,2,2)</f>
        <v>Meu Suco de Limão</v>
      </c>
      <c r="F1069" t="str">
        <f>VLOOKUP(D1069,'Cadatro Clientes'!A:O,9,2)</f>
        <v>Norte</v>
      </c>
      <c r="G1069" s="15">
        <v>42036</v>
      </c>
      <c r="H1069">
        <f t="shared" si="81"/>
        <v>1</v>
      </c>
      <c r="I1069">
        <f t="shared" si="82"/>
        <v>1</v>
      </c>
      <c r="J1069">
        <f t="shared" si="83"/>
        <v>2</v>
      </c>
      <c r="K1069">
        <f t="shared" si="84"/>
        <v>2015</v>
      </c>
      <c r="M1069">
        <v>6</v>
      </c>
      <c r="N1069" t="str">
        <f>VLOOKUP(M1069,'Cadastro Vendedores'!A:H,2,2)</f>
        <v>Antônia</v>
      </c>
      <c r="O1069" s="2"/>
      <c r="P1069" s="16">
        <v>3600</v>
      </c>
      <c r="Q1069" s="2">
        <f>VLOOKUP(B1069,'Cadastro Produtos'!A:F,5,2)</f>
        <v>12</v>
      </c>
      <c r="R1069" s="14">
        <f t="shared" si="80"/>
        <v>43200</v>
      </c>
    </row>
    <row r="1070" spans="1:18" x14ac:dyDescent="0.25">
      <c r="A1070">
        <v>1069</v>
      </c>
      <c r="B1070">
        <v>4</v>
      </c>
      <c r="C1070" t="str">
        <f>VLOOKUP(B1070,'Cadastro Produtos'!A:E,2,2)</f>
        <v>Limonada Beta Zero 500 ml</v>
      </c>
      <c r="D1070">
        <v>13</v>
      </c>
      <c r="E1070" t="str">
        <f>VLOOKUP(D1070,'Cadatro Clientes'!A:O,2,2)</f>
        <v>Monster Lemon</v>
      </c>
      <c r="F1070" t="str">
        <f>VLOOKUP(D1070,'Cadatro Clientes'!A:O,9,2)</f>
        <v>Nordeste</v>
      </c>
      <c r="G1070" s="15">
        <v>42036</v>
      </c>
      <c r="H1070">
        <f t="shared" si="81"/>
        <v>1</v>
      </c>
      <c r="I1070">
        <f t="shared" si="82"/>
        <v>1</v>
      </c>
      <c r="J1070">
        <f t="shared" si="83"/>
        <v>2</v>
      </c>
      <c r="K1070">
        <f t="shared" si="84"/>
        <v>2015</v>
      </c>
      <c r="M1070">
        <v>3</v>
      </c>
      <c r="N1070" t="str">
        <f>VLOOKUP(M1070,'Cadastro Vendedores'!A:H,2,2)</f>
        <v>Antônia</v>
      </c>
      <c r="O1070" s="2"/>
      <c r="P1070" s="16">
        <v>7900</v>
      </c>
      <c r="Q1070" s="2">
        <f>VLOOKUP(B1070,'Cadastro Produtos'!A:F,5,2)</f>
        <v>7</v>
      </c>
      <c r="R1070" s="14">
        <f t="shared" si="80"/>
        <v>55300</v>
      </c>
    </row>
    <row r="1071" spans="1:18" x14ac:dyDescent="0.25">
      <c r="A1071">
        <v>1070</v>
      </c>
      <c r="B1071">
        <v>5</v>
      </c>
      <c r="C1071" t="str">
        <f>VLOOKUP(B1071,'Cadastro Produtos'!A:E,2,2)</f>
        <v>Limonada Alfa com Açúcar 1 L</v>
      </c>
      <c r="D1071">
        <v>19</v>
      </c>
      <c r="E1071" t="str">
        <f>VLOOKUP(D1071,'Cadatro Clientes'!A:O,2,2)</f>
        <v>Lima Limão</v>
      </c>
      <c r="F1071" t="str">
        <f>VLOOKUP(D1071,'Cadatro Clientes'!A:O,9,2)</f>
        <v>Sudeste</v>
      </c>
      <c r="G1071" s="15">
        <v>42036</v>
      </c>
      <c r="H1071">
        <f t="shared" si="81"/>
        <v>1</v>
      </c>
      <c r="I1071">
        <f t="shared" si="82"/>
        <v>1</v>
      </c>
      <c r="J1071">
        <f t="shared" si="83"/>
        <v>2</v>
      </c>
      <c r="K1071">
        <f t="shared" si="84"/>
        <v>2015</v>
      </c>
      <c r="M1071">
        <v>8</v>
      </c>
      <c r="N1071" t="str">
        <f>VLOOKUP(M1071,'Cadastro Vendedores'!A:H,2,2)</f>
        <v>Sérgio</v>
      </c>
      <c r="O1071" s="2"/>
      <c r="P1071" s="16">
        <v>3400</v>
      </c>
      <c r="Q1071" s="2">
        <f>VLOOKUP(B1071,'Cadastro Produtos'!A:F,5,2)</f>
        <v>15</v>
      </c>
      <c r="R1071" s="14">
        <f t="shared" si="80"/>
        <v>51000</v>
      </c>
    </row>
    <row r="1072" spans="1:18" x14ac:dyDescent="0.25">
      <c r="A1072">
        <v>1071</v>
      </c>
      <c r="B1072">
        <v>10</v>
      </c>
      <c r="C1072" t="str">
        <f>VLOOKUP(B1072,'Cadastro Produtos'!A:E,2,2)</f>
        <v>Limonada Alfa com Hortelã Zero 1 L</v>
      </c>
      <c r="D1072">
        <v>5</v>
      </c>
      <c r="E1072" t="str">
        <f>VLOOKUP(D1072,'Cadatro Clientes'!A:O,2,2)</f>
        <v>Axé com Limão</v>
      </c>
      <c r="F1072" t="str">
        <f>VLOOKUP(D1072,'Cadatro Clientes'!A:O,9,2)</f>
        <v>Nordeste</v>
      </c>
      <c r="G1072" s="15">
        <v>42036</v>
      </c>
      <c r="H1072">
        <f t="shared" si="81"/>
        <v>1</v>
      </c>
      <c r="I1072">
        <f t="shared" si="82"/>
        <v>1</v>
      </c>
      <c r="J1072">
        <f t="shared" si="83"/>
        <v>2</v>
      </c>
      <c r="K1072">
        <f t="shared" si="84"/>
        <v>2015</v>
      </c>
      <c r="M1072">
        <v>13</v>
      </c>
      <c r="N1072" t="str">
        <f>VLOOKUP(M1072,'Cadastro Vendedores'!A:H,2,2)</f>
        <v>Andre</v>
      </c>
      <c r="O1072" s="2"/>
      <c r="P1072" s="16">
        <v>1100</v>
      </c>
      <c r="Q1072" s="2">
        <f>VLOOKUP(B1072,'Cadastro Produtos'!A:F,5,2)</f>
        <v>21</v>
      </c>
      <c r="R1072" s="14">
        <f t="shared" si="80"/>
        <v>23100</v>
      </c>
    </row>
    <row r="1073" spans="1:18" x14ac:dyDescent="0.25">
      <c r="A1073">
        <v>1072</v>
      </c>
      <c r="B1073">
        <v>10</v>
      </c>
      <c r="C1073" t="str">
        <f>VLOOKUP(B1073,'Cadastro Produtos'!A:E,2,2)</f>
        <v>Limonada Alfa com Hortelã Zero 1 L</v>
      </c>
      <c r="D1073">
        <v>1</v>
      </c>
      <c r="E1073" t="str">
        <f>VLOOKUP(D1073,'Cadatro Clientes'!A:O,2,2)</f>
        <v>Meu Suco de Limão</v>
      </c>
      <c r="F1073" t="str">
        <f>VLOOKUP(D1073,'Cadatro Clientes'!A:O,9,2)</f>
        <v>Norte</v>
      </c>
      <c r="G1073" s="15">
        <v>42037</v>
      </c>
      <c r="H1073">
        <f t="shared" si="81"/>
        <v>2</v>
      </c>
      <c r="I1073">
        <f t="shared" si="82"/>
        <v>2</v>
      </c>
      <c r="J1073">
        <f t="shared" si="83"/>
        <v>2</v>
      </c>
      <c r="K1073">
        <f t="shared" si="84"/>
        <v>2015</v>
      </c>
      <c r="M1073">
        <v>8</v>
      </c>
      <c r="N1073" t="str">
        <f>VLOOKUP(M1073,'Cadastro Vendedores'!A:H,2,2)</f>
        <v>Sérgio</v>
      </c>
      <c r="O1073" s="2"/>
      <c r="P1073" s="16">
        <v>2900</v>
      </c>
      <c r="Q1073" s="2">
        <f>VLOOKUP(B1073,'Cadastro Produtos'!A:F,5,2)</f>
        <v>21</v>
      </c>
      <c r="R1073" s="14">
        <f t="shared" si="80"/>
        <v>60900</v>
      </c>
    </row>
    <row r="1074" spans="1:18" x14ac:dyDescent="0.25">
      <c r="A1074">
        <v>1073</v>
      </c>
      <c r="B1074">
        <v>7</v>
      </c>
      <c r="C1074" t="str">
        <f>VLOOKUP(B1074,'Cadastro Produtos'!A:E,2,2)</f>
        <v>Limonada Alfa Zero 1 L</v>
      </c>
      <c r="D1074">
        <v>8</v>
      </c>
      <c r="E1074" t="str">
        <f>VLOOKUP(D1074,'Cadatro Clientes'!A:O,2,2)</f>
        <v>Refresko</v>
      </c>
      <c r="F1074" t="str">
        <f>VLOOKUP(D1074,'Cadatro Clientes'!A:O,9,2)</f>
        <v>Sul</v>
      </c>
      <c r="G1074" s="15">
        <v>42037</v>
      </c>
      <c r="H1074">
        <f t="shared" si="81"/>
        <v>2</v>
      </c>
      <c r="I1074">
        <f t="shared" si="82"/>
        <v>2</v>
      </c>
      <c r="J1074">
        <f t="shared" si="83"/>
        <v>2</v>
      </c>
      <c r="K1074">
        <f t="shared" si="84"/>
        <v>2015</v>
      </c>
      <c r="M1074">
        <v>6</v>
      </c>
      <c r="N1074" t="str">
        <f>VLOOKUP(M1074,'Cadastro Vendedores'!A:H,2,2)</f>
        <v>Antônia</v>
      </c>
      <c r="O1074" s="2"/>
      <c r="P1074" s="16">
        <v>3600</v>
      </c>
      <c r="Q1074" s="2">
        <f>VLOOKUP(B1074,'Cadastro Produtos'!A:F,5,2)</f>
        <v>15</v>
      </c>
      <c r="R1074" s="14">
        <f t="shared" si="80"/>
        <v>54000</v>
      </c>
    </row>
    <row r="1075" spans="1:18" x14ac:dyDescent="0.25">
      <c r="A1075">
        <v>1074</v>
      </c>
      <c r="B1075">
        <v>7</v>
      </c>
      <c r="C1075" t="str">
        <f>VLOOKUP(B1075,'Cadastro Produtos'!A:E,2,2)</f>
        <v>Limonada Alfa Zero 1 L</v>
      </c>
      <c r="D1075">
        <v>6</v>
      </c>
      <c r="E1075" t="str">
        <f>VLOOKUP(D1075,'Cadatro Clientes'!A:O,2,2)</f>
        <v>Lemonade</v>
      </c>
      <c r="F1075" t="str">
        <f>VLOOKUP(D1075,'Cadatro Clientes'!A:O,9,2)</f>
        <v>Norte</v>
      </c>
      <c r="G1075" s="15">
        <v>42037</v>
      </c>
      <c r="H1075">
        <f t="shared" si="81"/>
        <v>2</v>
      </c>
      <c r="I1075">
        <f t="shared" si="82"/>
        <v>2</v>
      </c>
      <c r="J1075">
        <f t="shared" si="83"/>
        <v>2</v>
      </c>
      <c r="K1075">
        <f t="shared" si="84"/>
        <v>2015</v>
      </c>
      <c r="M1075">
        <v>4</v>
      </c>
      <c r="N1075" t="str">
        <f>VLOOKUP(M1075,'Cadastro Vendedores'!A:H,2,2)</f>
        <v>José</v>
      </c>
      <c r="O1075" s="2"/>
      <c r="P1075" s="16">
        <v>1900</v>
      </c>
      <c r="Q1075" s="2">
        <f>VLOOKUP(B1075,'Cadastro Produtos'!A:F,5,2)</f>
        <v>15</v>
      </c>
      <c r="R1075" s="14">
        <f t="shared" si="80"/>
        <v>28500</v>
      </c>
    </row>
    <row r="1076" spans="1:18" x14ac:dyDescent="0.25">
      <c r="A1076">
        <v>1075</v>
      </c>
      <c r="B1076">
        <v>5</v>
      </c>
      <c r="C1076" t="str">
        <f>VLOOKUP(B1076,'Cadastro Produtos'!A:E,2,2)</f>
        <v>Limonada Alfa com Açúcar 1 L</v>
      </c>
      <c r="D1076">
        <v>5</v>
      </c>
      <c r="E1076" t="str">
        <f>VLOOKUP(D1076,'Cadatro Clientes'!A:O,2,2)</f>
        <v>Axé com Limão</v>
      </c>
      <c r="F1076" t="str">
        <f>VLOOKUP(D1076,'Cadatro Clientes'!A:O,9,2)</f>
        <v>Nordeste</v>
      </c>
      <c r="G1076" s="15">
        <v>42037</v>
      </c>
      <c r="H1076">
        <f t="shared" si="81"/>
        <v>2</v>
      </c>
      <c r="I1076">
        <f t="shared" si="82"/>
        <v>2</v>
      </c>
      <c r="J1076">
        <f t="shared" si="83"/>
        <v>2</v>
      </c>
      <c r="K1076">
        <f t="shared" si="84"/>
        <v>2015</v>
      </c>
      <c r="M1076">
        <v>12</v>
      </c>
      <c r="N1076" t="str">
        <f>VLOOKUP(M1076,'Cadastro Vendedores'!A:H,2,2)</f>
        <v>Paulo</v>
      </c>
      <c r="O1076" s="2"/>
      <c r="P1076" s="16">
        <v>2600</v>
      </c>
      <c r="Q1076" s="2">
        <f>VLOOKUP(B1076,'Cadastro Produtos'!A:F,5,2)</f>
        <v>15</v>
      </c>
      <c r="R1076" s="14">
        <f t="shared" si="80"/>
        <v>39000</v>
      </c>
    </row>
    <row r="1077" spans="1:18" x14ac:dyDescent="0.25">
      <c r="A1077">
        <v>1076</v>
      </c>
      <c r="B1077">
        <v>3</v>
      </c>
      <c r="C1077" t="str">
        <f>VLOOKUP(B1077,'Cadastro Produtos'!A:E,2,2)</f>
        <v>Limonada Alfa Zero 500 ml</v>
      </c>
      <c r="D1077">
        <v>2</v>
      </c>
      <c r="E1077" t="str">
        <f>VLOOKUP(D1077,'Cadatro Clientes'!A:O,2,2)</f>
        <v>Limão S/A</v>
      </c>
      <c r="F1077" t="str">
        <f>VLOOKUP(D1077,'Cadatro Clientes'!A:O,9,2)</f>
        <v>Centro-Oeste</v>
      </c>
      <c r="G1077" s="15">
        <v>42038</v>
      </c>
      <c r="H1077">
        <f t="shared" si="81"/>
        <v>3</v>
      </c>
      <c r="I1077">
        <f t="shared" si="82"/>
        <v>3</v>
      </c>
      <c r="J1077">
        <f t="shared" si="83"/>
        <v>2</v>
      </c>
      <c r="K1077">
        <f t="shared" si="84"/>
        <v>2015</v>
      </c>
      <c r="M1077">
        <v>15</v>
      </c>
      <c r="N1077" t="str">
        <f>VLOOKUP(M1077,'Cadastro Vendedores'!A:H,2,2)</f>
        <v>Luis</v>
      </c>
      <c r="O1077" s="2"/>
      <c r="P1077" s="16">
        <v>4700</v>
      </c>
      <c r="Q1077" s="2">
        <f>VLOOKUP(B1077,'Cadastro Produtos'!A:F,5,2)</f>
        <v>9</v>
      </c>
      <c r="R1077" s="14">
        <f t="shared" si="80"/>
        <v>42300</v>
      </c>
    </row>
    <row r="1078" spans="1:18" x14ac:dyDescent="0.25">
      <c r="A1078">
        <v>1077</v>
      </c>
      <c r="B1078">
        <v>3</v>
      </c>
      <c r="C1078" t="str">
        <f>VLOOKUP(B1078,'Cadastro Produtos'!A:E,2,2)</f>
        <v>Limonada Alfa Zero 500 ml</v>
      </c>
      <c r="D1078">
        <v>2</v>
      </c>
      <c r="E1078" t="str">
        <f>VLOOKUP(D1078,'Cadatro Clientes'!A:O,2,2)</f>
        <v>Limão S/A</v>
      </c>
      <c r="F1078" t="str">
        <f>VLOOKUP(D1078,'Cadatro Clientes'!A:O,9,2)</f>
        <v>Centro-Oeste</v>
      </c>
      <c r="G1078" s="15">
        <v>42038</v>
      </c>
      <c r="H1078">
        <f t="shared" si="81"/>
        <v>3</v>
      </c>
      <c r="I1078">
        <f t="shared" si="82"/>
        <v>3</v>
      </c>
      <c r="J1078">
        <f t="shared" si="83"/>
        <v>2</v>
      </c>
      <c r="K1078">
        <f t="shared" si="84"/>
        <v>2015</v>
      </c>
      <c r="M1078">
        <v>4</v>
      </c>
      <c r="N1078" t="str">
        <f>VLOOKUP(M1078,'Cadastro Vendedores'!A:H,2,2)</f>
        <v>José</v>
      </c>
      <c r="O1078" s="2"/>
      <c r="P1078" s="16">
        <v>1700</v>
      </c>
      <c r="Q1078" s="2">
        <f>VLOOKUP(B1078,'Cadastro Produtos'!A:F,5,2)</f>
        <v>9</v>
      </c>
      <c r="R1078" s="14">
        <f t="shared" si="80"/>
        <v>15300</v>
      </c>
    </row>
    <row r="1079" spans="1:18" x14ac:dyDescent="0.25">
      <c r="A1079">
        <v>1078</v>
      </c>
      <c r="B1079">
        <v>2</v>
      </c>
      <c r="C1079" t="str">
        <f>VLOOKUP(B1079,'Cadastro Produtos'!A:E,2,2)</f>
        <v>Limonada Beta com Açúcar 500 ml</v>
      </c>
      <c r="D1079">
        <v>10</v>
      </c>
      <c r="E1079" t="str">
        <f>VLOOKUP(D1079,'Cadatro Clientes'!A:O,2,2)</f>
        <v>Lemon Gator</v>
      </c>
      <c r="F1079" t="str">
        <f>VLOOKUP(D1079,'Cadatro Clientes'!A:O,9,2)</f>
        <v>Nordeste</v>
      </c>
      <c r="G1079" s="15">
        <v>42038</v>
      </c>
      <c r="H1079">
        <f t="shared" si="81"/>
        <v>3</v>
      </c>
      <c r="I1079">
        <f t="shared" si="82"/>
        <v>3</v>
      </c>
      <c r="J1079">
        <f t="shared" si="83"/>
        <v>2</v>
      </c>
      <c r="K1079">
        <f t="shared" si="84"/>
        <v>2015</v>
      </c>
      <c r="M1079">
        <v>13</v>
      </c>
      <c r="N1079" t="str">
        <f>VLOOKUP(M1079,'Cadastro Vendedores'!A:H,2,2)</f>
        <v>Andre</v>
      </c>
      <c r="O1079" s="2"/>
      <c r="P1079" s="16">
        <v>3400</v>
      </c>
      <c r="Q1079" s="2">
        <f>VLOOKUP(B1079,'Cadastro Produtos'!A:F,5,2)</f>
        <v>6.5</v>
      </c>
      <c r="R1079" s="14">
        <f t="shared" si="80"/>
        <v>22100</v>
      </c>
    </row>
    <row r="1080" spans="1:18" x14ac:dyDescent="0.25">
      <c r="A1080">
        <v>1079</v>
      </c>
      <c r="B1080">
        <v>2</v>
      </c>
      <c r="C1080" t="str">
        <f>VLOOKUP(B1080,'Cadastro Produtos'!A:E,2,2)</f>
        <v>Limonada Beta com Açúcar 500 ml</v>
      </c>
      <c r="D1080">
        <v>1</v>
      </c>
      <c r="E1080" t="str">
        <f>VLOOKUP(D1080,'Cadatro Clientes'!A:O,2,2)</f>
        <v>Meu Suco de Limão</v>
      </c>
      <c r="F1080" t="str">
        <f>VLOOKUP(D1080,'Cadatro Clientes'!A:O,9,2)</f>
        <v>Norte</v>
      </c>
      <c r="G1080" s="15">
        <v>42039</v>
      </c>
      <c r="H1080">
        <f t="shared" si="81"/>
        <v>4</v>
      </c>
      <c r="I1080">
        <f t="shared" si="82"/>
        <v>4</v>
      </c>
      <c r="J1080">
        <f t="shared" si="83"/>
        <v>2</v>
      </c>
      <c r="K1080">
        <f t="shared" si="84"/>
        <v>2015</v>
      </c>
      <c r="M1080">
        <v>3</v>
      </c>
      <c r="N1080" t="str">
        <f>VLOOKUP(M1080,'Cadastro Vendedores'!A:H,2,2)</f>
        <v>Antônia</v>
      </c>
      <c r="O1080" s="2"/>
      <c r="P1080" s="16">
        <v>3300</v>
      </c>
      <c r="Q1080" s="2">
        <f>VLOOKUP(B1080,'Cadastro Produtos'!A:F,5,2)</f>
        <v>6.5</v>
      </c>
      <c r="R1080" s="14">
        <f t="shared" si="80"/>
        <v>21450</v>
      </c>
    </row>
    <row r="1081" spans="1:18" x14ac:dyDescent="0.25">
      <c r="A1081">
        <v>1080</v>
      </c>
      <c r="B1081">
        <v>1</v>
      </c>
      <c r="C1081" t="str">
        <f>VLOOKUP(B1081,'Cadastro Produtos'!A:E,2,2)</f>
        <v>Limonada Alfa com Açúcar 500 ml</v>
      </c>
      <c r="D1081">
        <v>9</v>
      </c>
      <c r="E1081" t="str">
        <f>VLOOKUP(D1081,'Cadatro Clientes'!A:O,2,2)</f>
        <v>Fresh Lemon</v>
      </c>
      <c r="F1081" t="str">
        <f>VLOOKUP(D1081,'Cadatro Clientes'!A:O,9,2)</f>
        <v>Sudeste</v>
      </c>
      <c r="G1081" s="15">
        <v>42039</v>
      </c>
      <c r="H1081">
        <f t="shared" si="81"/>
        <v>4</v>
      </c>
      <c r="I1081">
        <f t="shared" si="82"/>
        <v>4</v>
      </c>
      <c r="J1081">
        <f t="shared" si="83"/>
        <v>2</v>
      </c>
      <c r="K1081">
        <f t="shared" si="84"/>
        <v>2015</v>
      </c>
      <c r="M1081">
        <v>12</v>
      </c>
      <c r="N1081" t="str">
        <f>VLOOKUP(M1081,'Cadastro Vendedores'!A:H,2,2)</f>
        <v>Paulo</v>
      </c>
      <c r="O1081" s="2"/>
      <c r="P1081" s="16">
        <v>3600</v>
      </c>
      <c r="Q1081" s="2">
        <f>VLOOKUP(B1081,'Cadastro Produtos'!A:F,5,2)</f>
        <v>8.5</v>
      </c>
      <c r="R1081" s="14">
        <f t="shared" si="80"/>
        <v>30600</v>
      </c>
    </row>
    <row r="1082" spans="1:18" x14ac:dyDescent="0.25">
      <c r="A1082">
        <v>1081</v>
      </c>
      <c r="B1082">
        <v>1</v>
      </c>
      <c r="C1082" t="str">
        <f>VLOOKUP(B1082,'Cadastro Produtos'!A:E,2,2)</f>
        <v>Limonada Alfa com Açúcar 500 ml</v>
      </c>
      <c r="D1082">
        <v>19</v>
      </c>
      <c r="E1082" t="str">
        <f>VLOOKUP(D1082,'Cadatro Clientes'!A:O,2,2)</f>
        <v>Lima Limão</v>
      </c>
      <c r="F1082" t="str">
        <f>VLOOKUP(D1082,'Cadatro Clientes'!A:O,9,2)</f>
        <v>Sudeste</v>
      </c>
      <c r="G1082" s="15">
        <v>42039</v>
      </c>
      <c r="H1082">
        <f t="shared" si="81"/>
        <v>4</v>
      </c>
      <c r="I1082">
        <f t="shared" si="82"/>
        <v>4</v>
      </c>
      <c r="J1082">
        <f t="shared" si="83"/>
        <v>2</v>
      </c>
      <c r="K1082">
        <f t="shared" si="84"/>
        <v>2015</v>
      </c>
      <c r="M1082">
        <v>16</v>
      </c>
      <c r="N1082" t="str">
        <f>VLOOKUP(M1082,'Cadastro Vendedores'!A:H,2,2)</f>
        <v>Jose</v>
      </c>
      <c r="O1082" s="2"/>
      <c r="P1082" s="16">
        <v>3200</v>
      </c>
      <c r="Q1082" s="2">
        <f>VLOOKUP(B1082,'Cadastro Produtos'!A:F,5,2)</f>
        <v>8.5</v>
      </c>
      <c r="R1082" s="14">
        <f t="shared" si="80"/>
        <v>27200</v>
      </c>
    </row>
    <row r="1083" spans="1:18" x14ac:dyDescent="0.25">
      <c r="A1083">
        <v>1082</v>
      </c>
      <c r="B1083">
        <v>9</v>
      </c>
      <c r="C1083" t="str">
        <f>VLOOKUP(B1083,'Cadastro Produtos'!A:E,2,2)</f>
        <v>Limonada Alfa com Hortelã e Açúcar 1 L</v>
      </c>
      <c r="D1083">
        <v>9</v>
      </c>
      <c r="E1083" t="str">
        <f>VLOOKUP(D1083,'Cadatro Clientes'!A:O,2,2)</f>
        <v>Fresh Lemon</v>
      </c>
      <c r="F1083" t="str">
        <f>VLOOKUP(D1083,'Cadatro Clientes'!A:O,9,2)</f>
        <v>Sudeste</v>
      </c>
      <c r="G1083" s="15">
        <v>42039</v>
      </c>
      <c r="H1083">
        <f t="shared" si="81"/>
        <v>4</v>
      </c>
      <c r="I1083">
        <f t="shared" si="82"/>
        <v>4</v>
      </c>
      <c r="J1083">
        <f t="shared" si="83"/>
        <v>2</v>
      </c>
      <c r="K1083">
        <f t="shared" si="84"/>
        <v>2015</v>
      </c>
      <c r="M1083">
        <v>9</v>
      </c>
      <c r="N1083" t="str">
        <f>VLOOKUP(M1083,'Cadastro Vendedores'!A:H,2,2)</f>
        <v>Adriana</v>
      </c>
      <c r="O1083" s="2"/>
      <c r="P1083" s="16">
        <v>3100</v>
      </c>
      <c r="Q1083" s="2">
        <f>VLOOKUP(B1083,'Cadastro Produtos'!A:F,5,2)</f>
        <v>17.5</v>
      </c>
      <c r="R1083" s="14">
        <f t="shared" si="80"/>
        <v>54250</v>
      </c>
    </row>
    <row r="1084" spans="1:18" x14ac:dyDescent="0.25">
      <c r="A1084">
        <v>1083</v>
      </c>
      <c r="B1084">
        <v>1</v>
      </c>
      <c r="C1084" t="str">
        <f>VLOOKUP(B1084,'Cadastro Produtos'!A:E,2,2)</f>
        <v>Limonada Alfa com Açúcar 500 ml</v>
      </c>
      <c r="D1084">
        <v>11</v>
      </c>
      <c r="E1084" t="str">
        <f>VLOOKUP(D1084,'Cadatro Clientes'!A:O,2,2)</f>
        <v>Red Lemon</v>
      </c>
      <c r="F1084" t="str">
        <f>VLOOKUP(D1084,'Cadatro Clientes'!A:O,9,2)</f>
        <v>Sul</v>
      </c>
      <c r="G1084" s="15">
        <v>42040</v>
      </c>
      <c r="H1084">
        <f t="shared" si="81"/>
        <v>5</v>
      </c>
      <c r="I1084">
        <f t="shared" si="82"/>
        <v>5</v>
      </c>
      <c r="J1084">
        <f t="shared" si="83"/>
        <v>2</v>
      </c>
      <c r="K1084">
        <f t="shared" si="84"/>
        <v>2015</v>
      </c>
      <c r="M1084">
        <v>8</v>
      </c>
      <c r="N1084" t="str">
        <f>VLOOKUP(M1084,'Cadastro Vendedores'!A:H,2,2)</f>
        <v>Sérgio</v>
      </c>
      <c r="O1084" s="2"/>
      <c r="P1084" s="16">
        <v>6500</v>
      </c>
      <c r="Q1084" s="2">
        <f>VLOOKUP(B1084,'Cadastro Produtos'!A:F,5,2)</f>
        <v>8.5</v>
      </c>
      <c r="R1084" s="14">
        <f t="shared" si="80"/>
        <v>55250</v>
      </c>
    </row>
    <row r="1085" spans="1:18" x14ac:dyDescent="0.25">
      <c r="A1085">
        <v>1084</v>
      </c>
      <c r="B1085">
        <v>6</v>
      </c>
      <c r="C1085" t="str">
        <f>VLOOKUP(B1085,'Cadastro Produtos'!A:E,2,2)</f>
        <v>Limonada Beta com Açúcar 1 L</v>
      </c>
      <c r="D1085">
        <v>7</v>
      </c>
      <c r="E1085" t="str">
        <f>VLOOKUP(D1085,'Cadatro Clientes'!A:O,2,2)</f>
        <v>Limo</v>
      </c>
      <c r="F1085" t="str">
        <f>VLOOKUP(D1085,'Cadatro Clientes'!A:O,9,2)</f>
        <v>Centro-Oeste</v>
      </c>
      <c r="G1085" s="15">
        <v>42041</v>
      </c>
      <c r="H1085">
        <f t="shared" si="81"/>
        <v>6</v>
      </c>
      <c r="I1085">
        <f t="shared" si="82"/>
        <v>6</v>
      </c>
      <c r="J1085">
        <f t="shared" si="83"/>
        <v>2</v>
      </c>
      <c r="K1085">
        <f t="shared" si="84"/>
        <v>2015</v>
      </c>
      <c r="M1085">
        <v>3</v>
      </c>
      <c r="N1085" t="str">
        <f>VLOOKUP(M1085,'Cadastro Vendedores'!A:H,2,2)</f>
        <v>Antônia</v>
      </c>
      <c r="O1085" s="2"/>
      <c r="P1085" s="16">
        <v>3100</v>
      </c>
      <c r="Q1085" s="2">
        <f>VLOOKUP(B1085,'Cadastro Produtos'!A:F,5,2)</f>
        <v>12</v>
      </c>
      <c r="R1085" s="14">
        <f t="shared" si="80"/>
        <v>37200</v>
      </c>
    </row>
    <row r="1086" spans="1:18" x14ac:dyDescent="0.25">
      <c r="A1086">
        <v>1085</v>
      </c>
      <c r="B1086">
        <v>10</v>
      </c>
      <c r="C1086" t="str">
        <f>VLOOKUP(B1086,'Cadastro Produtos'!A:E,2,2)</f>
        <v>Limonada Alfa com Hortelã Zero 1 L</v>
      </c>
      <c r="D1086">
        <v>17</v>
      </c>
      <c r="E1086" t="str">
        <f>VLOOKUP(D1086,'Cadatro Clientes'!A:O,2,2)</f>
        <v>Aracasuco</v>
      </c>
      <c r="F1086" t="str">
        <f>VLOOKUP(D1086,'Cadatro Clientes'!A:O,9,2)</f>
        <v>Nordeste</v>
      </c>
      <c r="G1086" s="15">
        <v>42041</v>
      </c>
      <c r="H1086">
        <f t="shared" si="81"/>
        <v>6</v>
      </c>
      <c r="I1086">
        <f t="shared" si="82"/>
        <v>6</v>
      </c>
      <c r="J1086">
        <f t="shared" si="83"/>
        <v>2</v>
      </c>
      <c r="K1086">
        <f t="shared" si="84"/>
        <v>2015</v>
      </c>
      <c r="M1086">
        <v>8</v>
      </c>
      <c r="N1086" t="str">
        <f>VLOOKUP(M1086,'Cadastro Vendedores'!A:H,2,2)</f>
        <v>Sérgio</v>
      </c>
      <c r="O1086" s="2"/>
      <c r="P1086" s="16">
        <v>2300</v>
      </c>
      <c r="Q1086" s="2">
        <f>VLOOKUP(B1086,'Cadastro Produtos'!A:F,5,2)</f>
        <v>21</v>
      </c>
      <c r="R1086" s="14">
        <f t="shared" si="80"/>
        <v>48300</v>
      </c>
    </row>
    <row r="1087" spans="1:18" x14ac:dyDescent="0.25">
      <c r="A1087">
        <v>1086</v>
      </c>
      <c r="B1087">
        <v>4</v>
      </c>
      <c r="C1087" t="str">
        <f>VLOOKUP(B1087,'Cadastro Produtos'!A:E,2,2)</f>
        <v>Limonada Beta Zero 500 ml</v>
      </c>
      <c r="D1087">
        <v>9</v>
      </c>
      <c r="E1087" t="str">
        <f>VLOOKUP(D1087,'Cadatro Clientes'!A:O,2,2)</f>
        <v>Fresh Lemon</v>
      </c>
      <c r="F1087" t="str">
        <f>VLOOKUP(D1087,'Cadatro Clientes'!A:O,9,2)</f>
        <v>Sudeste</v>
      </c>
      <c r="G1087" s="15">
        <v>42041</v>
      </c>
      <c r="H1087">
        <f t="shared" si="81"/>
        <v>6</v>
      </c>
      <c r="I1087">
        <f t="shared" si="82"/>
        <v>6</v>
      </c>
      <c r="J1087">
        <f t="shared" si="83"/>
        <v>2</v>
      </c>
      <c r="K1087">
        <f t="shared" si="84"/>
        <v>2015</v>
      </c>
      <c r="M1087">
        <v>13</v>
      </c>
      <c r="N1087" t="str">
        <f>VLOOKUP(M1087,'Cadastro Vendedores'!A:H,2,2)</f>
        <v>Andre</v>
      </c>
      <c r="O1087" s="2"/>
      <c r="P1087" s="16">
        <v>6000</v>
      </c>
      <c r="Q1087" s="2">
        <f>VLOOKUP(B1087,'Cadastro Produtos'!A:F,5,2)</f>
        <v>7</v>
      </c>
      <c r="R1087" s="14">
        <f t="shared" si="80"/>
        <v>42000</v>
      </c>
    </row>
    <row r="1088" spans="1:18" x14ac:dyDescent="0.25">
      <c r="A1088">
        <v>1087</v>
      </c>
      <c r="B1088">
        <v>7</v>
      </c>
      <c r="C1088" t="str">
        <f>VLOOKUP(B1088,'Cadastro Produtos'!A:E,2,2)</f>
        <v>Limonada Alfa Zero 1 L</v>
      </c>
      <c r="D1088">
        <v>5</v>
      </c>
      <c r="E1088" t="str">
        <f>VLOOKUP(D1088,'Cadatro Clientes'!A:O,2,2)</f>
        <v>Axé com Limão</v>
      </c>
      <c r="F1088" t="str">
        <f>VLOOKUP(D1088,'Cadatro Clientes'!A:O,9,2)</f>
        <v>Nordeste</v>
      </c>
      <c r="G1088" s="15">
        <v>42041</v>
      </c>
      <c r="H1088">
        <f t="shared" si="81"/>
        <v>6</v>
      </c>
      <c r="I1088">
        <f t="shared" si="82"/>
        <v>6</v>
      </c>
      <c r="J1088">
        <f t="shared" si="83"/>
        <v>2</v>
      </c>
      <c r="K1088">
        <f t="shared" si="84"/>
        <v>2015</v>
      </c>
      <c r="M1088">
        <v>4</v>
      </c>
      <c r="N1088" t="str">
        <f>VLOOKUP(M1088,'Cadastro Vendedores'!A:H,2,2)</f>
        <v>José</v>
      </c>
      <c r="O1088" s="2"/>
      <c r="P1088" s="16">
        <v>1800</v>
      </c>
      <c r="Q1088" s="2">
        <f>VLOOKUP(B1088,'Cadastro Produtos'!A:F,5,2)</f>
        <v>15</v>
      </c>
      <c r="R1088" s="14">
        <f t="shared" si="80"/>
        <v>27000</v>
      </c>
    </row>
    <row r="1089" spans="1:18" x14ac:dyDescent="0.25">
      <c r="A1089">
        <v>1088</v>
      </c>
      <c r="B1089">
        <v>7</v>
      </c>
      <c r="C1089" t="str">
        <f>VLOOKUP(B1089,'Cadastro Produtos'!A:E,2,2)</f>
        <v>Limonada Alfa Zero 1 L</v>
      </c>
      <c r="D1089">
        <v>5</v>
      </c>
      <c r="E1089" t="str">
        <f>VLOOKUP(D1089,'Cadatro Clientes'!A:O,2,2)</f>
        <v>Axé com Limão</v>
      </c>
      <c r="F1089" t="str">
        <f>VLOOKUP(D1089,'Cadatro Clientes'!A:O,9,2)</f>
        <v>Nordeste</v>
      </c>
      <c r="G1089" s="15">
        <v>42041</v>
      </c>
      <c r="H1089">
        <f t="shared" si="81"/>
        <v>6</v>
      </c>
      <c r="I1089">
        <f t="shared" si="82"/>
        <v>6</v>
      </c>
      <c r="J1089">
        <f t="shared" si="83"/>
        <v>2</v>
      </c>
      <c r="K1089">
        <f t="shared" si="84"/>
        <v>2015</v>
      </c>
      <c r="M1089">
        <v>2</v>
      </c>
      <c r="N1089" t="str">
        <f>VLOOKUP(M1089,'Cadastro Vendedores'!A:H,2,2)</f>
        <v>Luis</v>
      </c>
      <c r="O1089" s="2"/>
      <c r="P1089" s="16">
        <v>3500</v>
      </c>
      <c r="Q1089" s="2">
        <f>VLOOKUP(B1089,'Cadastro Produtos'!A:F,5,2)</f>
        <v>15</v>
      </c>
      <c r="R1089" s="14">
        <f t="shared" si="80"/>
        <v>52500</v>
      </c>
    </row>
    <row r="1090" spans="1:18" x14ac:dyDescent="0.25">
      <c r="A1090">
        <v>1089</v>
      </c>
      <c r="B1090">
        <v>9</v>
      </c>
      <c r="C1090" t="str">
        <f>VLOOKUP(B1090,'Cadastro Produtos'!A:E,2,2)</f>
        <v>Limonada Alfa com Hortelã e Açúcar 1 L</v>
      </c>
      <c r="D1090">
        <v>10</v>
      </c>
      <c r="E1090" t="str">
        <f>VLOOKUP(D1090,'Cadatro Clientes'!A:O,2,2)</f>
        <v>Lemon Gator</v>
      </c>
      <c r="F1090" t="str">
        <f>VLOOKUP(D1090,'Cadatro Clientes'!A:O,9,2)</f>
        <v>Nordeste</v>
      </c>
      <c r="G1090" s="15">
        <v>42042</v>
      </c>
      <c r="H1090">
        <f t="shared" si="81"/>
        <v>7</v>
      </c>
      <c r="I1090">
        <f t="shared" si="82"/>
        <v>7</v>
      </c>
      <c r="J1090">
        <f t="shared" si="83"/>
        <v>2</v>
      </c>
      <c r="K1090">
        <f t="shared" si="84"/>
        <v>2015</v>
      </c>
      <c r="M1090">
        <v>16</v>
      </c>
      <c r="N1090" t="str">
        <f>VLOOKUP(M1090,'Cadastro Vendedores'!A:H,2,2)</f>
        <v>Jose</v>
      </c>
      <c r="O1090" s="2"/>
      <c r="P1090" s="16">
        <v>900</v>
      </c>
      <c r="Q1090" s="2">
        <f>VLOOKUP(B1090,'Cadastro Produtos'!A:F,5,2)</f>
        <v>17.5</v>
      </c>
      <c r="R1090" s="14">
        <f t="shared" ref="R1090:R1153" si="85">Q1090*P1090</f>
        <v>15750</v>
      </c>
    </row>
    <row r="1091" spans="1:18" x14ac:dyDescent="0.25">
      <c r="A1091">
        <v>1090</v>
      </c>
      <c r="B1091">
        <v>5</v>
      </c>
      <c r="C1091" t="str">
        <f>VLOOKUP(B1091,'Cadastro Produtos'!A:E,2,2)</f>
        <v>Limonada Alfa com Açúcar 1 L</v>
      </c>
      <c r="D1091">
        <v>8</v>
      </c>
      <c r="E1091" t="str">
        <f>VLOOKUP(D1091,'Cadatro Clientes'!A:O,2,2)</f>
        <v>Refresko</v>
      </c>
      <c r="F1091" t="str">
        <f>VLOOKUP(D1091,'Cadatro Clientes'!A:O,9,2)</f>
        <v>Sul</v>
      </c>
      <c r="G1091" s="15">
        <v>42043</v>
      </c>
      <c r="H1091">
        <f t="shared" ref="H1091:H1154" si="86">WEEKDAY(G1091)</f>
        <v>1</v>
      </c>
      <c r="I1091">
        <f t="shared" ref="I1091:I1154" si="87">DAY(G1091)</f>
        <v>8</v>
      </c>
      <c r="J1091">
        <f t="shared" ref="J1091:J1154" si="88">MONTH(G1091)</f>
        <v>2</v>
      </c>
      <c r="K1091">
        <f t="shared" ref="K1091:K1154" si="89">YEAR(G1091)</f>
        <v>2015</v>
      </c>
      <c r="M1091">
        <v>15</v>
      </c>
      <c r="N1091" t="str">
        <f>VLOOKUP(M1091,'Cadastro Vendedores'!A:H,2,2)</f>
        <v>Luis</v>
      </c>
      <c r="O1091" s="2"/>
      <c r="P1091" s="16">
        <v>2700</v>
      </c>
      <c r="Q1091" s="2">
        <f>VLOOKUP(B1091,'Cadastro Produtos'!A:F,5,2)</f>
        <v>15</v>
      </c>
      <c r="R1091" s="14">
        <f t="shared" si="85"/>
        <v>40500</v>
      </c>
    </row>
    <row r="1092" spans="1:18" x14ac:dyDescent="0.25">
      <c r="A1092">
        <v>1091</v>
      </c>
      <c r="B1092">
        <v>1</v>
      </c>
      <c r="C1092" t="str">
        <f>VLOOKUP(B1092,'Cadastro Produtos'!A:E,2,2)</f>
        <v>Limonada Alfa com Açúcar 500 ml</v>
      </c>
      <c r="D1092">
        <v>6</v>
      </c>
      <c r="E1092" t="str">
        <f>VLOOKUP(D1092,'Cadatro Clientes'!A:O,2,2)</f>
        <v>Lemonade</v>
      </c>
      <c r="F1092" t="str">
        <f>VLOOKUP(D1092,'Cadatro Clientes'!A:O,9,2)</f>
        <v>Norte</v>
      </c>
      <c r="G1092" s="15">
        <v>42043</v>
      </c>
      <c r="H1092">
        <f t="shared" si="86"/>
        <v>1</v>
      </c>
      <c r="I1092">
        <f t="shared" si="87"/>
        <v>8</v>
      </c>
      <c r="J1092">
        <f t="shared" si="88"/>
        <v>2</v>
      </c>
      <c r="K1092">
        <f t="shared" si="89"/>
        <v>2015</v>
      </c>
      <c r="M1092">
        <v>6</v>
      </c>
      <c r="N1092" t="str">
        <f>VLOOKUP(M1092,'Cadastro Vendedores'!A:H,2,2)</f>
        <v>Antônia</v>
      </c>
      <c r="O1092" s="2"/>
      <c r="P1092" s="16">
        <v>6700</v>
      </c>
      <c r="Q1092" s="2">
        <f>VLOOKUP(B1092,'Cadastro Produtos'!A:F,5,2)</f>
        <v>8.5</v>
      </c>
      <c r="R1092" s="14">
        <f t="shared" si="85"/>
        <v>56950</v>
      </c>
    </row>
    <row r="1093" spans="1:18" x14ac:dyDescent="0.25">
      <c r="A1093">
        <v>1092</v>
      </c>
      <c r="B1093">
        <v>5</v>
      </c>
      <c r="C1093" t="str">
        <f>VLOOKUP(B1093,'Cadastro Produtos'!A:E,2,2)</f>
        <v>Limonada Alfa com Açúcar 1 L</v>
      </c>
      <c r="D1093">
        <v>11</v>
      </c>
      <c r="E1093" t="str">
        <f>VLOOKUP(D1093,'Cadatro Clientes'!A:O,2,2)</f>
        <v>Red Lemon</v>
      </c>
      <c r="F1093" t="str">
        <f>VLOOKUP(D1093,'Cadatro Clientes'!A:O,9,2)</f>
        <v>Sul</v>
      </c>
      <c r="G1093" s="15">
        <v>42043</v>
      </c>
      <c r="H1093">
        <f t="shared" si="86"/>
        <v>1</v>
      </c>
      <c r="I1093">
        <f t="shared" si="87"/>
        <v>8</v>
      </c>
      <c r="J1093">
        <f t="shared" si="88"/>
        <v>2</v>
      </c>
      <c r="K1093">
        <f t="shared" si="89"/>
        <v>2015</v>
      </c>
      <c r="M1093">
        <v>2</v>
      </c>
      <c r="N1093" t="str">
        <f>VLOOKUP(M1093,'Cadastro Vendedores'!A:H,2,2)</f>
        <v>Luis</v>
      </c>
      <c r="O1093" s="2"/>
      <c r="P1093" s="16">
        <v>1400</v>
      </c>
      <c r="Q1093" s="2">
        <f>VLOOKUP(B1093,'Cadastro Produtos'!A:F,5,2)</f>
        <v>15</v>
      </c>
      <c r="R1093" s="14">
        <f t="shared" si="85"/>
        <v>21000</v>
      </c>
    </row>
    <row r="1094" spans="1:18" x14ac:dyDescent="0.25">
      <c r="A1094">
        <v>1093</v>
      </c>
      <c r="B1094">
        <v>8</v>
      </c>
      <c r="C1094" t="str">
        <f>VLOOKUP(B1094,'Cadastro Produtos'!A:E,2,2)</f>
        <v>Limonada Beta Zero 1 L</v>
      </c>
      <c r="D1094">
        <v>3</v>
      </c>
      <c r="E1094" t="str">
        <f>VLOOKUP(D1094,'Cadatro Clientes'!A:O,2,2)</f>
        <v>Limonada Suíça Ltda</v>
      </c>
      <c r="F1094" t="str">
        <f>VLOOKUP(D1094,'Cadatro Clientes'!A:O,9,2)</f>
        <v>Nordeste</v>
      </c>
      <c r="G1094" s="15">
        <v>42044</v>
      </c>
      <c r="H1094">
        <f t="shared" si="86"/>
        <v>2</v>
      </c>
      <c r="I1094">
        <f t="shared" si="87"/>
        <v>9</v>
      </c>
      <c r="J1094">
        <f t="shared" si="88"/>
        <v>2</v>
      </c>
      <c r="K1094">
        <f t="shared" si="89"/>
        <v>2015</v>
      </c>
      <c r="M1094">
        <v>6</v>
      </c>
      <c r="N1094" t="str">
        <f>VLOOKUP(M1094,'Cadastro Vendedores'!A:H,2,2)</f>
        <v>Antônia</v>
      </c>
      <c r="O1094" s="2"/>
      <c r="P1094" s="16">
        <v>2100</v>
      </c>
      <c r="Q1094" s="2">
        <f>VLOOKUP(B1094,'Cadastro Produtos'!A:F,5,2)</f>
        <v>12</v>
      </c>
      <c r="R1094" s="14">
        <f t="shared" si="85"/>
        <v>25200</v>
      </c>
    </row>
    <row r="1095" spans="1:18" x14ac:dyDescent="0.25">
      <c r="A1095">
        <v>1094</v>
      </c>
      <c r="B1095">
        <v>10</v>
      </c>
      <c r="C1095" t="str">
        <f>VLOOKUP(B1095,'Cadastro Produtos'!A:E,2,2)</f>
        <v>Limonada Alfa com Hortelã Zero 1 L</v>
      </c>
      <c r="D1095">
        <v>8</v>
      </c>
      <c r="E1095" t="str">
        <f>VLOOKUP(D1095,'Cadatro Clientes'!A:O,2,2)</f>
        <v>Refresko</v>
      </c>
      <c r="F1095" t="str">
        <f>VLOOKUP(D1095,'Cadatro Clientes'!A:O,9,2)</f>
        <v>Sul</v>
      </c>
      <c r="G1095" s="15">
        <v>42044</v>
      </c>
      <c r="H1095">
        <f t="shared" si="86"/>
        <v>2</v>
      </c>
      <c r="I1095">
        <f t="shared" si="87"/>
        <v>9</v>
      </c>
      <c r="J1095">
        <f t="shared" si="88"/>
        <v>2</v>
      </c>
      <c r="K1095">
        <f t="shared" si="89"/>
        <v>2015</v>
      </c>
      <c r="M1095">
        <v>15</v>
      </c>
      <c r="N1095" t="str">
        <f>VLOOKUP(M1095,'Cadastro Vendedores'!A:H,2,2)</f>
        <v>Luis</v>
      </c>
      <c r="O1095" s="2"/>
      <c r="P1095" s="16">
        <v>3300</v>
      </c>
      <c r="Q1095" s="2">
        <f>VLOOKUP(B1095,'Cadastro Produtos'!A:F,5,2)</f>
        <v>21</v>
      </c>
      <c r="R1095" s="14">
        <f t="shared" si="85"/>
        <v>69300</v>
      </c>
    </row>
    <row r="1096" spans="1:18" x14ac:dyDescent="0.25">
      <c r="A1096">
        <v>1095</v>
      </c>
      <c r="B1096">
        <v>4</v>
      </c>
      <c r="C1096" t="str">
        <f>VLOOKUP(B1096,'Cadastro Produtos'!A:E,2,2)</f>
        <v>Limonada Beta Zero 500 ml</v>
      </c>
      <c r="D1096">
        <v>20</v>
      </c>
      <c r="E1096" t="str">
        <f>VLOOKUP(D1096,'Cadatro Clientes'!A:O,2,2)</f>
        <v>Brasil Saúde</v>
      </c>
      <c r="F1096" t="str">
        <f>VLOOKUP(D1096,'Cadatro Clientes'!A:O,9,2)</f>
        <v>Nordeste</v>
      </c>
      <c r="G1096" s="15">
        <v>42044</v>
      </c>
      <c r="H1096">
        <f t="shared" si="86"/>
        <v>2</v>
      </c>
      <c r="I1096">
        <f t="shared" si="87"/>
        <v>9</v>
      </c>
      <c r="J1096">
        <f t="shared" si="88"/>
        <v>2</v>
      </c>
      <c r="K1096">
        <f t="shared" si="89"/>
        <v>2015</v>
      </c>
      <c r="M1096">
        <v>6</v>
      </c>
      <c r="N1096" t="str">
        <f>VLOOKUP(M1096,'Cadastro Vendedores'!A:H,2,2)</f>
        <v>Antônia</v>
      </c>
      <c r="O1096" s="2"/>
      <c r="P1096" s="16">
        <v>4900</v>
      </c>
      <c r="Q1096" s="2">
        <f>VLOOKUP(B1096,'Cadastro Produtos'!A:F,5,2)</f>
        <v>7</v>
      </c>
      <c r="R1096" s="14">
        <f t="shared" si="85"/>
        <v>34300</v>
      </c>
    </row>
    <row r="1097" spans="1:18" x14ac:dyDescent="0.25">
      <c r="A1097">
        <v>1096</v>
      </c>
      <c r="B1097">
        <v>6</v>
      </c>
      <c r="C1097" t="str">
        <f>VLOOKUP(B1097,'Cadastro Produtos'!A:E,2,2)</f>
        <v>Limonada Beta com Açúcar 1 L</v>
      </c>
      <c r="D1097">
        <v>6</v>
      </c>
      <c r="E1097" t="str">
        <f>VLOOKUP(D1097,'Cadatro Clientes'!A:O,2,2)</f>
        <v>Lemonade</v>
      </c>
      <c r="F1097" t="str">
        <f>VLOOKUP(D1097,'Cadatro Clientes'!A:O,9,2)</f>
        <v>Norte</v>
      </c>
      <c r="G1097" s="15">
        <v>42044</v>
      </c>
      <c r="H1097">
        <f t="shared" si="86"/>
        <v>2</v>
      </c>
      <c r="I1097">
        <f t="shared" si="87"/>
        <v>9</v>
      </c>
      <c r="J1097">
        <f t="shared" si="88"/>
        <v>2</v>
      </c>
      <c r="K1097">
        <f t="shared" si="89"/>
        <v>2015</v>
      </c>
      <c r="M1097">
        <v>15</v>
      </c>
      <c r="N1097" t="str">
        <f>VLOOKUP(M1097,'Cadastro Vendedores'!A:H,2,2)</f>
        <v>Luis</v>
      </c>
      <c r="O1097" s="2"/>
      <c r="P1097" s="16">
        <v>3600</v>
      </c>
      <c r="Q1097" s="2">
        <f>VLOOKUP(B1097,'Cadastro Produtos'!A:F,5,2)</f>
        <v>12</v>
      </c>
      <c r="R1097" s="14">
        <f t="shared" si="85"/>
        <v>43200</v>
      </c>
    </row>
    <row r="1098" spans="1:18" x14ac:dyDescent="0.25">
      <c r="A1098">
        <v>1097</v>
      </c>
      <c r="B1098">
        <v>6</v>
      </c>
      <c r="C1098" t="str">
        <f>VLOOKUP(B1098,'Cadastro Produtos'!A:E,2,2)</f>
        <v>Limonada Beta com Açúcar 1 L</v>
      </c>
      <c r="D1098">
        <v>10</v>
      </c>
      <c r="E1098" t="str">
        <f>VLOOKUP(D1098,'Cadatro Clientes'!A:O,2,2)</f>
        <v>Lemon Gator</v>
      </c>
      <c r="F1098" t="str">
        <f>VLOOKUP(D1098,'Cadatro Clientes'!A:O,9,2)</f>
        <v>Nordeste</v>
      </c>
      <c r="G1098" s="15">
        <v>42044</v>
      </c>
      <c r="H1098">
        <f t="shared" si="86"/>
        <v>2</v>
      </c>
      <c r="I1098">
        <f t="shared" si="87"/>
        <v>9</v>
      </c>
      <c r="J1098">
        <f t="shared" si="88"/>
        <v>2</v>
      </c>
      <c r="K1098">
        <f t="shared" si="89"/>
        <v>2015</v>
      </c>
      <c r="M1098">
        <v>9</v>
      </c>
      <c r="N1098" t="str">
        <f>VLOOKUP(M1098,'Cadastro Vendedores'!A:H,2,2)</f>
        <v>Adriana</v>
      </c>
      <c r="O1098" s="2"/>
      <c r="P1098" s="16">
        <v>3200</v>
      </c>
      <c r="Q1098" s="2">
        <f>VLOOKUP(B1098,'Cadastro Produtos'!A:F,5,2)</f>
        <v>12</v>
      </c>
      <c r="R1098" s="14">
        <f t="shared" si="85"/>
        <v>38400</v>
      </c>
    </row>
    <row r="1099" spans="1:18" x14ac:dyDescent="0.25">
      <c r="A1099">
        <v>1098</v>
      </c>
      <c r="B1099">
        <v>7</v>
      </c>
      <c r="C1099" t="str">
        <f>VLOOKUP(B1099,'Cadastro Produtos'!A:E,2,2)</f>
        <v>Limonada Alfa Zero 1 L</v>
      </c>
      <c r="D1099">
        <v>5</v>
      </c>
      <c r="E1099" t="str">
        <f>VLOOKUP(D1099,'Cadatro Clientes'!A:O,2,2)</f>
        <v>Axé com Limão</v>
      </c>
      <c r="F1099" t="str">
        <f>VLOOKUP(D1099,'Cadatro Clientes'!A:O,9,2)</f>
        <v>Nordeste</v>
      </c>
      <c r="G1099" s="15">
        <v>42044</v>
      </c>
      <c r="H1099">
        <f t="shared" si="86"/>
        <v>2</v>
      </c>
      <c r="I1099">
        <f t="shared" si="87"/>
        <v>9</v>
      </c>
      <c r="J1099">
        <f t="shared" si="88"/>
        <v>2</v>
      </c>
      <c r="K1099">
        <f t="shared" si="89"/>
        <v>2015</v>
      </c>
      <c r="M1099">
        <v>3</v>
      </c>
      <c r="N1099" t="str">
        <f>VLOOKUP(M1099,'Cadastro Vendedores'!A:H,2,2)</f>
        <v>Antônia</v>
      </c>
      <c r="O1099" s="2"/>
      <c r="P1099" s="16">
        <v>900</v>
      </c>
      <c r="Q1099" s="2">
        <f>VLOOKUP(B1099,'Cadastro Produtos'!A:F,5,2)</f>
        <v>15</v>
      </c>
      <c r="R1099" s="14">
        <f t="shared" si="85"/>
        <v>13500</v>
      </c>
    </row>
    <row r="1100" spans="1:18" x14ac:dyDescent="0.25">
      <c r="A1100">
        <v>1099</v>
      </c>
      <c r="B1100">
        <v>3</v>
      </c>
      <c r="C1100" t="str">
        <f>VLOOKUP(B1100,'Cadastro Produtos'!A:E,2,2)</f>
        <v>Limonada Alfa Zero 500 ml</v>
      </c>
      <c r="D1100">
        <v>8</v>
      </c>
      <c r="E1100" t="str">
        <f>VLOOKUP(D1100,'Cadatro Clientes'!A:O,2,2)</f>
        <v>Refresko</v>
      </c>
      <c r="F1100" t="str">
        <f>VLOOKUP(D1100,'Cadatro Clientes'!A:O,9,2)</f>
        <v>Sul</v>
      </c>
      <c r="G1100" s="15">
        <v>42045</v>
      </c>
      <c r="H1100">
        <f t="shared" si="86"/>
        <v>3</v>
      </c>
      <c r="I1100">
        <f t="shared" si="87"/>
        <v>10</v>
      </c>
      <c r="J1100">
        <f t="shared" si="88"/>
        <v>2</v>
      </c>
      <c r="K1100">
        <f t="shared" si="89"/>
        <v>2015</v>
      </c>
      <c r="M1100">
        <v>6</v>
      </c>
      <c r="N1100" t="str">
        <f>VLOOKUP(M1100,'Cadastro Vendedores'!A:H,2,2)</f>
        <v>Antônia</v>
      </c>
      <c r="O1100" s="2"/>
      <c r="P1100" s="16">
        <v>4800</v>
      </c>
      <c r="Q1100" s="2">
        <f>VLOOKUP(B1100,'Cadastro Produtos'!A:F,5,2)</f>
        <v>9</v>
      </c>
      <c r="R1100" s="14">
        <f t="shared" si="85"/>
        <v>43200</v>
      </c>
    </row>
    <row r="1101" spans="1:18" x14ac:dyDescent="0.25">
      <c r="A1101">
        <v>1100</v>
      </c>
      <c r="B1101">
        <v>6</v>
      </c>
      <c r="C1101" t="str">
        <f>VLOOKUP(B1101,'Cadastro Produtos'!A:E,2,2)</f>
        <v>Limonada Beta com Açúcar 1 L</v>
      </c>
      <c r="D1101">
        <v>8</v>
      </c>
      <c r="E1101" t="str">
        <f>VLOOKUP(D1101,'Cadatro Clientes'!A:O,2,2)</f>
        <v>Refresko</v>
      </c>
      <c r="F1101" t="str">
        <f>VLOOKUP(D1101,'Cadatro Clientes'!A:O,9,2)</f>
        <v>Sul</v>
      </c>
      <c r="G1101" s="15">
        <v>42045</v>
      </c>
      <c r="H1101">
        <f t="shared" si="86"/>
        <v>3</v>
      </c>
      <c r="I1101">
        <f t="shared" si="87"/>
        <v>10</v>
      </c>
      <c r="J1101">
        <f t="shared" si="88"/>
        <v>2</v>
      </c>
      <c r="K1101">
        <f t="shared" si="89"/>
        <v>2015</v>
      </c>
      <c r="M1101">
        <v>7</v>
      </c>
      <c r="N1101" t="str">
        <f>VLOOKUP(M1101,'Cadastro Vendedores'!A:H,2,2)</f>
        <v>Benedito</v>
      </c>
      <c r="O1101" s="2"/>
      <c r="P1101" s="16">
        <v>3900</v>
      </c>
      <c r="Q1101" s="2">
        <f>VLOOKUP(B1101,'Cadastro Produtos'!A:F,5,2)</f>
        <v>12</v>
      </c>
      <c r="R1101" s="14">
        <f t="shared" si="85"/>
        <v>46800</v>
      </c>
    </row>
    <row r="1102" spans="1:18" x14ac:dyDescent="0.25">
      <c r="A1102">
        <v>1101</v>
      </c>
      <c r="B1102">
        <v>3</v>
      </c>
      <c r="C1102" t="str">
        <f>VLOOKUP(B1102,'Cadastro Produtos'!A:E,2,2)</f>
        <v>Limonada Alfa Zero 500 ml</v>
      </c>
      <c r="D1102">
        <v>7</v>
      </c>
      <c r="E1102" t="str">
        <f>VLOOKUP(D1102,'Cadatro Clientes'!A:O,2,2)</f>
        <v>Limo</v>
      </c>
      <c r="F1102" t="str">
        <f>VLOOKUP(D1102,'Cadatro Clientes'!A:O,9,2)</f>
        <v>Centro-Oeste</v>
      </c>
      <c r="G1102" s="15">
        <v>42045</v>
      </c>
      <c r="H1102">
        <f t="shared" si="86"/>
        <v>3</v>
      </c>
      <c r="I1102">
        <f t="shared" si="87"/>
        <v>10</v>
      </c>
      <c r="J1102">
        <f t="shared" si="88"/>
        <v>2</v>
      </c>
      <c r="K1102">
        <f t="shared" si="89"/>
        <v>2015</v>
      </c>
      <c r="M1102">
        <v>2</v>
      </c>
      <c r="N1102" t="str">
        <f>VLOOKUP(M1102,'Cadastro Vendedores'!A:H,2,2)</f>
        <v>Luis</v>
      </c>
      <c r="O1102" s="2"/>
      <c r="P1102" s="16">
        <v>7300</v>
      </c>
      <c r="Q1102" s="2">
        <f>VLOOKUP(B1102,'Cadastro Produtos'!A:F,5,2)</f>
        <v>9</v>
      </c>
      <c r="R1102" s="14">
        <f t="shared" si="85"/>
        <v>65700</v>
      </c>
    </row>
    <row r="1103" spans="1:18" x14ac:dyDescent="0.25">
      <c r="A1103">
        <v>1102</v>
      </c>
      <c r="B1103">
        <v>10</v>
      </c>
      <c r="C1103" t="str">
        <f>VLOOKUP(B1103,'Cadastro Produtos'!A:E,2,2)</f>
        <v>Limonada Alfa com Hortelã Zero 1 L</v>
      </c>
      <c r="D1103">
        <v>7</v>
      </c>
      <c r="E1103" t="str">
        <f>VLOOKUP(D1103,'Cadatro Clientes'!A:O,2,2)</f>
        <v>Limo</v>
      </c>
      <c r="F1103" t="str">
        <f>VLOOKUP(D1103,'Cadatro Clientes'!A:O,9,2)</f>
        <v>Centro-Oeste</v>
      </c>
      <c r="G1103" s="15">
        <v>42045</v>
      </c>
      <c r="H1103">
        <f t="shared" si="86"/>
        <v>3</v>
      </c>
      <c r="I1103">
        <f t="shared" si="87"/>
        <v>10</v>
      </c>
      <c r="J1103">
        <f t="shared" si="88"/>
        <v>2</v>
      </c>
      <c r="K1103">
        <f t="shared" si="89"/>
        <v>2015</v>
      </c>
      <c r="M1103">
        <v>2</v>
      </c>
      <c r="N1103" t="str">
        <f>VLOOKUP(M1103,'Cadastro Vendedores'!A:H,2,2)</f>
        <v>Luis</v>
      </c>
      <c r="O1103" s="2"/>
      <c r="P1103" s="16">
        <v>2500</v>
      </c>
      <c r="Q1103" s="2">
        <f>VLOOKUP(B1103,'Cadastro Produtos'!A:F,5,2)</f>
        <v>21</v>
      </c>
      <c r="R1103" s="14">
        <f t="shared" si="85"/>
        <v>52500</v>
      </c>
    </row>
    <row r="1104" spans="1:18" x14ac:dyDescent="0.25">
      <c r="A1104">
        <v>1103</v>
      </c>
      <c r="B1104">
        <v>4</v>
      </c>
      <c r="C1104" t="str">
        <f>VLOOKUP(B1104,'Cadastro Produtos'!A:E,2,2)</f>
        <v>Limonada Beta Zero 500 ml</v>
      </c>
      <c r="D1104">
        <v>19</v>
      </c>
      <c r="E1104" t="str">
        <f>VLOOKUP(D1104,'Cadatro Clientes'!A:O,2,2)</f>
        <v>Lima Limão</v>
      </c>
      <c r="F1104" t="str">
        <f>VLOOKUP(D1104,'Cadatro Clientes'!A:O,9,2)</f>
        <v>Sudeste</v>
      </c>
      <c r="G1104" s="15">
        <v>42046</v>
      </c>
      <c r="H1104">
        <f t="shared" si="86"/>
        <v>4</v>
      </c>
      <c r="I1104">
        <f t="shared" si="87"/>
        <v>11</v>
      </c>
      <c r="J1104">
        <f t="shared" si="88"/>
        <v>2</v>
      </c>
      <c r="K1104">
        <f t="shared" si="89"/>
        <v>2015</v>
      </c>
      <c r="M1104">
        <v>8</v>
      </c>
      <c r="N1104" t="str">
        <f>VLOOKUP(M1104,'Cadastro Vendedores'!A:H,2,2)</f>
        <v>Sérgio</v>
      </c>
      <c r="O1104" s="2"/>
      <c r="P1104" s="16">
        <v>6300</v>
      </c>
      <c r="Q1104" s="2">
        <f>VLOOKUP(B1104,'Cadastro Produtos'!A:F,5,2)</f>
        <v>7</v>
      </c>
      <c r="R1104" s="14">
        <f t="shared" si="85"/>
        <v>44100</v>
      </c>
    </row>
    <row r="1105" spans="1:18" x14ac:dyDescent="0.25">
      <c r="A1105">
        <v>1104</v>
      </c>
      <c r="B1105">
        <v>5</v>
      </c>
      <c r="C1105" t="str">
        <f>VLOOKUP(B1105,'Cadastro Produtos'!A:E,2,2)</f>
        <v>Limonada Alfa com Açúcar 1 L</v>
      </c>
      <c r="D1105">
        <v>13</v>
      </c>
      <c r="E1105" t="str">
        <f>VLOOKUP(D1105,'Cadatro Clientes'!A:O,2,2)</f>
        <v>Monster Lemon</v>
      </c>
      <c r="F1105" t="str">
        <f>VLOOKUP(D1105,'Cadatro Clientes'!A:O,9,2)</f>
        <v>Nordeste</v>
      </c>
      <c r="G1105" s="15">
        <v>42046</v>
      </c>
      <c r="H1105">
        <f t="shared" si="86"/>
        <v>4</v>
      </c>
      <c r="I1105">
        <f t="shared" si="87"/>
        <v>11</v>
      </c>
      <c r="J1105">
        <f t="shared" si="88"/>
        <v>2</v>
      </c>
      <c r="K1105">
        <f t="shared" si="89"/>
        <v>2015</v>
      </c>
      <c r="M1105">
        <v>15</v>
      </c>
      <c r="N1105" t="str">
        <f>VLOOKUP(M1105,'Cadastro Vendedores'!A:H,2,2)</f>
        <v>Luis</v>
      </c>
      <c r="O1105" s="2"/>
      <c r="P1105" s="16">
        <v>4000</v>
      </c>
      <c r="Q1105" s="2">
        <f>VLOOKUP(B1105,'Cadastro Produtos'!A:F,5,2)</f>
        <v>15</v>
      </c>
      <c r="R1105" s="14">
        <f t="shared" si="85"/>
        <v>60000</v>
      </c>
    </row>
    <row r="1106" spans="1:18" x14ac:dyDescent="0.25">
      <c r="A1106">
        <v>1105</v>
      </c>
      <c r="B1106">
        <v>6</v>
      </c>
      <c r="C1106" t="str">
        <f>VLOOKUP(B1106,'Cadastro Produtos'!A:E,2,2)</f>
        <v>Limonada Beta com Açúcar 1 L</v>
      </c>
      <c r="D1106">
        <v>16</v>
      </c>
      <c r="E1106" t="str">
        <f>VLOOKUP(D1106,'Cadatro Clientes'!A:O,2,2)</f>
        <v>Norte Suco</v>
      </c>
      <c r="F1106" t="str">
        <f>VLOOKUP(D1106,'Cadatro Clientes'!A:O,9,2)</f>
        <v>Nordeste</v>
      </c>
      <c r="G1106" s="15">
        <v>42046</v>
      </c>
      <c r="H1106">
        <f t="shared" si="86"/>
        <v>4</v>
      </c>
      <c r="I1106">
        <f t="shared" si="87"/>
        <v>11</v>
      </c>
      <c r="J1106">
        <f t="shared" si="88"/>
        <v>2</v>
      </c>
      <c r="K1106">
        <f t="shared" si="89"/>
        <v>2015</v>
      </c>
      <c r="M1106">
        <v>6</v>
      </c>
      <c r="N1106" t="str">
        <f>VLOOKUP(M1106,'Cadastro Vendedores'!A:H,2,2)</f>
        <v>Antônia</v>
      </c>
      <c r="O1106" s="2"/>
      <c r="P1106" s="16">
        <v>4000</v>
      </c>
      <c r="Q1106" s="2">
        <f>VLOOKUP(B1106,'Cadastro Produtos'!A:F,5,2)</f>
        <v>12</v>
      </c>
      <c r="R1106" s="14">
        <f t="shared" si="85"/>
        <v>48000</v>
      </c>
    </row>
    <row r="1107" spans="1:18" x14ac:dyDescent="0.25">
      <c r="A1107">
        <v>1106</v>
      </c>
      <c r="B1107">
        <v>1</v>
      </c>
      <c r="C1107" t="str">
        <f>VLOOKUP(B1107,'Cadastro Produtos'!A:E,2,2)</f>
        <v>Limonada Alfa com Açúcar 500 ml</v>
      </c>
      <c r="D1107">
        <v>5</v>
      </c>
      <c r="E1107" t="str">
        <f>VLOOKUP(D1107,'Cadatro Clientes'!A:O,2,2)</f>
        <v>Axé com Limão</v>
      </c>
      <c r="F1107" t="str">
        <f>VLOOKUP(D1107,'Cadatro Clientes'!A:O,9,2)</f>
        <v>Nordeste</v>
      </c>
      <c r="G1107" s="15">
        <v>42046</v>
      </c>
      <c r="H1107">
        <f t="shared" si="86"/>
        <v>4</v>
      </c>
      <c r="I1107">
        <f t="shared" si="87"/>
        <v>11</v>
      </c>
      <c r="J1107">
        <f t="shared" si="88"/>
        <v>2</v>
      </c>
      <c r="K1107">
        <f t="shared" si="89"/>
        <v>2015</v>
      </c>
      <c r="M1107">
        <v>13</v>
      </c>
      <c r="N1107" t="str">
        <f>VLOOKUP(M1107,'Cadastro Vendedores'!A:H,2,2)</f>
        <v>Andre</v>
      </c>
      <c r="O1107" s="2"/>
      <c r="P1107" s="16">
        <v>3200</v>
      </c>
      <c r="Q1107" s="2">
        <f>VLOOKUP(B1107,'Cadastro Produtos'!A:F,5,2)</f>
        <v>8.5</v>
      </c>
      <c r="R1107" s="14">
        <f t="shared" si="85"/>
        <v>27200</v>
      </c>
    </row>
    <row r="1108" spans="1:18" x14ac:dyDescent="0.25">
      <c r="A1108">
        <v>1107</v>
      </c>
      <c r="B1108">
        <v>7</v>
      </c>
      <c r="C1108" t="str">
        <f>VLOOKUP(B1108,'Cadastro Produtos'!A:E,2,2)</f>
        <v>Limonada Alfa Zero 1 L</v>
      </c>
      <c r="D1108">
        <v>1</v>
      </c>
      <c r="E1108" t="str">
        <f>VLOOKUP(D1108,'Cadatro Clientes'!A:O,2,2)</f>
        <v>Meu Suco de Limão</v>
      </c>
      <c r="F1108" t="str">
        <f>VLOOKUP(D1108,'Cadatro Clientes'!A:O,9,2)</f>
        <v>Norte</v>
      </c>
      <c r="G1108" s="15">
        <v>42047</v>
      </c>
      <c r="H1108">
        <f t="shared" si="86"/>
        <v>5</v>
      </c>
      <c r="I1108">
        <f t="shared" si="87"/>
        <v>12</v>
      </c>
      <c r="J1108">
        <f t="shared" si="88"/>
        <v>2</v>
      </c>
      <c r="K1108">
        <f t="shared" si="89"/>
        <v>2015</v>
      </c>
      <c r="M1108">
        <v>8</v>
      </c>
      <c r="N1108" t="str">
        <f>VLOOKUP(M1108,'Cadastro Vendedores'!A:H,2,2)</f>
        <v>Sérgio</v>
      </c>
      <c r="O1108" s="2"/>
      <c r="P1108" s="16">
        <v>4300</v>
      </c>
      <c r="Q1108" s="2">
        <f>VLOOKUP(B1108,'Cadastro Produtos'!A:F,5,2)</f>
        <v>15</v>
      </c>
      <c r="R1108" s="14">
        <f t="shared" si="85"/>
        <v>64500</v>
      </c>
    </row>
    <row r="1109" spans="1:18" x14ac:dyDescent="0.25">
      <c r="A1109">
        <v>1108</v>
      </c>
      <c r="B1109">
        <v>3</v>
      </c>
      <c r="C1109" t="str">
        <f>VLOOKUP(B1109,'Cadastro Produtos'!A:E,2,2)</f>
        <v>Limonada Alfa Zero 500 ml</v>
      </c>
      <c r="D1109">
        <v>3</v>
      </c>
      <c r="E1109" t="str">
        <f>VLOOKUP(D1109,'Cadatro Clientes'!A:O,2,2)</f>
        <v>Limonada Suíça Ltda</v>
      </c>
      <c r="F1109" t="str">
        <f>VLOOKUP(D1109,'Cadatro Clientes'!A:O,9,2)</f>
        <v>Nordeste</v>
      </c>
      <c r="G1109" s="15">
        <v>42047</v>
      </c>
      <c r="H1109">
        <f t="shared" si="86"/>
        <v>5</v>
      </c>
      <c r="I1109">
        <f t="shared" si="87"/>
        <v>12</v>
      </c>
      <c r="J1109">
        <f t="shared" si="88"/>
        <v>2</v>
      </c>
      <c r="K1109">
        <f t="shared" si="89"/>
        <v>2015</v>
      </c>
      <c r="M1109">
        <v>9</v>
      </c>
      <c r="N1109" t="str">
        <f>VLOOKUP(M1109,'Cadastro Vendedores'!A:H,2,2)</f>
        <v>Adriana</v>
      </c>
      <c r="O1109" s="2"/>
      <c r="P1109" s="16">
        <v>6600</v>
      </c>
      <c r="Q1109" s="2">
        <f>VLOOKUP(B1109,'Cadastro Produtos'!A:F,5,2)</f>
        <v>9</v>
      </c>
      <c r="R1109" s="14">
        <f t="shared" si="85"/>
        <v>59400</v>
      </c>
    </row>
    <row r="1110" spans="1:18" x14ac:dyDescent="0.25">
      <c r="A1110">
        <v>1109</v>
      </c>
      <c r="B1110">
        <v>3</v>
      </c>
      <c r="C1110" t="str">
        <f>VLOOKUP(B1110,'Cadastro Produtos'!A:E,2,2)</f>
        <v>Limonada Alfa Zero 500 ml</v>
      </c>
      <c r="D1110">
        <v>12</v>
      </c>
      <c r="E1110" t="str">
        <f>VLOOKUP(D1110,'Cadatro Clientes'!A:O,2,2)</f>
        <v>Limão da Ilha</v>
      </c>
      <c r="F1110" t="str">
        <f>VLOOKUP(D1110,'Cadatro Clientes'!A:O,9,2)</f>
        <v>Sul</v>
      </c>
      <c r="G1110" s="15">
        <v>42047</v>
      </c>
      <c r="H1110">
        <f t="shared" si="86"/>
        <v>5</v>
      </c>
      <c r="I1110">
        <f t="shared" si="87"/>
        <v>12</v>
      </c>
      <c r="J1110">
        <f t="shared" si="88"/>
        <v>2</v>
      </c>
      <c r="K1110">
        <f t="shared" si="89"/>
        <v>2015</v>
      </c>
      <c r="M1110">
        <v>3</v>
      </c>
      <c r="N1110" t="str">
        <f>VLOOKUP(M1110,'Cadastro Vendedores'!A:H,2,2)</f>
        <v>Antônia</v>
      </c>
      <c r="O1110" s="2"/>
      <c r="P1110" s="16">
        <v>7700</v>
      </c>
      <c r="Q1110" s="2">
        <f>VLOOKUP(B1110,'Cadastro Produtos'!A:F,5,2)</f>
        <v>9</v>
      </c>
      <c r="R1110" s="14">
        <f t="shared" si="85"/>
        <v>69300</v>
      </c>
    </row>
    <row r="1111" spans="1:18" x14ac:dyDescent="0.25">
      <c r="A1111">
        <v>1110</v>
      </c>
      <c r="B1111">
        <v>4</v>
      </c>
      <c r="C1111" t="str">
        <f>VLOOKUP(B1111,'Cadastro Produtos'!A:E,2,2)</f>
        <v>Limonada Beta Zero 500 ml</v>
      </c>
      <c r="D1111">
        <v>5</v>
      </c>
      <c r="E1111" t="str">
        <f>VLOOKUP(D1111,'Cadatro Clientes'!A:O,2,2)</f>
        <v>Axé com Limão</v>
      </c>
      <c r="F1111" t="str">
        <f>VLOOKUP(D1111,'Cadatro Clientes'!A:O,9,2)</f>
        <v>Nordeste</v>
      </c>
      <c r="G1111" s="15">
        <v>42048</v>
      </c>
      <c r="H1111">
        <f t="shared" si="86"/>
        <v>6</v>
      </c>
      <c r="I1111">
        <f t="shared" si="87"/>
        <v>13</v>
      </c>
      <c r="J1111">
        <f t="shared" si="88"/>
        <v>2</v>
      </c>
      <c r="K1111">
        <f t="shared" si="89"/>
        <v>2015</v>
      </c>
      <c r="M1111">
        <v>4</v>
      </c>
      <c r="N1111" t="str">
        <f>VLOOKUP(M1111,'Cadastro Vendedores'!A:H,2,2)</f>
        <v>José</v>
      </c>
      <c r="O1111" s="2"/>
      <c r="P1111" s="16">
        <v>8000</v>
      </c>
      <c r="Q1111" s="2">
        <f>VLOOKUP(B1111,'Cadastro Produtos'!A:F,5,2)</f>
        <v>7</v>
      </c>
      <c r="R1111" s="14">
        <f t="shared" si="85"/>
        <v>56000</v>
      </c>
    </row>
    <row r="1112" spans="1:18" x14ac:dyDescent="0.25">
      <c r="A1112">
        <v>1111</v>
      </c>
      <c r="B1112">
        <v>3</v>
      </c>
      <c r="C1112" t="str">
        <f>VLOOKUP(B1112,'Cadastro Produtos'!A:E,2,2)</f>
        <v>Limonada Alfa Zero 500 ml</v>
      </c>
      <c r="D1112">
        <v>6</v>
      </c>
      <c r="E1112" t="str">
        <f>VLOOKUP(D1112,'Cadatro Clientes'!A:O,2,2)</f>
        <v>Lemonade</v>
      </c>
      <c r="F1112" t="str">
        <f>VLOOKUP(D1112,'Cadatro Clientes'!A:O,9,2)</f>
        <v>Norte</v>
      </c>
      <c r="G1112" s="15">
        <v>42049</v>
      </c>
      <c r="H1112">
        <f t="shared" si="86"/>
        <v>7</v>
      </c>
      <c r="I1112">
        <f t="shared" si="87"/>
        <v>14</v>
      </c>
      <c r="J1112">
        <f t="shared" si="88"/>
        <v>2</v>
      </c>
      <c r="K1112">
        <f t="shared" si="89"/>
        <v>2015</v>
      </c>
      <c r="M1112">
        <v>9</v>
      </c>
      <c r="N1112" t="str">
        <f>VLOOKUP(M1112,'Cadastro Vendedores'!A:H,2,2)</f>
        <v>Adriana</v>
      </c>
      <c r="O1112" s="2"/>
      <c r="P1112" s="16">
        <v>2800</v>
      </c>
      <c r="Q1112" s="2">
        <f>VLOOKUP(B1112,'Cadastro Produtos'!A:F,5,2)</f>
        <v>9</v>
      </c>
      <c r="R1112" s="14">
        <f t="shared" si="85"/>
        <v>25200</v>
      </c>
    </row>
    <row r="1113" spans="1:18" x14ac:dyDescent="0.25">
      <c r="A1113">
        <v>1112</v>
      </c>
      <c r="B1113">
        <v>7</v>
      </c>
      <c r="C1113" t="str">
        <f>VLOOKUP(B1113,'Cadastro Produtos'!A:E,2,2)</f>
        <v>Limonada Alfa Zero 1 L</v>
      </c>
      <c r="D1113">
        <v>18</v>
      </c>
      <c r="E1113" t="str">
        <f>VLOOKUP(D1113,'Cadatro Clientes'!A:O,2,2)</f>
        <v>Rio Branco Limonada Ltda</v>
      </c>
      <c r="F1113" t="str">
        <f>VLOOKUP(D1113,'Cadatro Clientes'!A:O,9,2)</f>
        <v>Norte</v>
      </c>
      <c r="G1113" s="15">
        <v>42049</v>
      </c>
      <c r="H1113">
        <f t="shared" si="86"/>
        <v>7</v>
      </c>
      <c r="I1113">
        <f t="shared" si="87"/>
        <v>14</v>
      </c>
      <c r="J1113">
        <f t="shared" si="88"/>
        <v>2</v>
      </c>
      <c r="K1113">
        <f t="shared" si="89"/>
        <v>2015</v>
      </c>
      <c r="M1113">
        <v>9</v>
      </c>
      <c r="N1113" t="str">
        <f>VLOOKUP(M1113,'Cadastro Vendedores'!A:H,2,2)</f>
        <v>Adriana</v>
      </c>
      <c r="O1113" s="2"/>
      <c r="P1113" s="16">
        <v>2500</v>
      </c>
      <c r="Q1113" s="2">
        <f>VLOOKUP(B1113,'Cadastro Produtos'!A:F,5,2)</f>
        <v>15</v>
      </c>
      <c r="R1113" s="14">
        <f t="shared" si="85"/>
        <v>37500</v>
      </c>
    </row>
    <row r="1114" spans="1:18" x14ac:dyDescent="0.25">
      <c r="A1114">
        <v>1113</v>
      </c>
      <c r="B1114">
        <v>3</v>
      </c>
      <c r="C1114" t="str">
        <f>VLOOKUP(B1114,'Cadastro Produtos'!A:E,2,2)</f>
        <v>Limonada Alfa Zero 500 ml</v>
      </c>
      <c r="D1114">
        <v>7</v>
      </c>
      <c r="E1114" t="str">
        <f>VLOOKUP(D1114,'Cadatro Clientes'!A:O,2,2)</f>
        <v>Limo</v>
      </c>
      <c r="F1114" t="str">
        <f>VLOOKUP(D1114,'Cadatro Clientes'!A:O,9,2)</f>
        <v>Centro-Oeste</v>
      </c>
      <c r="G1114" s="15">
        <v>42049</v>
      </c>
      <c r="H1114">
        <f t="shared" si="86"/>
        <v>7</v>
      </c>
      <c r="I1114">
        <f t="shared" si="87"/>
        <v>14</v>
      </c>
      <c r="J1114">
        <f t="shared" si="88"/>
        <v>2</v>
      </c>
      <c r="K1114">
        <f t="shared" si="89"/>
        <v>2015</v>
      </c>
      <c r="M1114">
        <v>15</v>
      </c>
      <c r="N1114" t="str">
        <f>VLOOKUP(M1114,'Cadastro Vendedores'!A:H,2,2)</f>
        <v>Luis</v>
      </c>
      <c r="O1114" s="2"/>
      <c r="P1114" s="16">
        <v>4700</v>
      </c>
      <c r="Q1114" s="2">
        <f>VLOOKUP(B1114,'Cadastro Produtos'!A:F,5,2)</f>
        <v>9</v>
      </c>
      <c r="R1114" s="14">
        <f t="shared" si="85"/>
        <v>42300</v>
      </c>
    </row>
    <row r="1115" spans="1:18" x14ac:dyDescent="0.25">
      <c r="A1115">
        <v>1114</v>
      </c>
      <c r="B1115">
        <v>5</v>
      </c>
      <c r="C1115" t="str">
        <f>VLOOKUP(B1115,'Cadastro Produtos'!A:E,2,2)</f>
        <v>Limonada Alfa com Açúcar 1 L</v>
      </c>
      <c r="D1115">
        <v>17</v>
      </c>
      <c r="E1115" t="str">
        <f>VLOOKUP(D1115,'Cadatro Clientes'!A:O,2,2)</f>
        <v>Aracasuco</v>
      </c>
      <c r="F1115" t="str">
        <f>VLOOKUP(D1115,'Cadatro Clientes'!A:O,9,2)</f>
        <v>Nordeste</v>
      </c>
      <c r="G1115" s="15">
        <v>42049</v>
      </c>
      <c r="H1115">
        <f t="shared" si="86"/>
        <v>7</v>
      </c>
      <c r="I1115">
        <f t="shared" si="87"/>
        <v>14</v>
      </c>
      <c r="J1115">
        <f t="shared" si="88"/>
        <v>2</v>
      </c>
      <c r="K1115">
        <f t="shared" si="89"/>
        <v>2015</v>
      </c>
      <c r="M1115">
        <v>15</v>
      </c>
      <c r="N1115" t="str">
        <f>VLOOKUP(M1115,'Cadastro Vendedores'!A:H,2,2)</f>
        <v>Luis</v>
      </c>
      <c r="O1115" s="2"/>
      <c r="P1115" s="16">
        <v>3000</v>
      </c>
      <c r="Q1115" s="2">
        <f>VLOOKUP(B1115,'Cadastro Produtos'!A:F,5,2)</f>
        <v>15</v>
      </c>
      <c r="R1115" s="14">
        <f t="shared" si="85"/>
        <v>45000</v>
      </c>
    </row>
    <row r="1116" spans="1:18" x14ac:dyDescent="0.25">
      <c r="A1116">
        <v>1115</v>
      </c>
      <c r="B1116">
        <v>9</v>
      </c>
      <c r="C1116" t="str">
        <f>VLOOKUP(B1116,'Cadastro Produtos'!A:E,2,2)</f>
        <v>Limonada Alfa com Hortelã e Açúcar 1 L</v>
      </c>
      <c r="D1116">
        <v>5</v>
      </c>
      <c r="E1116" t="str">
        <f>VLOOKUP(D1116,'Cadatro Clientes'!A:O,2,2)</f>
        <v>Axé com Limão</v>
      </c>
      <c r="F1116" t="str">
        <f>VLOOKUP(D1116,'Cadatro Clientes'!A:O,9,2)</f>
        <v>Nordeste</v>
      </c>
      <c r="G1116" s="15">
        <v>42050</v>
      </c>
      <c r="H1116">
        <f t="shared" si="86"/>
        <v>1</v>
      </c>
      <c r="I1116">
        <f t="shared" si="87"/>
        <v>15</v>
      </c>
      <c r="J1116">
        <f t="shared" si="88"/>
        <v>2</v>
      </c>
      <c r="K1116">
        <f t="shared" si="89"/>
        <v>2015</v>
      </c>
      <c r="M1116">
        <v>2</v>
      </c>
      <c r="N1116" t="str">
        <f>VLOOKUP(M1116,'Cadastro Vendedores'!A:H,2,2)</f>
        <v>Luis</v>
      </c>
      <c r="O1116" s="2"/>
      <c r="P1116" s="16">
        <v>1200</v>
      </c>
      <c r="Q1116" s="2">
        <f>VLOOKUP(B1116,'Cadastro Produtos'!A:F,5,2)</f>
        <v>17.5</v>
      </c>
      <c r="R1116" s="14">
        <f t="shared" si="85"/>
        <v>21000</v>
      </c>
    </row>
    <row r="1117" spans="1:18" x14ac:dyDescent="0.25">
      <c r="A1117">
        <v>1116</v>
      </c>
      <c r="B1117">
        <v>7</v>
      </c>
      <c r="C1117" t="str">
        <f>VLOOKUP(B1117,'Cadastro Produtos'!A:E,2,2)</f>
        <v>Limonada Alfa Zero 1 L</v>
      </c>
      <c r="D1117">
        <v>14</v>
      </c>
      <c r="E1117" t="str">
        <f>VLOOKUP(D1117,'Cadatro Clientes'!A:O,2,2)</f>
        <v>Sprite</v>
      </c>
      <c r="F1117" t="str">
        <f>VLOOKUP(D1117,'Cadatro Clientes'!A:O,9,2)</f>
        <v>Norte</v>
      </c>
      <c r="G1117" s="15">
        <v>42051</v>
      </c>
      <c r="H1117">
        <f t="shared" si="86"/>
        <v>2</v>
      </c>
      <c r="I1117">
        <f t="shared" si="87"/>
        <v>16</v>
      </c>
      <c r="J1117">
        <f t="shared" si="88"/>
        <v>2</v>
      </c>
      <c r="K1117">
        <f t="shared" si="89"/>
        <v>2015</v>
      </c>
      <c r="M1117">
        <v>13</v>
      </c>
      <c r="N1117" t="str">
        <f>VLOOKUP(M1117,'Cadastro Vendedores'!A:H,2,2)</f>
        <v>Andre</v>
      </c>
      <c r="O1117" s="2"/>
      <c r="P1117" s="16">
        <v>1800</v>
      </c>
      <c r="Q1117" s="2">
        <f>VLOOKUP(B1117,'Cadastro Produtos'!A:F,5,2)</f>
        <v>15</v>
      </c>
      <c r="R1117" s="14">
        <f t="shared" si="85"/>
        <v>27000</v>
      </c>
    </row>
    <row r="1118" spans="1:18" x14ac:dyDescent="0.25">
      <c r="A1118">
        <v>1117</v>
      </c>
      <c r="B1118">
        <v>5</v>
      </c>
      <c r="C1118" t="str">
        <f>VLOOKUP(B1118,'Cadastro Produtos'!A:E,2,2)</f>
        <v>Limonada Alfa com Açúcar 1 L</v>
      </c>
      <c r="D1118">
        <v>19</v>
      </c>
      <c r="E1118" t="str">
        <f>VLOOKUP(D1118,'Cadatro Clientes'!A:O,2,2)</f>
        <v>Lima Limão</v>
      </c>
      <c r="F1118" t="str">
        <f>VLOOKUP(D1118,'Cadatro Clientes'!A:O,9,2)</f>
        <v>Sudeste</v>
      </c>
      <c r="G1118" s="15">
        <v>42051</v>
      </c>
      <c r="H1118">
        <f t="shared" si="86"/>
        <v>2</v>
      </c>
      <c r="I1118">
        <f t="shared" si="87"/>
        <v>16</v>
      </c>
      <c r="J1118">
        <f t="shared" si="88"/>
        <v>2</v>
      </c>
      <c r="K1118">
        <f t="shared" si="89"/>
        <v>2015</v>
      </c>
      <c r="M1118">
        <v>16</v>
      </c>
      <c r="N1118" t="str">
        <f>VLOOKUP(M1118,'Cadastro Vendedores'!A:H,2,2)</f>
        <v>Jose</v>
      </c>
      <c r="O1118" s="2"/>
      <c r="P1118" s="16">
        <v>1800</v>
      </c>
      <c r="Q1118" s="2">
        <f>VLOOKUP(B1118,'Cadastro Produtos'!A:F,5,2)</f>
        <v>15</v>
      </c>
      <c r="R1118" s="14">
        <f t="shared" si="85"/>
        <v>27000</v>
      </c>
    </row>
    <row r="1119" spans="1:18" x14ac:dyDescent="0.25">
      <c r="A1119">
        <v>1118</v>
      </c>
      <c r="B1119">
        <v>4</v>
      </c>
      <c r="C1119" t="str">
        <f>VLOOKUP(B1119,'Cadastro Produtos'!A:E,2,2)</f>
        <v>Limonada Beta Zero 500 ml</v>
      </c>
      <c r="D1119">
        <v>9</v>
      </c>
      <c r="E1119" t="str">
        <f>VLOOKUP(D1119,'Cadatro Clientes'!A:O,2,2)</f>
        <v>Fresh Lemon</v>
      </c>
      <c r="F1119" t="str">
        <f>VLOOKUP(D1119,'Cadatro Clientes'!A:O,9,2)</f>
        <v>Sudeste</v>
      </c>
      <c r="G1119" s="15">
        <v>42051</v>
      </c>
      <c r="H1119">
        <f t="shared" si="86"/>
        <v>2</v>
      </c>
      <c r="I1119">
        <f t="shared" si="87"/>
        <v>16</v>
      </c>
      <c r="J1119">
        <f t="shared" si="88"/>
        <v>2</v>
      </c>
      <c r="K1119">
        <f t="shared" si="89"/>
        <v>2015</v>
      </c>
      <c r="M1119">
        <v>9</v>
      </c>
      <c r="N1119" t="str">
        <f>VLOOKUP(M1119,'Cadastro Vendedores'!A:H,2,2)</f>
        <v>Adriana</v>
      </c>
      <c r="O1119" s="2"/>
      <c r="P1119" s="16">
        <v>2300</v>
      </c>
      <c r="Q1119" s="2">
        <f>VLOOKUP(B1119,'Cadastro Produtos'!A:F,5,2)</f>
        <v>7</v>
      </c>
      <c r="R1119" s="14">
        <f t="shared" si="85"/>
        <v>16100</v>
      </c>
    </row>
    <row r="1120" spans="1:18" x14ac:dyDescent="0.25">
      <c r="A1120">
        <v>1119</v>
      </c>
      <c r="B1120">
        <v>8</v>
      </c>
      <c r="C1120" t="str">
        <f>VLOOKUP(B1120,'Cadastro Produtos'!A:E,2,2)</f>
        <v>Limonada Beta Zero 1 L</v>
      </c>
      <c r="D1120">
        <v>5</v>
      </c>
      <c r="E1120" t="str">
        <f>VLOOKUP(D1120,'Cadatro Clientes'!A:O,2,2)</f>
        <v>Axé com Limão</v>
      </c>
      <c r="F1120" t="str">
        <f>VLOOKUP(D1120,'Cadatro Clientes'!A:O,9,2)</f>
        <v>Nordeste</v>
      </c>
      <c r="G1120" s="15">
        <v>42052</v>
      </c>
      <c r="H1120">
        <f t="shared" si="86"/>
        <v>3</v>
      </c>
      <c r="I1120">
        <f t="shared" si="87"/>
        <v>17</v>
      </c>
      <c r="J1120">
        <f t="shared" si="88"/>
        <v>2</v>
      </c>
      <c r="K1120">
        <f t="shared" si="89"/>
        <v>2015</v>
      </c>
      <c r="M1120">
        <v>13</v>
      </c>
      <c r="N1120" t="str">
        <f>VLOOKUP(M1120,'Cadastro Vendedores'!A:H,2,2)</f>
        <v>Andre</v>
      </c>
      <c r="O1120" s="2"/>
      <c r="P1120" s="16">
        <v>5100</v>
      </c>
      <c r="Q1120" s="2">
        <f>VLOOKUP(B1120,'Cadastro Produtos'!A:F,5,2)</f>
        <v>12</v>
      </c>
      <c r="R1120" s="14">
        <f t="shared" si="85"/>
        <v>61200</v>
      </c>
    </row>
    <row r="1121" spans="1:18" x14ac:dyDescent="0.25">
      <c r="A1121">
        <v>1120</v>
      </c>
      <c r="B1121">
        <v>8</v>
      </c>
      <c r="C1121" t="str">
        <f>VLOOKUP(B1121,'Cadastro Produtos'!A:E,2,2)</f>
        <v>Limonada Beta Zero 1 L</v>
      </c>
      <c r="D1121">
        <v>9</v>
      </c>
      <c r="E1121" t="str">
        <f>VLOOKUP(D1121,'Cadatro Clientes'!A:O,2,2)</f>
        <v>Fresh Lemon</v>
      </c>
      <c r="F1121" t="str">
        <f>VLOOKUP(D1121,'Cadatro Clientes'!A:O,9,2)</f>
        <v>Sudeste</v>
      </c>
      <c r="G1121" s="15">
        <v>42052</v>
      </c>
      <c r="H1121">
        <f t="shared" si="86"/>
        <v>3</v>
      </c>
      <c r="I1121">
        <f t="shared" si="87"/>
        <v>17</v>
      </c>
      <c r="J1121">
        <f t="shared" si="88"/>
        <v>2</v>
      </c>
      <c r="K1121">
        <f t="shared" si="89"/>
        <v>2015</v>
      </c>
      <c r="M1121">
        <v>13</v>
      </c>
      <c r="N1121" t="str">
        <f>VLOOKUP(M1121,'Cadastro Vendedores'!A:H,2,2)</f>
        <v>Andre</v>
      </c>
      <c r="O1121" s="2"/>
      <c r="P1121" s="16">
        <v>4900</v>
      </c>
      <c r="Q1121" s="2">
        <f>VLOOKUP(B1121,'Cadastro Produtos'!A:F,5,2)</f>
        <v>12</v>
      </c>
      <c r="R1121" s="14">
        <f t="shared" si="85"/>
        <v>58800</v>
      </c>
    </row>
    <row r="1122" spans="1:18" x14ac:dyDescent="0.25">
      <c r="A1122">
        <v>1121</v>
      </c>
      <c r="B1122">
        <v>4</v>
      </c>
      <c r="C1122" t="str">
        <f>VLOOKUP(B1122,'Cadastro Produtos'!A:E,2,2)</f>
        <v>Limonada Beta Zero 500 ml</v>
      </c>
      <c r="D1122">
        <v>11</v>
      </c>
      <c r="E1122" t="str">
        <f>VLOOKUP(D1122,'Cadatro Clientes'!A:O,2,2)</f>
        <v>Red Lemon</v>
      </c>
      <c r="F1122" t="str">
        <f>VLOOKUP(D1122,'Cadatro Clientes'!A:O,9,2)</f>
        <v>Sul</v>
      </c>
      <c r="G1122" s="15">
        <v>42052</v>
      </c>
      <c r="H1122">
        <f t="shared" si="86"/>
        <v>3</v>
      </c>
      <c r="I1122">
        <f t="shared" si="87"/>
        <v>17</v>
      </c>
      <c r="J1122">
        <f t="shared" si="88"/>
        <v>2</v>
      </c>
      <c r="K1122">
        <f t="shared" si="89"/>
        <v>2015</v>
      </c>
      <c r="M1122">
        <v>6</v>
      </c>
      <c r="N1122" t="str">
        <f>VLOOKUP(M1122,'Cadastro Vendedores'!A:H,2,2)</f>
        <v>Antônia</v>
      </c>
      <c r="O1122" s="2"/>
      <c r="P1122" s="16">
        <v>8800</v>
      </c>
      <c r="Q1122" s="2">
        <f>VLOOKUP(B1122,'Cadastro Produtos'!A:F,5,2)</f>
        <v>7</v>
      </c>
      <c r="R1122" s="14">
        <f t="shared" si="85"/>
        <v>61600</v>
      </c>
    </row>
    <row r="1123" spans="1:18" x14ac:dyDescent="0.25">
      <c r="A1123">
        <v>1122</v>
      </c>
      <c r="B1123">
        <v>5</v>
      </c>
      <c r="C1123" t="str">
        <f>VLOOKUP(B1123,'Cadastro Produtos'!A:E,2,2)</f>
        <v>Limonada Alfa com Açúcar 1 L</v>
      </c>
      <c r="D1123">
        <v>5</v>
      </c>
      <c r="E1123" t="str">
        <f>VLOOKUP(D1123,'Cadatro Clientes'!A:O,2,2)</f>
        <v>Axé com Limão</v>
      </c>
      <c r="F1123" t="str">
        <f>VLOOKUP(D1123,'Cadatro Clientes'!A:O,9,2)</f>
        <v>Nordeste</v>
      </c>
      <c r="G1123" s="15">
        <v>42053</v>
      </c>
      <c r="H1123">
        <f t="shared" si="86"/>
        <v>4</v>
      </c>
      <c r="I1123">
        <f t="shared" si="87"/>
        <v>18</v>
      </c>
      <c r="J1123">
        <f t="shared" si="88"/>
        <v>2</v>
      </c>
      <c r="K1123">
        <f t="shared" si="89"/>
        <v>2015</v>
      </c>
      <c r="M1123">
        <v>4</v>
      </c>
      <c r="N1123" t="str">
        <f>VLOOKUP(M1123,'Cadastro Vendedores'!A:H,2,2)</f>
        <v>José</v>
      </c>
      <c r="O1123" s="2"/>
      <c r="P1123" s="16">
        <v>4700</v>
      </c>
      <c r="Q1123" s="2">
        <f>VLOOKUP(B1123,'Cadastro Produtos'!A:F,5,2)</f>
        <v>15</v>
      </c>
      <c r="R1123" s="14">
        <f t="shared" si="85"/>
        <v>70500</v>
      </c>
    </row>
    <row r="1124" spans="1:18" x14ac:dyDescent="0.25">
      <c r="A1124">
        <v>1123</v>
      </c>
      <c r="B1124">
        <v>10</v>
      </c>
      <c r="C1124" t="str">
        <f>VLOOKUP(B1124,'Cadastro Produtos'!A:E,2,2)</f>
        <v>Limonada Alfa com Hortelã Zero 1 L</v>
      </c>
      <c r="D1124">
        <v>2</v>
      </c>
      <c r="E1124" t="str">
        <f>VLOOKUP(D1124,'Cadatro Clientes'!A:O,2,2)</f>
        <v>Limão S/A</v>
      </c>
      <c r="F1124" t="str">
        <f>VLOOKUP(D1124,'Cadatro Clientes'!A:O,9,2)</f>
        <v>Centro-Oeste</v>
      </c>
      <c r="G1124" s="15">
        <v>42053</v>
      </c>
      <c r="H1124">
        <f t="shared" si="86"/>
        <v>4</v>
      </c>
      <c r="I1124">
        <f t="shared" si="87"/>
        <v>18</v>
      </c>
      <c r="J1124">
        <f t="shared" si="88"/>
        <v>2</v>
      </c>
      <c r="K1124">
        <f t="shared" si="89"/>
        <v>2015</v>
      </c>
      <c r="M1124">
        <v>16</v>
      </c>
      <c r="N1124" t="str">
        <f>VLOOKUP(M1124,'Cadastro Vendedores'!A:H,2,2)</f>
        <v>Jose</v>
      </c>
      <c r="O1124" s="2"/>
      <c r="P1124" s="16">
        <v>2600</v>
      </c>
      <c r="Q1124" s="2">
        <f>VLOOKUP(B1124,'Cadastro Produtos'!A:F,5,2)</f>
        <v>21</v>
      </c>
      <c r="R1124" s="14">
        <f t="shared" si="85"/>
        <v>54600</v>
      </c>
    </row>
    <row r="1125" spans="1:18" x14ac:dyDescent="0.25">
      <c r="A1125">
        <v>1124</v>
      </c>
      <c r="B1125">
        <v>6</v>
      </c>
      <c r="C1125" t="str">
        <f>VLOOKUP(B1125,'Cadastro Produtos'!A:E,2,2)</f>
        <v>Limonada Beta com Açúcar 1 L</v>
      </c>
      <c r="D1125">
        <v>12</v>
      </c>
      <c r="E1125" t="str">
        <f>VLOOKUP(D1125,'Cadatro Clientes'!A:O,2,2)</f>
        <v>Limão da Ilha</v>
      </c>
      <c r="F1125" t="str">
        <f>VLOOKUP(D1125,'Cadatro Clientes'!A:O,9,2)</f>
        <v>Sul</v>
      </c>
      <c r="G1125" s="15">
        <v>42053</v>
      </c>
      <c r="H1125">
        <f t="shared" si="86"/>
        <v>4</v>
      </c>
      <c r="I1125">
        <f t="shared" si="87"/>
        <v>18</v>
      </c>
      <c r="J1125">
        <f t="shared" si="88"/>
        <v>2</v>
      </c>
      <c r="K1125">
        <f t="shared" si="89"/>
        <v>2015</v>
      </c>
      <c r="M1125">
        <v>16</v>
      </c>
      <c r="N1125" t="str">
        <f>VLOOKUP(M1125,'Cadastro Vendedores'!A:H,2,2)</f>
        <v>Jose</v>
      </c>
      <c r="O1125" s="2"/>
      <c r="P1125" s="16">
        <v>1900</v>
      </c>
      <c r="Q1125" s="2">
        <f>VLOOKUP(B1125,'Cadastro Produtos'!A:F,5,2)</f>
        <v>12</v>
      </c>
      <c r="R1125" s="14">
        <f t="shared" si="85"/>
        <v>22800</v>
      </c>
    </row>
    <row r="1126" spans="1:18" x14ac:dyDescent="0.25">
      <c r="A1126">
        <v>1125</v>
      </c>
      <c r="B1126">
        <v>9</v>
      </c>
      <c r="C1126" t="str">
        <f>VLOOKUP(B1126,'Cadastro Produtos'!A:E,2,2)</f>
        <v>Limonada Alfa com Hortelã e Açúcar 1 L</v>
      </c>
      <c r="D1126">
        <v>7</v>
      </c>
      <c r="E1126" t="str">
        <f>VLOOKUP(D1126,'Cadatro Clientes'!A:O,2,2)</f>
        <v>Limo</v>
      </c>
      <c r="F1126" t="str">
        <f>VLOOKUP(D1126,'Cadatro Clientes'!A:O,9,2)</f>
        <v>Centro-Oeste</v>
      </c>
      <c r="G1126" s="15">
        <v>42054</v>
      </c>
      <c r="H1126">
        <f t="shared" si="86"/>
        <v>5</v>
      </c>
      <c r="I1126">
        <f t="shared" si="87"/>
        <v>19</v>
      </c>
      <c r="J1126">
        <f t="shared" si="88"/>
        <v>2</v>
      </c>
      <c r="K1126">
        <f t="shared" si="89"/>
        <v>2015</v>
      </c>
      <c r="M1126">
        <v>12</v>
      </c>
      <c r="N1126" t="str">
        <f>VLOOKUP(M1126,'Cadastro Vendedores'!A:H,2,2)</f>
        <v>Paulo</v>
      </c>
      <c r="O1126" s="2"/>
      <c r="P1126" s="16">
        <v>2300</v>
      </c>
      <c r="Q1126" s="2">
        <f>VLOOKUP(B1126,'Cadastro Produtos'!A:F,5,2)</f>
        <v>17.5</v>
      </c>
      <c r="R1126" s="14">
        <f t="shared" si="85"/>
        <v>40250</v>
      </c>
    </row>
    <row r="1127" spans="1:18" x14ac:dyDescent="0.25">
      <c r="A1127">
        <v>1126</v>
      </c>
      <c r="B1127">
        <v>4</v>
      </c>
      <c r="C1127" t="str">
        <f>VLOOKUP(B1127,'Cadastro Produtos'!A:E,2,2)</f>
        <v>Limonada Beta Zero 500 ml</v>
      </c>
      <c r="D1127">
        <v>17</v>
      </c>
      <c r="E1127" t="str">
        <f>VLOOKUP(D1127,'Cadatro Clientes'!A:O,2,2)</f>
        <v>Aracasuco</v>
      </c>
      <c r="F1127" t="str">
        <f>VLOOKUP(D1127,'Cadatro Clientes'!A:O,9,2)</f>
        <v>Nordeste</v>
      </c>
      <c r="G1127" s="15">
        <v>42054</v>
      </c>
      <c r="H1127">
        <f t="shared" si="86"/>
        <v>5</v>
      </c>
      <c r="I1127">
        <f t="shared" si="87"/>
        <v>19</v>
      </c>
      <c r="J1127">
        <f t="shared" si="88"/>
        <v>2</v>
      </c>
      <c r="K1127">
        <f t="shared" si="89"/>
        <v>2015</v>
      </c>
      <c r="M1127">
        <v>13</v>
      </c>
      <c r="N1127" t="str">
        <f>VLOOKUP(M1127,'Cadastro Vendedores'!A:H,2,2)</f>
        <v>Andre</v>
      </c>
      <c r="O1127" s="2"/>
      <c r="P1127" s="16">
        <v>4600</v>
      </c>
      <c r="Q1127" s="2">
        <f>VLOOKUP(B1127,'Cadastro Produtos'!A:F,5,2)</f>
        <v>7</v>
      </c>
      <c r="R1127" s="14">
        <f t="shared" si="85"/>
        <v>32200</v>
      </c>
    </row>
    <row r="1128" spans="1:18" x14ac:dyDescent="0.25">
      <c r="A1128">
        <v>1127</v>
      </c>
      <c r="B1128">
        <v>8</v>
      </c>
      <c r="C1128" t="str">
        <f>VLOOKUP(B1128,'Cadastro Produtos'!A:E,2,2)</f>
        <v>Limonada Beta Zero 1 L</v>
      </c>
      <c r="D1128">
        <v>5</v>
      </c>
      <c r="E1128" t="str">
        <f>VLOOKUP(D1128,'Cadatro Clientes'!A:O,2,2)</f>
        <v>Axé com Limão</v>
      </c>
      <c r="F1128" t="str">
        <f>VLOOKUP(D1128,'Cadatro Clientes'!A:O,9,2)</f>
        <v>Nordeste</v>
      </c>
      <c r="G1128" s="15">
        <v>42055</v>
      </c>
      <c r="H1128">
        <f t="shared" si="86"/>
        <v>6</v>
      </c>
      <c r="I1128">
        <f t="shared" si="87"/>
        <v>20</v>
      </c>
      <c r="J1128">
        <f t="shared" si="88"/>
        <v>2</v>
      </c>
      <c r="K1128">
        <f t="shared" si="89"/>
        <v>2015</v>
      </c>
      <c r="M1128">
        <v>4</v>
      </c>
      <c r="N1128" t="str">
        <f>VLOOKUP(M1128,'Cadastro Vendedores'!A:H,2,2)</f>
        <v>José</v>
      </c>
      <c r="O1128" s="2"/>
      <c r="P1128" s="16">
        <v>4600</v>
      </c>
      <c r="Q1128" s="2">
        <f>VLOOKUP(B1128,'Cadastro Produtos'!A:F,5,2)</f>
        <v>12</v>
      </c>
      <c r="R1128" s="14">
        <f t="shared" si="85"/>
        <v>55200</v>
      </c>
    </row>
    <row r="1129" spans="1:18" x14ac:dyDescent="0.25">
      <c r="A1129">
        <v>1128</v>
      </c>
      <c r="B1129">
        <v>9</v>
      </c>
      <c r="C1129" t="str">
        <f>VLOOKUP(B1129,'Cadastro Produtos'!A:E,2,2)</f>
        <v>Limonada Alfa com Hortelã e Açúcar 1 L</v>
      </c>
      <c r="D1129">
        <v>4</v>
      </c>
      <c r="E1129" t="str">
        <f>VLOOKUP(D1129,'Cadatro Clientes'!A:O,2,2)</f>
        <v>Limão Carioca e Cia</v>
      </c>
      <c r="F1129" t="str">
        <f>VLOOKUP(D1129,'Cadatro Clientes'!A:O,9,2)</f>
        <v>Sudeste</v>
      </c>
      <c r="G1129" s="15">
        <v>42055</v>
      </c>
      <c r="H1129">
        <f t="shared" si="86"/>
        <v>6</v>
      </c>
      <c r="I1129">
        <f t="shared" si="87"/>
        <v>20</v>
      </c>
      <c r="J1129">
        <f t="shared" si="88"/>
        <v>2</v>
      </c>
      <c r="K1129">
        <f t="shared" si="89"/>
        <v>2015</v>
      </c>
      <c r="M1129">
        <v>9</v>
      </c>
      <c r="N1129" t="str">
        <f>VLOOKUP(M1129,'Cadastro Vendedores'!A:H,2,2)</f>
        <v>Adriana</v>
      </c>
      <c r="O1129" s="2"/>
      <c r="P1129" s="16">
        <v>1300</v>
      </c>
      <c r="Q1129" s="2">
        <f>VLOOKUP(B1129,'Cadastro Produtos'!A:F,5,2)</f>
        <v>17.5</v>
      </c>
      <c r="R1129" s="14">
        <f t="shared" si="85"/>
        <v>22750</v>
      </c>
    </row>
    <row r="1130" spans="1:18" x14ac:dyDescent="0.25">
      <c r="A1130">
        <v>1129</v>
      </c>
      <c r="B1130">
        <v>4</v>
      </c>
      <c r="C1130" t="str">
        <f>VLOOKUP(B1130,'Cadastro Produtos'!A:E,2,2)</f>
        <v>Limonada Beta Zero 500 ml</v>
      </c>
      <c r="D1130">
        <v>11</v>
      </c>
      <c r="E1130" t="str">
        <f>VLOOKUP(D1130,'Cadatro Clientes'!A:O,2,2)</f>
        <v>Red Lemon</v>
      </c>
      <c r="F1130" t="str">
        <f>VLOOKUP(D1130,'Cadatro Clientes'!A:O,9,2)</f>
        <v>Sul</v>
      </c>
      <c r="G1130" s="15">
        <v>42055</v>
      </c>
      <c r="H1130">
        <f t="shared" si="86"/>
        <v>6</v>
      </c>
      <c r="I1130">
        <f t="shared" si="87"/>
        <v>20</v>
      </c>
      <c r="J1130">
        <f t="shared" si="88"/>
        <v>2</v>
      </c>
      <c r="K1130">
        <f t="shared" si="89"/>
        <v>2015</v>
      </c>
      <c r="M1130">
        <v>9</v>
      </c>
      <c r="N1130" t="str">
        <f>VLOOKUP(M1130,'Cadastro Vendedores'!A:H,2,2)</f>
        <v>Adriana</v>
      </c>
      <c r="O1130" s="2"/>
      <c r="P1130" s="16">
        <v>9000</v>
      </c>
      <c r="Q1130" s="2">
        <f>VLOOKUP(B1130,'Cadastro Produtos'!A:F,5,2)</f>
        <v>7</v>
      </c>
      <c r="R1130" s="14">
        <f t="shared" si="85"/>
        <v>63000</v>
      </c>
    </row>
    <row r="1131" spans="1:18" x14ac:dyDescent="0.25">
      <c r="A1131">
        <v>1130</v>
      </c>
      <c r="B1131">
        <v>10</v>
      </c>
      <c r="C1131" t="str">
        <f>VLOOKUP(B1131,'Cadastro Produtos'!A:E,2,2)</f>
        <v>Limonada Alfa com Hortelã Zero 1 L</v>
      </c>
      <c r="D1131">
        <v>7</v>
      </c>
      <c r="E1131" t="str">
        <f>VLOOKUP(D1131,'Cadatro Clientes'!A:O,2,2)</f>
        <v>Limo</v>
      </c>
      <c r="F1131" t="str">
        <f>VLOOKUP(D1131,'Cadatro Clientes'!A:O,9,2)</f>
        <v>Centro-Oeste</v>
      </c>
      <c r="G1131" s="15">
        <v>42056</v>
      </c>
      <c r="H1131">
        <f t="shared" si="86"/>
        <v>7</v>
      </c>
      <c r="I1131">
        <f t="shared" si="87"/>
        <v>21</v>
      </c>
      <c r="J1131">
        <f t="shared" si="88"/>
        <v>2</v>
      </c>
      <c r="K1131">
        <f t="shared" si="89"/>
        <v>2015</v>
      </c>
      <c r="M1131">
        <v>12</v>
      </c>
      <c r="N1131" t="str">
        <f>VLOOKUP(M1131,'Cadastro Vendedores'!A:H,2,2)</f>
        <v>Paulo</v>
      </c>
      <c r="O1131" s="2"/>
      <c r="P1131" s="16">
        <v>700</v>
      </c>
      <c r="Q1131" s="2">
        <f>VLOOKUP(B1131,'Cadastro Produtos'!A:F,5,2)</f>
        <v>21</v>
      </c>
      <c r="R1131" s="14">
        <f t="shared" si="85"/>
        <v>14700</v>
      </c>
    </row>
    <row r="1132" spans="1:18" x14ac:dyDescent="0.25">
      <c r="A1132">
        <v>1131</v>
      </c>
      <c r="B1132">
        <v>4</v>
      </c>
      <c r="C1132" t="str">
        <f>VLOOKUP(B1132,'Cadastro Produtos'!A:E,2,2)</f>
        <v>Limonada Beta Zero 500 ml</v>
      </c>
      <c r="D1132">
        <v>14</v>
      </c>
      <c r="E1132" t="str">
        <f>VLOOKUP(D1132,'Cadatro Clientes'!A:O,2,2)</f>
        <v>Sprite</v>
      </c>
      <c r="F1132" t="str">
        <f>VLOOKUP(D1132,'Cadatro Clientes'!A:O,9,2)</f>
        <v>Norte</v>
      </c>
      <c r="G1132" s="15">
        <v>42056</v>
      </c>
      <c r="H1132">
        <f t="shared" si="86"/>
        <v>7</v>
      </c>
      <c r="I1132">
        <f t="shared" si="87"/>
        <v>21</v>
      </c>
      <c r="J1132">
        <f t="shared" si="88"/>
        <v>2</v>
      </c>
      <c r="K1132">
        <f t="shared" si="89"/>
        <v>2015</v>
      </c>
      <c r="M1132">
        <v>13</v>
      </c>
      <c r="N1132" t="str">
        <f>VLOOKUP(M1132,'Cadastro Vendedores'!A:H,2,2)</f>
        <v>Andre</v>
      </c>
      <c r="O1132" s="2"/>
      <c r="P1132" s="16">
        <v>4900</v>
      </c>
      <c r="Q1132" s="2">
        <f>VLOOKUP(B1132,'Cadastro Produtos'!A:F,5,2)</f>
        <v>7</v>
      </c>
      <c r="R1132" s="14">
        <f t="shared" si="85"/>
        <v>34300</v>
      </c>
    </row>
    <row r="1133" spans="1:18" x14ac:dyDescent="0.25">
      <c r="A1133">
        <v>1132</v>
      </c>
      <c r="B1133">
        <v>2</v>
      </c>
      <c r="C1133" t="str">
        <f>VLOOKUP(B1133,'Cadastro Produtos'!A:E,2,2)</f>
        <v>Limonada Beta com Açúcar 500 ml</v>
      </c>
      <c r="D1133">
        <v>10</v>
      </c>
      <c r="E1133" t="str">
        <f>VLOOKUP(D1133,'Cadatro Clientes'!A:O,2,2)</f>
        <v>Lemon Gator</v>
      </c>
      <c r="F1133" t="str">
        <f>VLOOKUP(D1133,'Cadatro Clientes'!A:O,9,2)</f>
        <v>Nordeste</v>
      </c>
      <c r="G1133" s="15">
        <v>42056</v>
      </c>
      <c r="H1133">
        <f t="shared" si="86"/>
        <v>7</v>
      </c>
      <c r="I1133">
        <f t="shared" si="87"/>
        <v>21</v>
      </c>
      <c r="J1133">
        <f t="shared" si="88"/>
        <v>2</v>
      </c>
      <c r="K1133">
        <f t="shared" si="89"/>
        <v>2015</v>
      </c>
      <c r="M1133">
        <v>13</v>
      </c>
      <c r="N1133" t="str">
        <f>VLOOKUP(M1133,'Cadastro Vendedores'!A:H,2,2)</f>
        <v>Andre</v>
      </c>
      <c r="O1133" s="2"/>
      <c r="P1133" s="16">
        <v>5300</v>
      </c>
      <c r="Q1133" s="2">
        <f>VLOOKUP(B1133,'Cadastro Produtos'!A:F,5,2)</f>
        <v>6.5</v>
      </c>
      <c r="R1133" s="14">
        <f t="shared" si="85"/>
        <v>34450</v>
      </c>
    </row>
    <row r="1134" spans="1:18" x14ac:dyDescent="0.25">
      <c r="A1134">
        <v>1133</v>
      </c>
      <c r="B1134">
        <v>9</v>
      </c>
      <c r="C1134" t="str">
        <f>VLOOKUP(B1134,'Cadastro Produtos'!A:E,2,2)</f>
        <v>Limonada Alfa com Hortelã e Açúcar 1 L</v>
      </c>
      <c r="D1134">
        <v>5</v>
      </c>
      <c r="E1134" t="str">
        <f>VLOOKUP(D1134,'Cadatro Clientes'!A:O,2,2)</f>
        <v>Axé com Limão</v>
      </c>
      <c r="F1134" t="str">
        <f>VLOOKUP(D1134,'Cadatro Clientes'!A:O,9,2)</f>
        <v>Nordeste</v>
      </c>
      <c r="G1134" s="15">
        <v>42057</v>
      </c>
      <c r="H1134">
        <f t="shared" si="86"/>
        <v>1</v>
      </c>
      <c r="I1134">
        <f t="shared" si="87"/>
        <v>22</v>
      </c>
      <c r="J1134">
        <f t="shared" si="88"/>
        <v>2</v>
      </c>
      <c r="K1134">
        <f t="shared" si="89"/>
        <v>2015</v>
      </c>
      <c r="M1134">
        <v>9</v>
      </c>
      <c r="N1134" t="str">
        <f>VLOOKUP(M1134,'Cadastro Vendedores'!A:H,2,2)</f>
        <v>Adriana</v>
      </c>
      <c r="O1134" s="2"/>
      <c r="P1134" s="16">
        <v>1200</v>
      </c>
      <c r="Q1134" s="2">
        <f>VLOOKUP(B1134,'Cadastro Produtos'!A:F,5,2)</f>
        <v>17.5</v>
      </c>
      <c r="R1134" s="14">
        <f t="shared" si="85"/>
        <v>21000</v>
      </c>
    </row>
    <row r="1135" spans="1:18" x14ac:dyDescent="0.25">
      <c r="A1135">
        <v>1134</v>
      </c>
      <c r="B1135">
        <v>3</v>
      </c>
      <c r="C1135" t="str">
        <f>VLOOKUP(B1135,'Cadastro Produtos'!A:E,2,2)</f>
        <v>Limonada Alfa Zero 500 ml</v>
      </c>
      <c r="D1135">
        <v>16</v>
      </c>
      <c r="E1135" t="str">
        <f>VLOOKUP(D1135,'Cadatro Clientes'!A:O,2,2)</f>
        <v>Norte Suco</v>
      </c>
      <c r="F1135" t="str">
        <f>VLOOKUP(D1135,'Cadatro Clientes'!A:O,9,2)</f>
        <v>Nordeste</v>
      </c>
      <c r="G1135" s="15">
        <v>42057</v>
      </c>
      <c r="H1135">
        <f t="shared" si="86"/>
        <v>1</v>
      </c>
      <c r="I1135">
        <f t="shared" si="87"/>
        <v>22</v>
      </c>
      <c r="J1135">
        <f t="shared" si="88"/>
        <v>2</v>
      </c>
      <c r="K1135">
        <f t="shared" si="89"/>
        <v>2015</v>
      </c>
      <c r="M1135">
        <v>7</v>
      </c>
      <c r="N1135" t="str">
        <f>VLOOKUP(M1135,'Cadastro Vendedores'!A:H,2,2)</f>
        <v>Benedito</v>
      </c>
      <c r="O1135" s="2"/>
      <c r="P1135" s="16">
        <v>4400</v>
      </c>
      <c r="Q1135" s="2">
        <f>VLOOKUP(B1135,'Cadastro Produtos'!A:F,5,2)</f>
        <v>9</v>
      </c>
      <c r="R1135" s="14">
        <f t="shared" si="85"/>
        <v>39600</v>
      </c>
    </row>
    <row r="1136" spans="1:18" x14ac:dyDescent="0.25">
      <c r="A1136">
        <v>1135</v>
      </c>
      <c r="B1136">
        <v>9</v>
      </c>
      <c r="C1136" t="str">
        <f>VLOOKUP(B1136,'Cadastro Produtos'!A:E,2,2)</f>
        <v>Limonada Alfa com Hortelã e Açúcar 1 L</v>
      </c>
      <c r="D1136">
        <v>10</v>
      </c>
      <c r="E1136" t="str">
        <f>VLOOKUP(D1136,'Cadatro Clientes'!A:O,2,2)</f>
        <v>Lemon Gator</v>
      </c>
      <c r="F1136" t="str">
        <f>VLOOKUP(D1136,'Cadatro Clientes'!A:O,9,2)</f>
        <v>Nordeste</v>
      </c>
      <c r="G1136" s="15">
        <v>42057</v>
      </c>
      <c r="H1136">
        <f t="shared" si="86"/>
        <v>1</v>
      </c>
      <c r="I1136">
        <f t="shared" si="87"/>
        <v>22</v>
      </c>
      <c r="J1136">
        <f t="shared" si="88"/>
        <v>2</v>
      </c>
      <c r="K1136">
        <f t="shared" si="89"/>
        <v>2015</v>
      </c>
      <c r="M1136">
        <v>7</v>
      </c>
      <c r="N1136" t="str">
        <f>VLOOKUP(M1136,'Cadastro Vendedores'!A:H,2,2)</f>
        <v>Benedito</v>
      </c>
      <c r="O1136" s="2"/>
      <c r="P1136" s="16">
        <v>2600</v>
      </c>
      <c r="Q1136" s="2">
        <f>VLOOKUP(B1136,'Cadastro Produtos'!A:F,5,2)</f>
        <v>17.5</v>
      </c>
      <c r="R1136" s="14">
        <f t="shared" si="85"/>
        <v>45500</v>
      </c>
    </row>
    <row r="1137" spans="1:18" x14ac:dyDescent="0.25">
      <c r="A1137">
        <v>1136</v>
      </c>
      <c r="B1137">
        <v>7</v>
      </c>
      <c r="C1137" t="str">
        <f>VLOOKUP(B1137,'Cadastro Produtos'!A:E,2,2)</f>
        <v>Limonada Alfa Zero 1 L</v>
      </c>
      <c r="D1137">
        <v>10</v>
      </c>
      <c r="E1137" t="str">
        <f>VLOOKUP(D1137,'Cadatro Clientes'!A:O,2,2)</f>
        <v>Lemon Gator</v>
      </c>
      <c r="F1137" t="str">
        <f>VLOOKUP(D1137,'Cadatro Clientes'!A:O,9,2)</f>
        <v>Nordeste</v>
      </c>
      <c r="G1137" s="15">
        <v>42057</v>
      </c>
      <c r="H1137">
        <f t="shared" si="86"/>
        <v>1</v>
      </c>
      <c r="I1137">
        <f t="shared" si="87"/>
        <v>22</v>
      </c>
      <c r="J1137">
        <f t="shared" si="88"/>
        <v>2</v>
      </c>
      <c r="K1137">
        <f t="shared" si="89"/>
        <v>2015</v>
      </c>
      <c r="M1137">
        <v>2</v>
      </c>
      <c r="N1137" t="str">
        <f>VLOOKUP(M1137,'Cadastro Vendedores'!A:H,2,2)</f>
        <v>Luis</v>
      </c>
      <c r="O1137" s="2"/>
      <c r="P1137" s="16">
        <v>4000</v>
      </c>
      <c r="Q1137" s="2">
        <f>VLOOKUP(B1137,'Cadastro Produtos'!A:F,5,2)</f>
        <v>15</v>
      </c>
      <c r="R1137" s="14">
        <f t="shared" si="85"/>
        <v>60000</v>
      </c>
    </row>
    <row r="1138" spans="1:18" x14ac:dyDescent="0.25">
      <c r="A1138">
        <v>1137</v>
      </c>
      <c r="B1138">
        <v>2</v>
      </c>
      <c r="C1138" t="str">
        <f>VLOOKUP(B1138,'Cadastro Produtos'!A:E,2,2)</f>
        <v>Limonada Beta com Açúcar 500 ml</v>
      </c>
      <c r="D1138">
        <v>8</v>
      </c>
      <c r="E1138" t="str">
        <f>VLOOKUP(D1138,'Cadatro Clientes'!A:O,2,2)</f>
        <v>Refresko</v>
      </c>
      <c r="F1138" t="str">
        <f>VLOOKUP(D1138,'Cadatro Clientes'!A:O,9,2)</f>
        <v>Sul</v>
      </c>
      <c r="G1138" s="15">
        <v>42058</v>
      </c>
      <c r="H1138">
        <f t="shared" si="86"/>
        <v>2</v>
      </c>
      <c r="I1138">
        <f t="shared" si="87"/>
        <v>23</v>
      </c>
      <c r="J1138">
        <f t="shared" si="88"/>
        <v>2</v>
      </c>
      <c r="K1138">
        <f t="shared" si="89"/>
        <v>2015</v>
      </c>
      <c r="M1138">
        <v>15</v>
      </c>
      <c r="N1138" t="str">
        <f>VLOOKUP(M1138,'Cadastro Vendedores'!A:H,2,2)</f>
        <v>Luis</v>
      </c>
      <c r="O1138" s="2"/>
      <c r="P1138" s="16">
        <v>7600</v>
      </c>
      <c r="Q1138" s="2">
        <f>VLOOKUP(B1138,'Cadastro Produtos'!A:F,5,2)</f>
        <v>6.5</v>
      </c>
      <c r="R1138" s="14">
        <f t="shared" si="85"/>
        <v>49400</v>
      </c>
    </row>
    <row r="1139" spans="1:18" x14ac:dyDescent="0.25">
      <c r="A1139">
        <v>1138</v>
      </c>
      <c r="B1139">
        <v>4</v>
      </c>
      <c r="C1139" t="str">
        <f>VLOOKUP(B1139,'Cadastro Produtos'!A:E,2,2)</f>
        <v>Limonada Beta Zero 500 ml</v>
      </c>
      <c r="D1139">
        <v>17</v>
      </c>
      <c r="E1139" t="str">
        <f>VLOOKUP(D1139,'Cadatro Clientes'!A:O,2,2)</f>
        <v>Aracasuco</v>
      </c>
      <c r="F1139" t="str">
        <f>VLOOKUP(D1139,'Cadatro Clientes'!A:O,9,2)</f>
        <v>Nordeste</v>
      </c>
      <c r="G1139" s="15">
        <v>42058</v>
      </c>
      <c r="H1139">
        <f t="shared" si="86"/>
        <v>2</v>
      </c>
      <c r="I1139">
        <f t="shared" si="87"/>
        <v>23</v>
      </c>
      <c r="J1139">
        <f t="shared" si="88"/>
        <v>2</v>
      </c>
      <c r="K1139">
        <f t="shared" si="89"/>
        <v>2015</v>
      </c>
      <c r="M1139">
        <v>9</v>
      </c>
      <c r="N1139" t="str">
        <f>VLOOKUP(M1139,'Cadastro Vendedores'!A:H,2,2)</f>
        <v>Adriana</v>
      </c>
      <c r="O1139" s="2"/>
      <c r="P1139" s="16">
        <v>4000</v>
      </c>
      <c r="Q1139" s="2">
        <f>VLOOKUP(B1139,'Cadastro Produtos'!A:F,5,2)</f>
        <v>7</v>
      </c>
      <c r="R1139" s="14">
        <f t="shared" si="85"/>
        <v>28000</v>
      </c>
    </row>
    <row r="1140" spans="1:18" x14ac:dyDescent="0.25">
      <c r="A1140">
        <v>1139</v>
      </c>
      <c r="B1140">
        <v>8</v>
      </c>
      <c r="C1140" t="str">
        <f>VLOOKUP(B1140,'Cadastro Produtos'!A:E,2,2)</f>
        <v>Limonada Beta Zero 1 L</v>
      </c>
      <c r="D1140">
        <v>14</v>
      </c>
      <c r="E1140" t="str">
        <f>VLOOKUP(D1140,'Cadatro Clientes'!A:O,2,2)</f>
        <v>Sprite</v>
      </c>
      <c r="F1140" t="str">
        <f>VLOOKUP(D1140,'Cadatro Clientes'!A:O,9,2)</f>
        <v>Norte</v>
      </c>
      <c r="G1140" s="15">
        <v>42058</v>
      </c>
      <c r="H1140">
        <f t="shared" si="86"/>
        <v>2</v>
      </c>
      <c r="I1140">
        <f t="shared" si="87"/>
        <v>23</v>
      </c>
      <c r="J1140">
        <f t="shared" si="88"/>
        <v>2</v>
      </c>
      <c r="K1140">
        <f t="shared" si="89"/>
        <v>2015</v>
      </c>
      <c r="M1140">
        <v>3</v>
      </c>
      <c r="N1140" t="str">
        <f>VLOOKUP(M1140,'Cadastro Vendedores'!A:H,2,2)</f>
        <v>Antônia</v>
      </c>
      <c r="O1140" s="2"/>
      <c r="P1140" s="16">
        <v>2600</v>
      </c>
      <c r="Q1140" s="2">
        <f>VLOOKUP(B1140,'Cadastro Produtos'!A:F,5,2)</f>
        <v>12</v>
      </c>
      <c r="R1140" s="14">
        <f t="shared" si="85"/>
        <v>31200</v>
      </c>
    </row>
    <row r="1141" spans="1:18" x14ac:dyDescent="0.25">
      <c r="A1141">
        <v>1140</v>
      </c>
      <c r="B1141">
        <v>8</v>
      </c>
      <c r="C1141" t="str">
        <f>VLOOKUP(B1141,'Cadastro Produtos'!A:E,2,2)</f>
        <v>Limonada Beta Zero 1 L</v>
      </c>
      <c r="D1141">
        <v>5</v>
      </c>
      <c r="E1141" t="str">
        <f>VLOOKUP(D1141,'Cadatro Clientes'!A:O,2,2)</f>
        <v>Axé com Limão</v>
      </c>
      <c r="F1141" t="str">
        <f>VLOOKUP(D1141,'Cadatro Clientes'!A:O,9,2)</f>
        <v>Nordeste</v>
      </c>
      <c r="G1141" s="15">
        <v>42058</v>
      </c>
      <c r="H1141">
        <f t="shared" si="86"/>
        <v>2</v>
      </c>
      <c r="I1141">
        <f t="shared" si="87"/>
        <v>23</v>
      </c>
      <c r="J1141">
        <f t="shared" si="88"/>
        <v>2</v>
      </c>
      <c r="K1141">
        <f t="shared" si="89"/>
        <v>2015</v>
      </c>
      <c r="M1141">
        <v>3</v>
      </c>
      <c r="N1141" t="str">
        <f>VLOOKUP(M1141,'Cadastro Vendedores'!A:H,2,2)</f>
        <v>Antônia</v>
      </c>
      <c r="O1141" s="2"/>
      <c r="P1141" s="16">
        <v>4000</v>
      </c>
      <c r="Q1141" s="2">
        <f>VLOOKUP(B1141,'Cadastro Produtos'!A:F,5,2)</f>
        <v>12</v>
      </c>
      <c r="R1141" s="14">
        <f t="shared" si="85"/>
        <v>48000</v>
      </c>
    </row>
    <row r="1142" spans="1:18" x14ac:dyDescent="0.25">
      <c r="A1142">
        <v>1141</v>
      </c>
      <c r="B1142">
        <v>1</v>
      </c>
      <c r="C1142" t="str">
        <f>VLOOKUP(B1142,'Cadastro Produtos'!A:E,2,2)</f>
        <v>Limonada Alfa com Açúcar 500 ml</v>
      </c>
      <c r="D1142">
        <v>5</v>
      </c>
      <c r="E1142" t="str">
        <f>VLOOKUP(D1142,'Cadatro Clientes'!A:O,2,2)</f>
        <v>Axé com Limão</v>
      </c>
      <c r="F1142" t="str">
        <f>VLOOKUP(D1142,'Cadatro Clientes'!A:O,9,2)</f>
        <v>Nordeste</v>
      </c>
      <c r="G1142" s="15">
        <v>42059</v>
      </c>
      <c r="H1142">
        <f t="shared" si="86"/>
        <v>3</v>
      </c>
      <c r="I1142">
        <f t="shared" si="87"/>
        <v>24</v>
      </c>
      <c r="J1142">
        <f t="shared" si="88"/>
        <v>2</v>
      </c>
      <c r="K1142">
        <f t="shared" si="89"/>
        <v>2015</v>
      </c>
      <c r="M1142">
        <v>7</v>
      </c>
      <c r="N1142" t="str">
        <f>VLOOKUP(M1142,'Cadastro Vendedores'!A:H,2,2)</f>
        <v>Benedito</v>
      </c>
      <c r="O1142" s="2"/>
      <c r="P1142" s="16">
        <v>3500</v>
      </c>
      <c r="Q1142" s="2">
        <f>VLOOKUP(B1142,'Cadastro Produtos'!A:F,5,2)</f>
        <v>8.5</v>
      </c>
      <c r="R1142" s="14">
        <f t="shared" si="85"/>
        <v>29750</v>
      </c>
    </row>
    <row r="1143" spans="1:18" x14ac:dyDescent="0.25">
      <c r="A1143">
        <v>1142</v>
      </c>
      <c r="B1143">
        <v>7</v>
      </c>
      <c r="C1143" t="str">
        <f>VLOOKUP(B1143,'Cadastro Produtos'!A:E,2,2)</f>
        <v>Limonada Alfa Zero 1 L</v>
      </c>
      <c r="D1143">
        <v>6</v>
      </c>
      <c r="E1143" t="str">
        <f>VLOOKUP(D1143,'Cadatro Clientes'!A:O,2,2)</f>
        <v>Lemonade</v>
      </c>
      <c r="F1143" t="str">
        <f>VLOOKUP(D1143,'Cadatro Clientes'!A:O,9,2)</f>
        <v>Norte</v>
      </c>
      <c r="G1143" s="15">
        <v>42059</v>
      </c>
      <c r="H1143">
        <f t="shared" si="86"/>
        <v>3</v>
      </c>
      <c r="I1143">
        <f t="shared" si="87"/>
        <v>24</v>
      </c>
      <c r="J1143">
        <f t="shared" si="88"/>
        <v>2</v>
      </c>
      <c r="K1143">
        <f t="shared" si="89"/>
        <v>2015</v>
      </c>
      <c r="M1143">
        <v>3</v>
      </c>
      <c r="N1143" t="str">
        <f>VLOOKUP(M1143,'Cadastro Vendedores'!A:H,2,2)</f>
        <v>Antônia</v>
      </c>
      <c r="O1143" s="2"/>
      <c r="P1143" s="16">
        <v>4200</v>
      </c>
      <c r="Q1143" s="2">
        <f>VLOOKUP(B1143,'Cadastro Produtos'!A:F,5,2)</f>
        <v>15</v>
      </c>
      <c r="R1143" s="14">
        <f t="shared" si="85"/>
        <v>63000</v>
      </c>
    </row>
    <row r="1144" spans="1:18" x14ac:dyDescent="0.25">
      <c r="A1144">
        <v>1143</v>
      </c>
      <c r="B1144">
        <v>7</v>
      </c>
      <c r="C1144" t="str">
        <f>VLOOKUP(B1144,'Cadastro Produtos'!A:E,2,2)</f>
        <v>Limonada Alfa Zero 1 L</v>
      </c>
      <c r="D1144">
        <v>7</v>
      </c>
      <c r="E1144" t="str">
        <f>VLOOKUP(D1144,'Cadatro Clientes'!A:O,2,2)</f>
        <v>Limo</v>
      </c>
      <c r="F1144" t="str">
        <f>VLOOKUP(D1144,'Cadatro Clientes'!A:O,9,2)</f>
        <v>Centro-Oeste</v>
      </c>
      <c r="G1144" s="15">
        <v>42061</v>
      </c>
      <c r="H1144">
        <f t="shared" si="86"/>
        <v>5</v>
      </c>
      <c r="I1144">
        <f t="shared" si="87"/>
        <v>26</v>
      </c>
      <c r="J1144">
        <f t="shared" si="88"/>
        <v>2</v>
      </c>
      <c r="K1144">
        <f t="shared" si="89"/>
        <v>2015</v>
      </c>
      <c r="M1144">
        <v>6</v>
      </c>
      <c r="N1144" t="str">
        <f>VLOOKUP(M1144,'Cadastro Vendedores'!A:H,2,2)</f>
        <v>Antônia</v>
      </c>
      <c r="O1144" s="2"/>
      <c r="P1144" s="16">
        <v>3000</v>
      </c>
      <c r="Q1144" s="2">
        <f>VLOOKUP(B1144,'Cadastro Produtos'!A:F,5,2)</f>
        <v>15</v>
      </c>
      <c r="R1144" s="14">
        <f t="shared" si="85"/>
        <v>45000</v>
      </c>
    </row>
    <row r="1145" spans="1:18" x14ac:dyDescent="0.25">
      <c r="A1145">
        <v>1144</v>
      </c>
      <c r="B1145">
        <v>8</v>
      </c>
      <c r="C1145" t="str">
        <f>VLOOKUP(B1145,'Cadastro Produtos'!A:E,2,2)</f>
        <v>Limonada Beta Zero 1 L</v>
      </c>
      <c r="D1145">
        <v>12</v>
      </c>
      <c r="E1145" t="str">
        <f>VLOOKUP(D1145,'Cadatro Clientes'!A:O,2,2)</f>
        <v>Limão da Ilha</v>
      </c>
      <c r="F1145" t="str">
        <f>VLOOKUP(D1145,'Cadatro Clientes'!A:O,9,2)</f>
        <v>Sul</v>
      </c>
      <c r="G1145" s="15">
        <v>42061</v>
      </c>
      <c r="H1145">
        <f t="shared" si="86"/>
        <v>5</v>
      </c>
      <c r="I1145">
        <f t="shared" si="87"/>
        <v>26</v>
      </c>
      <c r="J1145">
        <f t="shared" si="88"/>
        <v>2</v>
      </c>
      <c r="K1145">
        <f t="shared" si="89"/>
        <v>2015</v>
      </c>
      <c r="M1145">
        <v>3</v>
      </c>
      <c r="N1145" t="str">
        <f>VLOOKUP(M1145,'Cadastro Vendedores'!A:H,2,2)</f>
        <v>Antônia</v>
      </c>
      <c r="O1145" s="2"/>
      <c r="P1145" s="16">
        <v>3000</v>
      </c>
      <c r="Q1145" s="2">
        <f>VLOOKUP(B1145,'Cadastro Produtos'!A:F,5,2)</f>
        <v>12</v>
      </c>
      <c r="R1145" s="14">
        <f t="shared" si="85"/>
        <v>36000</v>
      </c>
    </row>
    <row r="1146" spans="1:18" x14ac:dyDescent="0.25">
      <c r="A1146">
        <v>1145</v>
      </c>
      <c r="B1146">
        <v>9</v>
      </c>
      <c r="C1146" t="str">
        <f>VLOOKUP(B1146,'Cadastro Produtos'!A:E,2,2)</f>
        <v>Limonada Alfa com Hortelã e Açúcar 1 L</v>
      </c>
      <c r="D1146">
        <v>5</v>
      </c>
      <c r="E1146" t="str">
        <f>VLOOKUP(D1146,'Cadatro Clientes'!A:O,2,2)</f>
        <v>Axé com Limão</v>
      </c>
      <c r="F1146" t="str">
        <f>VLOOKUP(D1146,'Cadatro Clientes'!A:O,9,2)</f>
        <v>Nordeste</v>
      </c>
      <c r="G1146" s="15">
        <v>42062</v>
      </c>
      <c r="H1146">
        <f t="shared" si="86"/>
        <v>6</v>
      </c>
      <c r="I1146">
        <f t="shared" si="87"/>
        <v>27</v>
      </c>
      <c r="J1146">
        <f t="shared" si="88"/>
        <v>2</v>
      </c>
      <c r="K1146">
        <f t="shared" si="89"/>
        <v>2015</v>
      </c>
      <c r="M1146">
        <v>15</v>
      </c>
      <c r="N1146" t="str">
        <f>VLOOKUP(M1146,'Cadastro Vendedores'!A:H,2,2)</f>
        <v>Luis</v>
      </c>
      <c r="O1146" s="2"/>
      <c r="P1146" s="16">
        <v>3100</v>
      </c>
      <c r="Q1146" s="2">
        <f>VLOOKUP(B1146,'Cadastro Produtos'!A:F,5,2)</f>
        <v>17.5</v>
      </c>
      <c r="R1146" s="14">
        <f t="shared" si="85"/>
        <v>54250</v>
      </c>
    </row>
    <row r="1147" spans="1:18" x14ac:dyDescent="0.25">
      <c r="A1147">
        <v>1146</v>
      </c>
      <c r="B1147">
        <v>7</v>
      </c>
      <c r="C1147" t="str">
        <f>VLOOKUP(B1147,'Cadastro Produtos'!A:E,2,2)</f>
        <v>Limonada Alfa Zero 1 L</v>
      </c>
      <c r="D1147">
        <v>9</v>
      </c>
      <c r="E1147" t="str">
        <f>VLOOKUP(D1147,'Cadatro Clientes'!A:O,2,2)</f>
        <v>Fresh Lemon</v>
      </c>
      <c r="F1147" t="str">
        <f>VLOOKUP(D1147,'Cadatro Clientes'!A:O,9,2)</f>
        <v>Sudeste</v>
      </c>
      <c r="G1147" s="15">
        <v>42062</v>
      </c>
      <c r="H1147">
        <f t="shared" si="86"/>
        <v>6</v>
      </c>
      <c r="I1147">
        <f t="shared" si="87"/>
        <v>27</v>
      </c>
      <c r="J1147">
        <f t="shared" si="88"/>
        <v>2</v>
      </c>
      <c r="K1147">
        <f t="shared" si="89"/>
        <v>2015</v>
      </c>
      <c r="M1147">
        <v>4</v>
      </c>
      <c r="N1147" t="str">
        <f>VLOOKUP(M1147,'Cadastro Vendedores'!A:H,2,2)</f>
        <v>José</v>
      </c>
      <c r="O1147" s="2"/>
      <c r="P1147" s="16">
        <v>1900</v>
      </c>
      <c r="Q1147" s="2">
        <f>VLOOKUP(B1147,'Cadastro Produtos'!A:F,5,2)</f>
        <v>15</v>
      </c>
      <c r="R1147" s="14">
        <f t="shared" si="85"/>
        <v>28500</v>
      </c>
    </row>
    <row r="1148" spans="1:18" x14ac:dyDescent="0.25">
      <c r="A1148">
        <v>1147</v>
      </c>
      <c r="B1148">
        <v>9</v>
      </c>
      <c r="C1148" t="str">
        <f>VLOOKUP(B1148,'Cadastro Produtos'!A:E,2,2)</f>
        <v>Limonada Alfa com Hortelã e Açúcar 1 L</v>
      </c>
      <c r="D1148">
        <v>9</v>
      </c>
      <c r="E1148" t="str">
        <f>VLOOKUP(D1148,'Cadatro Clientes'!A:O,2,2)</f>
        <v>Fresh Lemon</v>
      </c>
      <c r="F1148" t="str">
        <f>VLOOKUP(D1148,'Cadatro Clientes'!A:O,9,2)</f>
        <v>Sudeste</v>
      </c>
      <c r="G1148" s="15">
        <v>42062</v>
      </c>
      <c r="H1148">
        <f t="shared" si="86"/>
        <v>6</v>
      </c>
      <c r="I1148">
        <f t="shared" si="87"/>
        <v>27</v>
      </c>
      <c r="J1148">
        <f t="shared" si="88"/>
        <v>2</v>
      </c>
      <c r="K1148">
        <f t="shared" si="89"/>
        <v>2015</v>
      </c>
      <c r="M1148">
        <v>4</v>
      </c>
      <c r="N1148" t="str">
        <f>VLOOKUP(M1148,'Cadastro Vendedores'!A:H,2,2)</f>
        <v>José</v>
      </c>
      <c r="O1148" s="2"/>
      <c r="P1148" s="16">
        <v>2900</v>
      </c>
      <c r="Q1148" s="2">
        <f>VLOOKUP(B1148,'Cadastro Produtos'!A:F,5,2)</f>
        <v>17.5</v>
      </c>
      <c r="R1148" s="14">
        <f t="shared" si="85"/>
        <v>50750</v>
      </c>
    </row>
    <row r="1149" spans="1:18" x14ac:dyDescent="0.25">
      <c r="A1149">
        <v>1148</v>
      </c>
      <c r="B1149">
        <v>10</v>
      </c>
      <c r="C1149" t="str">
        <f>VLOOKUP(B1149,'Cadastro Produtos'!A:E,2,2)</f>
        <v>Limonada Alfa com Hortelã Zero 1 L</v>
      </c>
      <c r="D1149">
        <v>16</v>
      </c>
      <c r="E1149" t="str">
        <f>VLOOKUP(D1149,'Cadatro Clientes'!A:O,2,2)</f>
        <v>Norte Suco</v>
      </c>
      <c r="F1149" t="str">
        <f>VLOOKUP(D1149,'Cadatro Clientes'!A:O,9,2)</f>
        <v>Nordeste</v>
      </c>
      <c r="G1149" s="15">
        <v>42062</v>
      </c>
      <c r="H1149">
        <f t="shared" si="86"/>
        <v>6</v>
      </c>
      <c r="I1149">
        <f t="shared" si="87"/>
        <v>27</v>
      </c>
      <c r="J1149">
        <f t="shared" si="88"/>
        <v>2</v>
      </c>
      <c r="K1149">
        <f t="shared" si="89"/>
        <v>2015</v>
      </c>
      <c r="M1149">
        <v>8</v>
      </c>
      <c r="N1149" t="str">
        <f>VLOOKUP(M1149,'Cadastro Vendedores'!A:H,2,2)</f>
        <v>Sérgio</v>
      </c>
      <c r="O1149" s="2"/>
      <c r="P1149" s="16">
        <v>700</v>
      </c>
      <c r="Q1149" s="2">
        <f>VLOOKUP(B1149,'Cadastro Produtos'!A:F,5,2)</f>
        <v>21</v>
      </c>
      <c r="R1149" s="14">
        <f t="shared" si="85"/>
        <v>14700</v>
      </c>
    </row>
    <row r="1150" spans="1:18" x14ac:dyDescent="0.25">
      <c r="A1150">
        <v>1149</v>
      </c>
      <c r="B1150">
        <v>9</v>
      </c>
      <c r="C1150" t="str">
        <f>VLOOKUP(B1150,'Cadastro Produtos'!A:E,2,2)</f>
        <v>Limonada Alfa com Hortelã e Açúcar 1 L</v>
      </c>
      <c r="D1150">
        <v>10</v>
      </c>
      <c r="E1150" t="str">
        <f>VLOOKUP(D1150,'Cadatro Clientes'!A:O,2,2)</f>
        <v>Lemon Gator</v>
      </c>
      <c r="F1150" t="str">
        <f>VLOOKUP(D1150,'Cadatro Clientes'!A:O,9,2)</f>
        <v>Nordeste</v>
      </c>
      <c r="G1150" s="15">
        <v>42062</v>
      </c>
      <c r="H1150">
        <f t="shared" si="86"/>
        <v>6</v>
      </c>
      <c r="I1150">
        <f t="shared" si="87"/>
        <v>27</v>
      </c>
      <c r="J1150">
        <f t="shared" si="88"/>
        <v>2</v>
      </c>
      <c r="K1150">
        <f t="shared" si="89"/>
        <v>2015</v>
      </c>
      <c r="M1150">
        <v>7</v>
      </c>
      <c r="N1150" t="str">
        <f>VLOOKUP(M1150,'Cadastro Vendedores'!A:H,2,2)</f>
        <v>Benedito</v>
      </c>
      <c r="O1150" s="2"/>
      <c r="P1150" s="16">
        <v>3300</v>
      </c>
      <c r="Q1150" s="2">
        <f>VLOOKUP(B1150,'Cadastro Produtos'!A:F,5,2)</f>
        <v>17.5</v>
      </c>
      <c r="R1150" s="14">
        <f t="shared" si="85"/>
        <v>57750</v>
      </c>
    </row>
    <row r="1151" spans="1:18" x14ac:dyDescent="0.25">
      <c r="A1151">
        <v>1150</v>
      </c>
      <c r="B1151">
        <v>3</v>
      </c>
      <c r="C1151" t="str">
        <f>VLOOKUP(B1151,'Cadastro Produtos'!A:E,2,2)</f>
        <v>Limonada Alfa Zero 500 ml</v>
      </c>
      <c r="D1151">
        <v>1</v>
      </c>
      <c r="E1151" t="str">
        <f>VLOOKUP(D1151,'Cadatro Clientes'!A:O,2,2)</f>
        <v>Meu Suco de Limão</v>
      </c>
      <c r="F1151" t="str">
        <f>VLOOKUP(D1151,'Cadatro Clientes'!A:O,9,2)</f>
        <v>Norte</v>
      </c>
      <c r="G1151" s="15">
        <v>42064</v>
      </c>
      <c r="H1151">
        <f t="shared" si="86"/>
        <v>1</v>
      </c>
      <c r="I1151">
        <f t="shared" si="87"/>
        <v>1</v>
      </c>
      <c r="J1151">
        <f t="shared" si="88"/>
        <v>3</v>
      </c>
      <c r="K1151">
        <f t="shared" si="89"/>
        <v>2015</v>
      </c>
      <c r="M1151">
        <v>4</v>
      </c>
      <c r="N1151" t="str">
        <f>VLOOKUP(M1151,'Cadastro Vendedores'!A:H,2,2)</f>
        <v>José</v>
      </c>
      <c r="O1151" s="2"/>
      <c r="P1151" s="16">
        <v>2800</v>
      </c>
      <c r="Q1151" s="2">
        <f>VLOOKUP(B1151,'Cadastro Produtos'!A:F,5,2)</f>
        <v>9</v>
      </c>
      <c r="R1151" s="14">
        <f t="shared" si="85"/>
        <v>25200</v>
      </c>
    </row>
    <row r="1152" spans="1:18" x14ac:dyDescent="0.25">
      <c r="A1152">
        <v>1151</v>
      </c>
      <c r="B1152">
        <v>6</v>
      </c>
      <c r="C1152" t="str">
        <f>VLOOKUP(B1152,'Cadastro Produtos'!A:E,2,2)</f>
        <v>Limonada Beta com Açúcar 1 L</v>
      </c>
      <c r="D1152">
        <v>16</v>
      </c>
      <c r="E1152" t="str">
        <f>VLOOKUP(D1152,'Cadatro Clientes'!A:O,2,2)</f>
        <v>Norte Suco</v>
      </c>
      <c r="F1152" t="str">
        <f>VLOOKUP(D1152,'Cadatro Clientes'!A:O,9,2)</f>
        <v>Nordeste</v>
      </c>
      <c r="G1152" s="15">
        <v>42064</v>
      </c>
      <c r="H1152">
        <f t="shared" si="86"/>
        <v>1</v>
      </c>
      <c r="I1152">
        <f t="shared" si="87"/>
        <v>1</v>
      </c>
      <c r="J1152">
        <f t="shared" si="88"/>
        <v>3</v>
      </c>
      <c r="K1152">
        <f t="shared" si="89"/>
        <v>2015</v>
      </c>
      <c r="M1152">
        <v>3</v>
      </c>
      <c r="N1152" t="str">
        <f>VLOOKUP(M1152,'Cadastro Vendedores'!A:H,2,2)</f>
        <v>Antônia</v>
      </c>
      <c r="O1152" s="2"/>
      <c r="P1152" s="16">
        <v>5800</v>
      </c>
      <c r="Q1152" s="2">
        <f>VLOOKUP(B1152,'Cadastro Produtos'!A:F,5,2)</f>
        <v>12</v>
      </c>
      <c r="R1152" s="14">
        <f t="shared" si="85"/>
        <v>69600</v>
      </c>
    </row>
    <row r="1153" spans="1:18" x14ac:dyDescent="0.25">
      <c r="A1153">
        <v>1152</v>
      </c>
      <c r="B1153">
        <v>9</v>
      </c>
      <c r="C1153" t="str">
        <f>VLOOKUP(B1153,'Cadastro Produtos'!A:E,2,2)</f>
        <v>Limonada Alfa com Hortelã e Açúcar 1 L</v>
      </c>
      <c r="D1153">
        <v>10</v>
      </c>
      <c r="E1153" t="str">
        <f>VLOOKUP(D1153,'Cadatro Clientes'!A:O,2,2)</f>
        <v>Lemon Gator</v>
      </c>
      <c r="F1153" t="str">
        <f>VLOOKUP(D1153,'Cadatro Clientes'!A:O,9,2)</f>
        <v>Nordeste</v>
      </c>
      <c r="G1153" s="15">
        <v>42064</v>
      </c>
      <c r="H1153">
        <f t="shared" si="86"/>
        <v>1</v>
      </c>
      <c r="I1153">
        <f t="shared" si="87"/>
        <v>1</v>
      </c>
      <c r="J1153">
        <f t="shared" si="88"/>
        <v>3</v>
      </c>
      <c r="K1153">
        <f t="shared" si="89"/>
        <v>2015</v>
      </c>
      <c r="M1153">
        <v>9</v>
      </c>
      <c r="N1153" t="str">
        <f>VLOOKUP(M1153,'Cadastro Vendedores'!A:H,2,2)</f>
        <v>Adriana</v>
      </c>
      <c r="O1153" s="2"/>
      <c r="P1153" s="16">
        <v>1900</v>
      </c>
      <c r="Q1153" s="2">
        <f>VLOOKUP(B1153,'Cadastro Produtos'!A:F,5,2)</f>
        <v>17.5</v>
      </c>
      <c r="R1153" s="14">
        <f t="shared" si="85"/>
        <v>33250</v>
      </c>
    </row>
    <row r="1154" spans="1:18" x14ac:dyDescent="0.25">
      <c r="A1154">
        <v>1153</v>
      </c>
      <c r="B1154">
        <v>4</v>
      </c>
      <c r="C1154" t="str">
        <f>VLOOKUP(B1154,'Cadastro Produtos'!A:E,2,2)</f>
        <v>Limonada Beta Zero 500 ml</v>
      </c>
      <c r="D1154">
        <v>10</v>
      </c>
      <c r="E1154" t="str">
        <f>VLOOKUP(D1154,'Cadatro Clientes'!A:O,2,2)</f>
        <v>Lemon Gator</v>
      </c>
      <c r="F1154" t="str">
        <f>VLOOKUP(D1154,'Cadatro Clientes'!A:O,9,2)</f>
        <v>Nordeste</v>
      </c>
      <c r="G1154" s="15">
        <v>42064</v>
      </c>
      <c r="H1154">
        <f t="shared" si="86"/>
        <v>1</v>
      </c>
      <c r="I1154">
        <f t="shared" si="87"/>
        <v>1</v>
      </c>
      <c r="J1154">
        <f t="shared" si="88"/>
        <v>3</v>
      </c>
      <c r="K1154">
        <f t="shared" si="89"/>
        <v>2015</v>
      </c>
      <c r="M1154">
        <v>12</v>
      </c>
      <c r="N1154" t="str">
        <f>VLOOKUP(M1154,'Cadastro Vendedores'!A:H,2,2)</f>
        <v>Paulo</v>
      </c>
      <c r="O1154" s="2"/>
      <c r="P1154" s="16">
        <v>2100</v>
      </c>
      <c r="Q1154" s="2">
        <f>VLOOKUP(B1154,'Cadastro Produtos'!A:F,5,2)</f>
        <v>7</v>
      </c>
      <c r="R1154" s="14">
        <f t="shared" ref="R1154:R1217" si="90">Q1154*P1154</f>
        <v>14700</v>
      </c>
    </row>
    <row r="1155" spans="1:18" x14ac:dyDescent="0.25">
      <c r="A1155">
        <v>1154</v>
      </c>
      <c r="B1155">
        <v>1</v>
      </c>
      <c r="C1155" t="str">
        <f>VLOOKUP(B1155,'Cadastro Produtos'!A:E,2,2)</f>
        <v>Limonada Alfa com Açúcar 500 ml</v>
      </c>
      <c r="D1155">
        <v>16</v>
      </c>
      <c r="E1155" t="str">
        <f>VLOOKUP(D1155,'Cadatro Clientes'!A:O,2,2)</f>
        <v>Norte Suco</v>
      </c>
      <c r="F1155" t="str">
        <f>VLOOKUP(D1155,'Cadatro Clientes'!A:O,9,2)</f>
        <v>Nordeste</v>
      </c>
      <c r="G1155" s="15">
        <v>42065</v>
      </c>
      <c r="H1155">
        <f t="shared" ref="H1155:H1218" si="91">WEEKDAY(G1155)</f>
        <v>2</v>
      </c>
      <c r="I1155">
        <f t="shared" ref="I1155:I1218" si="92">DAY(G1155)</f>
        <v>2</v>
      </c>
      <c r="J1155">
        <f t="shared" ref="J1155:J1218" si="93">MONTH(G1155)</f>
        <v>3</v>
      </c>
      <c r="K1155">
        <f t="shared" ref="K1155:K1218" si="94">YEAR(G1155)</f>
        <v>2015</v>
      </c>
      <c r="M1155">
        <v>3</v>
      </c>
      <c r="N1155" t="str">
        <f>VLOOKUP(M1155,'Cadastro Vendedores'!A:H,2,2)</f>
        <v>Antônia</v>
      </c>
      <c r="O1155" s="2"/>
      <c r="P1155" s="16">
        <v>5400</v>
      </c>
      <c r="Q1155" s="2">
        <f>VLOOKUP(B1155,'Cadastro Produtos'!A:F,5,2)</f>
        <v>8.5</v>
      </c>
      <c r="R1155" s="14">
        <f t="shared" si="90"/>
        <v>45900</v>
      </c>
    </row>
    <row r="1156" spans="1:18" x14ac:dyDescent="0.25">
      <c r="A1156">
        <v>1155</v>
      </c>
      <c r="B1156">
        <v>2</v>
      </c>
      <c r="C1156" t="str">
        <f>VLOOKUP(B1156,'Cadastro Produtos'!A:E,2,2)</f>
        <v>Limonada Beta com Açúcar 500 ml</v>
      </c>
      <c r="D1156">
        <v>3</v>
      </c>
      <c r="E1156" t="str">
        <f>VLOOKUP(D1156,'Cadatro Clientes'!A:O,2,2)</f>
        <v>Limonada Suíça Ltda</v>
      </c>
      <c r="F1156" t="str">
        <f>VLOOKUP(D1156,'Cadatro Clientes'!A:O,9,2)</f>
        <v>Nordeste</v>
      </c>
      <c r="G1156" s="15">
        <v>42066</v>
      </c>
      <c r="H1156">
        <f t="shared" si="91"/>
        <v>3</v>
      </c>
      <c r="I1156">
        <f t="shared" si="92"/>
        <v>3</v>
      </c>
      <c r="J1156">
        <f t="shared" si="93"/>
        <v>3</v>
      </c>
      <c r="K1156">
        <f t="shared" si="94"/>
        <v>2015</v>
      </c>
      <c r="M1156">
        <v>8</v>
      </c>
      <c r="N1156" t="str">
        <f>VLOOKUP(M1156,'Cadastro Vendedores'!A:H,2,2)</f>
        <v>Sérgio</v>
      </c>
      <c r="O1156" s="2"/>
      <c r="P1156" s="16">
        <v>6200</v>
      </c>
      <c r="Q1156" s="2">
        <f>VLOOKUP(B1156,'Cadastro Produtos'!A:F,5,2)</f>
        <v>6.5</v>
      </c>
      <c r="R1156" s="14">
        <f t="shared" si="90"/>
        <v>40300</v>
      </c>
    </row>
    <row r="1157" spans="1:18" x14ac:dyDescent="0.25">
      <c r="A1157">
        <v>1156</v>
      </c>
      <c r="B1157">
        <v>6</v>
      </c>
      <c r="C1157" t="str">
        <f>VLOOKUP(B1157,'Cadastro Produtos'!A:E,2,2)</f>
        <v>Limonada Beta com Açúcar 1 L</v>
      </c>
      <c r="D1157">
        <v>10</v>
      </c>
      <c r="E1157" t="str">
        <f>VLOOKUP(D1157,'Cadatro Clientes'!A:O,2,2)</f>
        <v>Lemon Gator</v>
      </c>
      <c r="F1157" t="str">
        <f>VLOOKUP(D1157,'Cadatro Clientes'!A:O,9,2)</f>
        <v>Nordeste</v>
      </c>
      <c r="G1157" s="15">
        <v>42066</v>
      </c>
      <c r="H1157">
        <f t="shared" si="91"/>
        <v>3</v>
      </c>
      <c r="I1157">
        <f t="shared" si="92"/>
        <v>3</v>
      </c>
      <c r="J1157">
        <f t="shared" si="93"/>
        <v>3</v>
      </c>
      <c r="K1157">
        <f t="shared" si="94"/>
        <v>2015</v>
      </c>
      <c r="M1157">
        <v>8</v>
      </c>
      <c r="N1157" t="str">
        <f>VLOOKUP(M1157,'Cadastro Vendedores'!A:H,2,2)</f>
        <v>Sérgio</v>
      </c>
      <c r="O1157" s="2"/>
      <c r="P1157" s="16">
        <v>2700</v>
      </c>
      <c r="Q1157" s="2">
        <f>VLOOKUP(B1157,'Cadastro Produtos'!A:F,5,2)</f>
        <v>12</v>
      </c>
      <c r="R1157" s="14">
        <f t="shared" si="90"/>
        <v>32400</v>
      </c>
    </row>
    <row r="1158" spans="1:18" x14ac:dyDescent="0.25">
      <c r="A1158">
        <v>1157</v>
      </c>
      <c r="B1158">
        <v>1</v>
      </c>
      <c r="C1158" t="str">
        <f>VLOOKUP(B1158,'Cadastro Produtos'!A:E,2,2)</f>
        <v>Limonada Alfa com Açúcar 500 ml</v>
      </c>
      <c r="D1158">
        <v>9</v>
      </c>
      <c r="E1158" t="str">
        <f>VLOOKUP(D1158,'Cadatro Clientes'!A:O,2,2)</f>
        <v>Fresh Lemon</v>
      </c>
      <c r="F1158" t="str">
        <f>VLOOKUP(D1158,'Cadatro Clientes'!A:O,9,2)</f>
        <v>Sudeste</v>
      </c>
      <c r="G1158" s="15">
        <v>42067</v>
      </c>
      <c r="H1158">
        <f t="shared" si="91"/>
        <v>4</v>
      </c>
      <c r="I1158">
        <f t="shared" si="92"/>
        <v>4</v>
      </c>
      <c r="J1158">
        <f t="shared" si="93"/>
        <v>3</v>
      </c>
      <c r="K1158">
        <f t="shared" si="94"/>
        <v>2015</v>
      </c>
      <c r="M1158">
        <v>12</v>
      </c>
      <c r="N1158" t="str">
        <f>VLOOKUP(M1158,'Cadastro Vendedores'!A:H,2,2)</f>
        <v>Paulo</v>
      </c>
      <c r="O1158" s="2"/>
      <c r="P1158" s="16">
        <v>1900</v>
      </c>
      <c r="Q1158" s="2">
        <f>VLOOKUP(B1158,'Cadastro Produtos'!A:F,5,2)</f>
        <v>8.5</v>
      </c>
      <c r="R1158" s="14">
        <f t="shared" si="90"/>
        <v>16150</v>
      </c>
    </row>
    <row r="1159" spans="1:18" x14ac:dyDescent="0.25">
      <c r="A1159">
        <v>1158</v>
      </c>
      <c r="B1159">
        <v>3</v>
      </c>
      <c r="C1159" t="str">
        <f>VLOOKUP(B1159,'Cadastro Produtos'!A:E,2,2)</f>
        <v>Limonada Alfa Zero 500 ml</v>
      </c>
      <c r="D1159">
        <v>16</v>
      </c>
      <c r="E1159" t="str">
        <f>VLOOKUP(D1159,'Cadatro Clientes'!A:O,2,2)</f>
        <v>Norte Suco</v>
      </c>
      <c r="F1159" t="str">
        <f>VLOOKUP(D1159,'Cadatro Clientes'!A:O,9,2)</f>
        <v>Nordeste</v>
      </c>
      <c r="G1159" s="15">
        <v>42067</v>
      </c>
      <c r="H1159">
        <f t="shared" si="91"/>
        <v>4</v>
      </c>
      <c r="I1159">
        <f t="shared" si="92"/>
        <v>4</v>
      </c>
      <c r="J1159">
        <f t="shared" si="93"/>
        <v>3</v>
      </c>
      <c r="K1159">
        <f t="shared" si="94"/>
        <v>2015</v>
      </c>
      <c r="M1159">
        <v>4</v>
      </c>
      <c r="N1159" t="str">
        <f>VLOOKUP(M1159,'Cadastro Vendedores'!A:H,2,2)</f>
        <v>José</v>
      </c>
      <c r="O1159" s="2"/>
      <c r="P1159" s="16">
        <v>2000</v>
      </c>
      <c r="Q1159" s="2">
        <f>VLOOKUP(B1159,'Cadastro Produtos'!A:F,5,2)</f>
        <v>9</v>
      </c>
      <c r="R1159" s="14">
        <f t="shared" si="90"/>
        <v>18000</v>
      </c>
    </row>
    <row r="1160" spans="1:18" x14ac:dyDescent="0.25">
      <c r="A1160">
        <v>1159</v>
      </c>
      <c r="B1160">
        <v>7</v>
      </c>
      <c r="C1160" t="str">
        <f>VLOOKUP(B1160,'Cadastro Produtos'!A:E,2,2)</f>
        <v>Limonada Alfa Zero 1 L</v>
      </c>
      <c r="D1160">
        <v>17</v>
      </c>
      <c r="E1160" t="str">
        <f>VLOOKUP(D1160,'Cadatro Clientes'!A:O,2,2)</f>
        <v>Aracasuco</v>
      </c>
      <c r="F1160" t="str">
        <f>VLOOKUP(D1160,'Cadatro Clientes'!A:O,9,2)</f>
        <v>Nordeste</v>
      </c>
      <c r="G1160" s="15">
        <v>42068</v>
      </c>
      <c r="H1160">
        <f t="shared" si="91"/>
        <v>5</v>
      </c>
      <c r="I1160">
        <f t="shared" si="92"/>
        <v>5</v>
      </c>
      <c r="J1160">
        <f t="shared" si="93"/>
        <v>3</v>
      </c>
      <c r="K1160">
        <f t="shared" si="94"/>
        <v>2015</v>
      </c>
      <c r="M1160">
        <v>9</v>
      </c>
      <c r="N1160" t="str">
        <f>VLOOKUP(M1160,'Cadastro Vendedores'!A:H,2,2)</f>
        <v>Adriana</v>
      </c>
      <c r="O1160" s="2"/>
      <c r="P1160" s="16">
        <v>3300</v>
      </c>
      <c r="Q1160" s="2">
        <f>VLOOKUP(B1160,'Cadastro Produtos'!A:F,5,2)</f>
        <v>15</v>
      </c>
      <c r="R1160" s="14">
        <f t="shared" si="90"/>
        <v>49500</v>
      </c>
    </row>
    <row r="1161" spans="1:18" x14ac:dyDescent="0.25">
      <c r="A1161">
        <v>1160</v>
      </c>
      <c r="B1161">
        <v>9</v>
      </c>
      <c r="C1161" t="str">
        <f>VLOOKUP(B1161,'Cadastro Produtos'!A:E,2,2)</f>
        <v>Limonada Alfa com Hortelã e Açúcar 1 L</v>
      </c>
      <c r="D1161">
        <v>7</v>
      </c>
      <c r="E1161" t="str">
        <f>VLOOKUP(D1161,'Cadatro Clientes'!A:O,2,2)</f>
        <v>Limo</v>
      </c>
      <c r="F1161" t="str">
        <f>VLOOKUP(D1161,'Cadatro Clientes'!A:O,9,2)</f>
        <v>Centro-Oeste</v>
      </c>
      <c r="G1161" s="15">
        <v>42068</v>
      </c>
      <c r="H1161">
        <f t="shared" si="91"/>
        <v>5</v>
      </c>
      <c r="I1161">
        <f t="shared" si="92"/>
        <v>5</v>
      </c>
      <c r="J1161">
        <f t="shared" si="93"/>
        <v>3</v>
      </c>
      <c r="K1161">
        <f t="shared" si="94"/>
        <v>2015</v>
      </c>
      <c r="M1161">
        <v>8</v>
      </c>
      <c r="N1161" t="str">
        <f>VLOOKUP(M1161,'Cadastro Vendedores'!A:H,2,2)</f>
        <v>Sérgio</v>
      </c>
      <c r="O1161" s="2"/>
      <c r="P1161" s="16">
        <v>1900</v>
      </c>
      <c r="Q1161" s="2">
        <f>VLOOKUP(B1161,'Cadastro Produtos'!A:F,5,2)</f>
        <v>17.5</v>
      </c>
      <c r="R1161" s="14">
        <f t="shared" si="90"/>
        <v>33250</v>
      </c>
    </row>
    <row r="1162" spans="1:18" x14ac:dyDescent="0.25">
      <c r="A1162">
        <v>1161</v>
      </c>
      <c r="B1162">
        <v>10</v>
      </c>
      <c r="C1162" t="str">
        <f>VLOOKUP(B1162,'Cadastro Produtos'!A:E,2,2)</f>
        <v>Limonada Alfa com Hortelã Zero 1 L</v>
      </c>
      <c r="D1162">
        <v>5</v>
      </c>
      <c r="E1162" t="str">
        <f>VLOOKUP(D1162,'Cadatro Clientes'!A:O,2,2)</f>
        <v>Axé com Limão</v>
      </c>
      <c r="F1162" t="str">
        <f>VLOOKUP(D1162,'Cadatro Clientes'!A:O,9,2)</f>
        <v>Nordeste</v>
      </c>
      <c r="G1162" s="15">
        <v>42069</v>
      </c>
      <c r="H1162">
        <f t="shared" si="91"/>
        <v>6</v>
      </c>
      <c r="I1162">
        <f t="shared" si="92"/>
        <v>6</v>
      </c>
      <c r="J1162">
        <f t="shared" si="93"/>
        <v>3</v>
      </c>
      <c r="K1162">
        <f t="shared" si="94"/>
        <v>2015</v>
      </c>
      <c r="M1162">
        <v>12</v>
      </c>
      <c r="N1162" t="str">
        <f>VLOOKUP(M1162,'Cadastro Vendedores'!A:H,2,2)</f>
        <v>Paulo</v>
      </c>
      <c r="O1162" s="2"/>
      <c r="P1162" s="16">
        <v>1600</v>
      </c>
      <c r="Q1162" s="2">
        <f>VLOOKUP(B1162,'Cadastro Produtos'!A:F,5,2)</f>
        <v>21</v>
      </c>
      <c r="R1162" s="14">
        <f t="shared" si="90"/>
        <v>33600</v>
      </c>
    </row>
    <row r="1163" spans="1:18" x14ac:dyDescent="0.25">
      <c r="A1163">
        <v>1162</v>
      </c>
      <c r="B1163">
        <v>10</v>
      </c>
      <c r="C1163" t="str">
        <f>VLOOKUP(B1163,'Cadastro Produtos'!A:E,2,2)</f>
        <v>Limonada Alfa com Hortelã Zero 1 L</v>
      </c>
      <c r="D1163">
        <v>12</v>
      </c>
      <c r="E1163" t="str">
        <f>VLOOKUP(D1163,'Cadatro Clientes'!A:O,2,2)</f>
        <v>Limão da Ilha</v>
      </c>
      <c r="F1163" t="str">
        <f>VLOOKUP(D1163,'Cadatro Clientes'!A:O,9,2)</f>
        <v>Sul</v>
      </c>
      <c r="G1163" s="15">
        <v>42069</v>
      </c>
      <c r="H1163">
        <f t="shared" si="91"/>
        <v>6</v>
      </c>
      <c r="I1163">
        <f t="shared" si="92"/>
        <v>6</v>
      </c>
      <c r="J1163">
        <f t="shared" si="93"/>
        <v>3</v>
      </c>
      <c r="K1163">
        <f t="shared" si="94"/>
        <v>2015</v>
      </c>
      <c r="M1163">
        <v>13</v>
      </c>
      <c r="N1163" t="str">
        <f>VLOOKUP(M1163,'Cadastro Vendedores'!A:H,2,2)</f>
        <v>Andre</v>
      </c>
      <c r="O1163" s="2"/>
      <c r="P1163" s="16">
        <v>1700</v>
      </c>
      <c r="Q1163" s="2">
        <f>VLOOKUP(B1163,'Cadastro Produtos'!A:F,5,2)</f>
        <v>21</v>
      </c>
      <c r="R1163" s="14">
        <f t="shared" si="90"/>
        <v>35700</v>
      </c>
    </row>
    <row r="1164" spans="1:18" x14ac:dyDescent="0.25">
      <c r="A1164">
        <v>1163</v>
      </c>
      <c r="B1164">
        <v>8</v>
      </c>
      <c r="C1164" t="str">
        <f>VLOOKUP(B1164,'Cadastro Produtos'!A:E,2,2)</f>
        <v>Limonada Beta Zero 1 L</v>
      </c>
      <c r="D1164">
        <v>8</v>
      </c>
      <c r="E1164" t="str">
        <f>VLOOKUP(D1164,'Cadatro Clientes'!A:O,2,2)</f>
        <v>Refresko</v>
      </c>
      <c r="F1164" t="str">
        <f>VLOOKUP(D1164,'Cadatro Clientes'!A:O,9,2)</f>
        <v>Sul</v>
      </c>
      <c r="G1164" s="15">
        <v>42070</v>
      </c>
      <c r="H1164">
        <f t="shared" si="91"/>
        <v>7</v>
      </c>
      <c r="I1164">
        <f t="shared" si="92"/>
        <v>7</v>
      </c>
      <c r="J1164">
        <f t="shared" si="93"/>
        <v>3</v>
      </c>
      <c r="K1164">
        <f t="shared" si="94"/>
        <v>2015</v>
      </c>
      <c r="M1164">
        <v>9</v>
      </c>
      <c r="N1164" t="str">
        <f>VLOOKUP(M1164,'Cadastro Vendedores'!A:H,2,2)</f>
        <v>Adriana</v>
      </c>
      <c r="O1164" s="2"/>
      <c r="P1164" s="16">
        <v>5600</v>
      </c>
      <c r="Q1164" s="2">
        <f>VLOOKUP(B1164,'Cadastro Produtos'!A:F,5,2)</f>
        <v>12</v>
      </c>
      <c r="R1164" s="14">
        <f t="shared" si="90"/>
        <v>67200</v>
      </c>
    </row>
    <row r="1165" spans="1:18" x14ac:dyDescent="0.25">
      <c r="A1165">
        <v>1164</v>
      </c>
      <c r="B1165">
        <v>6</v>
      </c>
      <c r="C1165" t="str">
        <f>VLOOKUP(B1165,'Cadastro Produtos'!A:E,2,2)</f>
        <v>Limonada Beta com Açúcar 1 L</v>
      </c>
      <c r="D1165">
        <v>15</v>
      </c>
      <c r="E1165" t="str">
        <f>VLOOKUP(D1165,'Cadatro Clientes'!A:O,2,2)</f>
        <v>Limão do Mané</v>
      </c>
      <c r="F1165" t="str">
        <f>VLOOKUP(D1165,'Cadatro Clientes'!A:O,9,2)</f>
        <v>Sul</v>
      </c>
      <c r="G1165" s="15">
        <v>42070</v>
      </c>
      <c r="H1165">
        <f t="shared" si="91"/>
        <v>7</v>
      </c>
      <c r="I1165">
        <f t="shared" si="92"/>
        <v>7</v>
      </c>
      <c r="J1165">
        <f t="shared" si="93"/>
        <v>3</v>
      </c>
      <c r="K1165">
        <f t="shared" si="94"/>
        <v>2015</v>
      </c>
      <c r="M1165">
        <v>8</v>
      </c>
      <c r="N1165" t="str">
        <f>VLOOKUP(M1165,'Cadastro Vendedores'!A:H,2,2)</f>
        <v>Sérgio</v>
      </c>
      <c r="O1165" s="2"/>
      <c r="P1165" s="16">
        <v>3100</v>
      </c>
      <c r="Q1165" s="2">
        <f>VLOOKUP(B1165,'Cadastro Produtos'!A:F,5,2)</f>
        <v>12</v>
      </c>
      <c r="R1165" s="14">
        <f t="shared" si="90"/>
        <v>37200</v>
      </c>
    </row>
    <row r="1166" spans="1:18" x14ac:dyDescent="0.25">
      <c r="A1166">
        <v>1165</v>
      </c>
      <c r="B1166">
        <v>8</v>
      </c>
      <c r="C1166" t="str">
        <f>VLOOKUP(B1166,'Cadastro Produtos'!A:E,2,2)</f>
        <v>Limonada Beta Zero 1 L</v>
      </c>
      <c r="D1166">
        <v>16</v>
      </c>
      <c r="E1166" t="str">
        <f>VLOOKUP(D1166,'Cadatro Clientes'!A:O,2,2)</f>
        <v>Norte Suco</v>
      </c>
      <c r="F1166" t="str">
        <f>VLOOKUP(D1166,'Cadatro Clientes'!A:O,9,2)</f>
        <v>Nordeste</v>
      </c>
      <c r="G1166" s="15">
        <v>42071</v>
      </c>
      <c r="H1166">
        <f t="shared" si="91"/>
        <v>1</v>
      </c>
      <c r="I1166">
        <f t="shared" si="92"/>
        <v>8</v>
      </c>
      <c r="J1166">
        <f t="shared" si="93"/>
        <v>3</v>
      </c>
      <c r="K1166">
        <f t="shared" si="94"/>
        <v>2015</v>
      </c>
      <c r="M1166">
        <v>2</v>
      </c>
      <c r="N1166" t="str">
        <f>VLOOKUP(M1166,'Cadastro Vendedores'!A:H,2,2)</f>
        <v>Luis</v>
      </c>
      <c r="O1166" s="2"/>
      <c r="P1166" s="16">
        <v>1500</v>
      </c>
      <c r="Q1166" s="2">
        <f>VLOOKUP(B1166,'Cadastro Produtos'!A:F,5,2)</f>
        <v>12</v>
      </c>
      <c r="R1166" s="14">
        <f t="shared" si="90"/>
        <v>18000</v>
      </c>
    </row>
    <row r="1167" spans="1:18" x14ac:dyDescent="0.25">
      <c r="A1167">
        <v>1166</v>
      </c>
      <c r="B1167">
        <v>7</v>
      </c>
      <c r="C1167" t="str">
        <f>VLOOKUP(B1167,'Cadastro Produtos'!A:E,2,2)</f>
        <v>Limonada Alfa Zero 1 L</v>
      </c>
      <c r="D1167">
        <v>14</v>
      </c>
      <c r="E1167" t="str">
        <f>VLOOKUP(D1167,'Cadatro Clientes'!A:O,2,2)</f>
        <v>Sprite</v>
      </c>
      <c r="F1167" t="str">
        <f>VLOOKUP(D1167,'Cadatro Clientes'!A:O,9,2)</f>
        <v>Norte</v>
      </c>
      <c r="G1167" s="15">
        <v>42071</v>
      </c>
      <c r="H1167">
        <f t="shared" si="91"/>
        <v>1</v>
      </c>
      <c r="I1167">
        <f t="shared" si="92"/>
        <v>8</v>
      </c>
      <c r="J1167">
        <f t="shared" si="93"/>
        <v>3</v>
      </c>
      <c r="K1167">
        <f t="shared" si="94"/>
        <v>2015</v>
      </c>
      <c r="M1167">
        <v>12</v>
      </c>
      <c r="N1167" t="str">
        <f>VLOOKUP(M1167,'Cadastro Vendedores'!A:H,2,2)</f>
        <v>Paulo</v>
      </c>
      <c r="O1167" s="2"/>
      <c r="P1167" s="16">
        <v>1500</v>
      </c>
      <c r="Q1167" s="2">
        <f>VLOOKUP(B1167,'Cadastro Produtos'!A:F,5,2)</f>
        <v>15</v>
      </c>
      <c r="R1167" s="14">
        <f t="shared" si="90"/>
        <v>22500</v>
      </c>
    </row>
    <row r="1168" spans="1:18" x14ac:dyDescent="0.25">
      <c r="A1168">
        <v>1167</v>
      </c>
      <c r="B1168">
        <v>3</v>
      </c>
      <c r="C1168" t="str">
        <f>VLOOKUP(B1168,'Cadastro Produtos'!A:E,2,2)</f>
        <v>Limonada Alfa Zero 500 ml</v>
      </c>
      <c r="D1168">
        <v>1</v>
      </c>
      <c r="E1168" t="str">
        <f>VLOOKUP(D1168,'Cadatro Clientes'!A:O,2,2)</f>
        <v>Meu Suco de Limão</v>
      </c>
      <c r="F1168" t="str">
        <f>VLOOKUP(D1168,'Cadatro Clientes'!A:O,9,2)</f>
        <v>Norte</v>
      </c>
      <c r="G1168" s="15">
        <v>42072</v>
      </c>
      <c r="H1168">
        <f t="shared" si="91"/>
        <v>2</v>
      </c>
      <c r="I1168">
        <f t="shared" si="92"/>
        <v>9</v>
      </c>
      <c r="J1168">
        <f t="shared" si="93"/>
        <v>3</v>
      </c>
      <c r="K1168">
        <f t="shared" si="94"/>
        <v>2015</v>
      </c>
      <c r="M1168">
        <v>12</v>
      </c>
      <c r="N1168" t="str">
        <f>VLOOKUP(M1168,'Cadastro Vendedores'!A:H,2,2)</f>
        <v>Paulo</v>
      </c>
      <c r="O1168" s="2"/>
      <c r="P1168" s="16">
        <v>2000</v>
      </c>
      <c r="Q1168" s="2">
        <f>VLOOKUP(B1168,'Cadastro Produtos'!A:F,5,2)</f>
        <v>9</v>
      </c>
      <c r="R1168" s="14">
        <f t="shared" si="90"/>
        <v>18000</v>
      </c>
    </row>
    <row r="1169" spans="1:18" x14ac:dyDescent="0.25">
      <c r="A1169">
        <v>1168</v>
      </c>
      <c r="B1169">
        <v>7</v>
      </c>
      <c r="C1169" t="str">
        <f>VLOOKUP(B1169,'Cadastro Produtos'!A:E,2,2)</f>
        <v>Limonada Alfa Zero 1 L</v>
      </c>
      <c r="D1169">
        <v>17</v>
      </c>
      <c r="E1169" t="str">
        <f>VLOOKUP(D1169,'Cadatro Clientes'!A:O,2,2)</f>
        <v>Aracasuco</v>
      </c>
      <c r="F1169" t="str">
        <f>VLOOKUP(D1169,'Cadatro Clientes'!A:O,9,2)</f>
        <v>Nordeste</v>
      </c>
      <c r="G1169" s="15">
        <v>42072</v>
      </c>
      <c r="H1169">
        <f t="shared" si="91"/>
        <v>2</v>
      </c>
      <c r="I1169">
        <f t="shared" si="92"/>
        <v>9</v>
      </c>
      <c r="J1169">
        <f t="shared" si="93"/>
        <v>3</v>
      </c>
      <c r="K1169">
        <f t="shared" si="94"/>
        <v>2015</v>
      </c>
      <c r="M1169">
        <v>16</v>
      </c>
      <c r="N1169" t="str">
        <f>VLOOKUP(M1169,'Cadastro Vendedores'!A:H,2,2)</f>
        <v>Jose</v>
      </c>
      <c r="O1169" s="2"/>
      <c r="P1169" s="16">
        <v>2600</v>
      </c>
      <c r="Q1169" s="2">
        <f>VLOOKUP(B1169,'Cadastro Produtos'!A:F,5,2)</f>
        <v>15</v>
      </c>
      <c r="R1169" s="14">
        <f t="shared" si="90"/>
        <v>39000</v>
      </c>
    </row>
    <row r="1170" spans="1:18" x14ac:dyDescent="0.25">
      <c r="A1170">
        <v>1169</v>
      </c>
      <c r="B1170">
        <v>8</v>
      </c>
      <c r="C1170" t="str">
        <f>VLOOKUP(B1170,'Cadastro Produtos'!A:E,2,2)</f>
        <v>Limonada Beta Zero 1 L</v>
      </c>
      <c r="D1170">
        <v>16</v>
      </c>
      <c r="E1170" t="str">
        <f>VLOOKUP(D1170,'Cadatro Clientes'!A:O,2,2)</f>
        <v>Norte Suco</v>
      </c>
      <c r="F1170" t="str">
        <f>VLOOKUP(D1170,'Cadatro Clientes'!A:O,9,2)</f>
        <v>Nordeste</v>
      </c>
      <c r="G1170" s="15">
        <v>42072</v>
      </c>
      <c r="H1170">
        <f t="shared" si="91"/>
        <v>2</v>
      </c>
      <c r="I1170">
        <f t="shared" si="92"/>
        <v>9</v>
      </c>
      <c r="J1170">
        <f t="shared" si="93"/>
        <v>3</v>
      </c>
      <c r="K1170">
        <f t="shared" si="94"/>
        <v>2015</v>
      </c>
      <c r="M1170">
        <v>12</v>
      </c>
      <c r="N1170" t="str">
        <f>VLOOKUP(M1170,'Cadastro Vendedores'!A:H,2,2)</f>
        <v>Paulo</v>
      </c>
      <c r="O1170" s="2"/>
      <c r="P1170" s="16">
        <v>2900</v>
      </c>
      <c r="Q1170" s="2">
        <f>VLOOKUP(B1170,'Cadastro Produtos'!A:F,5,2)</f>
        <v>12</v>
      </c>
      <c r="R1170" s="14">
        <f t="shared" si="90"/>
        <v>34800</v>
      </c>
    </row>
    <row r="1171" spans="1:18" x14ac:dyDescent="0.25">
      <c r="A1171">
        <v>1170</v>
      </c>
      <c r="B1171">
        <v>2</v>
      </c>
      <c r="C1171" t="str">
        <f>VLOOKUP(B1171,'Cadastro Produtos'!A:E,2,2)</f>
        <v>Limonada Beta com Açúcar 500 ml</v>
      </c>
      <c r="D1171">
        <v>13</v>
      </c>
      <c r="E1171" t="str">
        <f>VLOOKUP(D1171,'Cadatro Clientes'!A:O,2,2)</f>
        <v>Monster Lemon</v>
      </c>
      <c r="F1171" t="str">
        <f>VLOOKUP(D1171,'Cadatro Clientes'!A:O,9,2)</f>
        <v>Nordeste</v>
      </c>
      <c r="G1171" s="15">
        <v>42072</v>
      </c>
      <c r="H1171">
        <f t="shared" si="91"/>
        <v>2</v>
      </c>
      <c r="I1171">
        <f t="shared" si="92"/>
        <v>9</v>
      </c>
      <c r="J1171">
        <f t="shared" si="93"/>
        <v>3</v>
      </c>
      <c r="K1171">
        <f t="shared" si="94"/>
        <v>2015</v>
      </c>
      <c r="M1171">
        <v>2</v>
      </c>
      <c r="N1171" t="str">
        <f>VLOOKUP(M1171,'Cadastro Vendedores'!A:H,2,2)</f>
        <v>Luis</v>
      </c>
      <c r="O1171" s="2"/>
      <c r="P1171" s="16">
        <v>7000</v>
      </c>
      <c r="Q1171" s="2">
        <f>VLOOKUP(B1171,'Cadastro Produtos'!A:F,5,2)</f>
        <v>6.5</v>
      </c>
      <c r="R1171" s="14">
        <f t="shared" si="90"/>
        <v>45500</v>
      </c>
    </row>
    <row r="1172" spans="1:18" x14ac:dyDescent="0.25">
      <c r="A1172">
        <v>1171</v>
      </c>
      <c r="B1172">
        <v>4</v>
      </c>
      <c r="C1172" t="str">
        <f>VLOOKUP(B1172,'Cadastro Produtos'!A:E,2,2)</f>
        <v>Limonada Beta Zero 500 ml</v>
      </c>
      <c r="D1172">
        <v>1</v>
      </c>
      <c r="E1172" t="str">
        <f>VLOOKUP(D1172,'Cadatro Clientes'!A:O,2,2)</f>
        <v>Meu Suco de Limão</v>
      </c>
      <c r="F1172" t="str">
        <f>VLOOKUP(D1172,'Cadatro Clientes'!A:O,9,2)</f>
        <v>Norte</v>
      </c>
      <c r="G1172" s="15">
        <v>42073</v>
      </c>
      <c r="H1172">
        <f t="shared" si="91"/>
        <v>3</v>
      </c>
      <c r="I1172">
        <f t="shared" si="92"/>
        <v>10</v>
      </c>
      <c r="J1172">
        <f t="shared" si="93"/>
        <v>3</v>
      </c>
      <c r="K1172">
        <f t="shared" si="94"/>
        <v>2015</v>
      </c>
      <c r="M1172">
        <v>4</v>
      </c>
      <c r="N1172" t="str">
        <f>VLOOKUP(M1172,'Cadastro Vendedores'!A:H,2,2)</f>
        <v>José</v>
      </c>
      <c r="O1172" s="2"/>
      <c r="P1172" s="16">
        <v>6000</v>
      </c>
      <c r="Q1172" s="2">
        <f>VLOOKUP(B1172,'Cadastro Produtos'!A:F,5,2)</f>
        <v>7</v>
      </c>
      <c r="R1172" s="14">
        <f t="shared" si="90"/>
        <v>42000</v>
      </c>
    </row>
    <row r="1173" spans="1:18" x14ac:dyDescent="0.25">
      <c r="A1173">
        <v>1172</v>
      </c>
      <c r="B1173">
        <v>6</v>
      </c>
      <c r="C1173" t="str">
        <f>VLOOKUP(B1173,'Cadastro Produtos'!A:E,2,2)</f>
        <v>Limonada Beta com Açúcar 1 L</v>
      </c>
      <c r="D1173">
        <v>20</v>
      </c>
      <c r="E1173" t="str">
        <f>VLOOKUP(D1173,'Cadatro Clientes'!A:O,2,2)</f>
        <v>Brasil Saúde</v>
      </c>
      <c r="F1173" t="str">
        <f>VLOOKUP(D1173,'Cadatro Clientes'!A:O,9,2)</f>
        <v>Nordeste</v>
      </c>
      <c r="G1173" s="15">
        <v>42073</v>
      </c>
      <c r="H1173">
        <f t="shared" si="91"/>
        <v>3</v>
      </c>
      <c r="I1173">
        <f t="shared" si="92"/>
        <v>10</v>
      </c>
      <c r="J1173">
        <f t="shared" si="93"/>
        <v>3</v>
      </c>
      <c r="K1173">
        <f t="shared" si="94"/>
        <v>2015</v>
      </c>
      <c r="M1173">
        <v>3</v>
      </c>
      <c r="N1173" t="str">
        <f>VLOOKUP(M1173,'Cadastro Vendedores'!A:H,2,2)</f>
        <v>Antônia</v>
      </c>
      <c r="O1173" s="2"/>
      <c r="P1173" s="16">
        <v>3500</v>
      </c>
      <c r="Q1173" s="2">
        <f>VLOOKUP(B1173,'Cadastro Produtos'!A:F,5,2)</f>
        <v>12</v>
      </c>
      <c r="R1173" s="14">
        <f t="shared" si="90"/>
        <v>42000</v>
      </c>
    </row>
    <row r="1174" spans="1:18" x14ac:dyDescent="0.25">
      <c r="A1174">
        <v>1173</v>
      </c>
      <c r="B1174">
        <v>8</v>
      </c>
      <c r="C1174" t="str">
        <f>VLOOKUP(B1174,'Cadastro Produtos'!A:E,2,2)</f>
        <v>Limonada Beta Zero 1 L</v>
      </c>
      <c r="D1174">
        <v>14</v>
      </c>
      <c r="E1174" t="str">
        <f>VLOOKUP(D1174,'Cadatro Clientes'!A:O,2,2)</f>
        <v>Sprite</v>
      </c>
      <c r="F1174" t="str">
        <f>VLOOKUP(D1174,'Cadatro Clientes'!A:O,9,2)</f>
        <v>Norte</v>
      </c>
      <c r="G1174" s="15">
        <v>42074</v>
      </c>
      <c r="H1174">
        <f t="shared" si="91"/>
        <v>4</v>
      </c>
      <c r="I1174">
        <f t="shared" si="92"/>
        <v>11</v>
      </c>
      <c r="J1174">
        <f t="shared" si="93"/>
        <v>3</v>
      </c>
      <c r="K1174">
        <f t="shared" si="94"/>
        <v>2015</v>
      </c>
      <c r="M1174">
        <v>12</v>
      </c>
      <c r="N1174" t="str">
        <f>VLOOKUP(M1174,'Cadastro Vendedores'!A:H,2,2)</f>
        <v>Paulo</v>
      </c>
      <c r="O1174" s="2"/>
      <c r="P1174" s="16">
        <v>3800</v>
      </c>
      <c r="Q1174" s="2">
        <f>VLOOKUP(B1174,'Cadastro Produtos'!A:F,5,2)</f>
        <v>12</v>
      </c>
      <c r="R1174" s="14">
        <f t="shared" si="90"/>
        <v>45600</v>
      </c>
    </row>
    <row r="1175" spans="1:18" x14ac:dyDescent="0.25">
      <c r="A1175">
        <v>1174</v>
      </c>
      <c r="B1175">
        <v>10</v>
      </c>
      <c r="C1175" t="str">
        <f>VLOOKUP(B1175,'Cadastro Produtos'!A:E,2,2)</f>
        <v>Limonada Alfa com Hortelã Zero 1 L</v>
      </c>
      <c r="D1175">
        <v>8</v>
      </c>
      <c r="E1175" t="str">
        <f>VLOOKUP(D1175,'Cadatro Clientes'!A:O,2,2)</f>
        <v>Refresko</v>
      </c>
      <c r="F1175" t="str">
        <f>VLOOKUP(D1175,'Cadatro Clientes'!A:O,9,2)</f>
        <v>Sul</v>
      </c>
      <c r="G1175" s="15">
        <v>42075</v>
      </c>
      <c r="H1175">
        <f t="shared" si="91"/>
        <v>5</v>
      </c>
      <c r="I1175">
        <f t="shared" si="92"/>
        <v>12</v>
      </c>
      <c r="J1175">
        <f t="shared" si="93"/>
        <v>3</v>
      </c>
      <c r="K1175">
        <f t="shared" si="94"/>
        <v>2015</v>
      </c>
      <c r="M1175">
        <v>3</v>
      </c>
      <c r="N1175" t="str">
        <f>VLOOKUP(M1175,'Cadastro Vendedores'!A:H,2,2)</f>
        <v>Antônia</v>
      </c>
      <c r="O1175" s="2"/>
      <c r="P1175" s="16">
        <v>2000</v>
      </c>
      <c r="Q1175" s="2">
        <f>VLOOKUP(B1175,'Cadastro Produtos'!A:F,5,2)</f>
        <v>21</v>
      </c>
      <c r="R1175" s="14">
        <f t="shared" si="90"/>
        <v>42000</v>
      </c>
    </row>
    <row r="1176" spans="1:18" x14ac:dyDescent="0.25">
      <c r="A1176">
        <v>1175</v>
      </c>
      <c r="B1176">
        <v>6</v>
      </c>
      <c r="C1176" t="str">
        <f>VLOOKUP(B1176,'Cadastro Produtos'!A:E,2,2)</f>
        <v>Limonada Beta com Açúcar 1 L</v>
      </c>
      <c r="D1176">
        <v>3</v>
      </c>
      <c r="E1176" t="str">
        <f>VLOOKUP(D1176,'Cadatro Clientes'!A:O,2,2)</f>
        <v>Limonada Suíça Ltda</v>
      </c>
      <c r="F1176" t="str">
        <f>VLOOKUP(D1176,'Cadatro Clientes'!A:O,9,2)</f>
        <v>Nordeste</v>
      </c>
      <c r="G1176" s="15">
        <v>42076</v>
      </c>
      <c r="H1176">
        <f t="shared" si="91"/>
        <v>6</v>
      </c>
      <c r="I1176">
        <f t="shared" si="92"/>
        <v>13</v>
      </c>
      <c r="J1176">
        <f t="shared" si="93"/>
        <v>3</v>
      </c>
      <c r="K1176">
        <f t="shared" si="94"/>
        <v>2015</v>
      </c>
      <c r="M1176">
        <v>8</v>
      </c>
      <c r="N1176" t="str">
        <f>VLOOKUP(M1176,'Cadastro Vendedores'!A:H,2,2)</f>
        <v>Sérgio</v>
      </c>
      <c r="O1176" s="2"/>
      <c r="P1176" s="16">
        <v>2600</v>
      </c>
      <c r="Q1176" s="2">
        <f>VLOOKUP(B1176,'Cadastro Produtos'!A:F,5,2)</f>
        <v>12</v>
      </c>
      <c r="R1176" s="14">
        <f t="shared" si="90"/>
        <v>31200</v>
      </c>
    </row>
    <row r="1177" spans="1:18" x14ac:dyDescent="0.25">
      <c r="A1177">
        <v>1176</v>
      </c>
      <c r="B1177">
        <v>6</v>
      </c>
      <c r="C1177" t="str">
        <f>VLOOKUP(B1177,'Cadastro Produtos'!A:E,2,2)</f>
        <v>Limonada Beta com Açúcar 1 L</v>
      </c>
      <c r="D1177">
        <v>5</v>
      </c>
      <c r="E1177" t="str">
        <f>VLOOKUP(D1177,'Cadatro Clientes'!A:O,2,2)</f>
        <v>Axé com Limão</v>
      </c>
      <c r="F1177" t="str">
        <f>VLOOKUP(D1177,'Cadatro Clientes'!A:O,9,2)</f>
        <v>Nordeste</v>
      </c>
      <c r="G1177" s="15">
        <v>42076</v>
      </c>
      <c r="H1177">
        <f t="shared" si="91"/>
        <v>6</v>
      </c>
      <c r="I1177">
        <f t="shared" si="92"/>
        <v>13</v>
      </c>
      <c r="J1177">
        <f t="shared" si="93"/>
        <v>3</v>
      </c>
      <c r="K1177">
        <f t="shared" si="94"/>
        <v>2015</v>
      </c>
      <c r="M1177">
        <v>12</v>
      </c>
      <c r="N1177" t="str">
        <f>VLOOKUP(M1177,'Cadastro Vendedores'!A:H,2,2)</f>
        <v>Paulo</v>
      </c>
      <c r="O1177" s="2"/>
      <c r="P1177" s="16">
        <v>2400</v>
      </c>
      <c r="Q1177" s="2">
        <f>VLOOKUP(B1177,'Cadastro Produtos'!A:F,5,2)</f>
        <v>12</v>
      </c>
      <c r="R1177" s="14">
        <f t="shared" si="90"/>
        <v>28800</v>
      </c>
    </row>
    <row r="1178" spans="1:18" x14ac:dyDescent="0.25">
      <c r="A1178">
        <v>1177</v>
      </c>
      <c r="B1178">
        <v>9</v>
      </c>
      <c r="C1178" t="str">
        <f>VLOOKUP(B1178,'Cadastro Produtos'!A:E,2,2)</f>
        <v>Limonada Alfa com Hortelã e Açúcar 1 L</v>
      </c>
      <c r="D1178">
        <v>14</v>
      </c>
      <c r="E1178" t="str">
        <f>VLOOKUP(D1178,'Cadatro Clientes'!A:O,2,2)</f>
        <v>Sprite</v>
      </c>
      <c r="F1178" t="str">
        <f>VLOOKUP(D1178,'Cadatro Clientes'!A:O,9,2)</f>
        <v>Norte</v>
      </c>
      <c r="G1178" s="15">
        <v>42076</v>
      </c>
      <c r="H1178">
        <f t="shared" si="91"/>
        <v>6</v>
      </c>
      <c r="I1178">
        <f t="shared" si="92"/>
        <v>13</v>
      </c>
      <c r="J1178">
        <f t="shared" si="93"/>
        <v>3</v>
      </c>
      <c r="K1178">
        <f t="shared" si="94"/>
        <v>2015</v>
      </c>
      <c r="M1178">
        <v>4</v>
      </c>
      <c r="N1178" t="str">
        <f>VLOOKUP(M1178,'Cadastro Vendedores'!A:H,2,2)</f>
        <v>José</v>
      </c>
      <c r="O1178" s="2"/>
      <c r="P1178" s="16">
        <v>900</v>
      </c>
      <c r="Q1178" s="2">
        <f>VLOOKUP(B1178,'Cadastro Produtos'!A:F,5,2)</f>
        <v>17.5</v>
      </c>
      <c r="R1178" s="14">
        <f t="shared" si="90"/>
        <v>15750</v>
      </c>
    </row>
    <row r="1179" spans="1:18" x14ac:dyDescent="0.25">
      <c r="A1179">
        <v>1178</v>
      </c>
      <c r="B1179">
        <v>4</v>
      </c>
      <c r="C1179" t="str">
        <f>VLOOKUP(B1179,'Cadastro Produtos'!A:E,2,2)</f>
        <v>Limonada Beta Zero 500 ml</v>
      </c>
      <c r="D1179">
        <v>20</v>
      </c>
      <c r="E1179" t="str">
        <f>VLOOKUP(D1179,'Cadatro Clientes'!A:O,2,2)</f>
        <v>Brasil Saúde</v>
      </c>
      <c r="F1179" t="str">
        <f>VLOOKUP(D1179,'Cadatro Clientes'!A:O,9,2)</f>
        <v>Nordeste</v>
      </c>
      <c r="G1179" s="15">
        <v>42076</v>
      </c>
      <c r="H1179">
        <f t="shared" si="91"/>
        <v>6</v>
      </c>
      <c r="I1179">
        <f t="shared" si="92"/>
        <v>13</v>
      </c>
      <c r="J1179">
        <f t="shared" si="93"/>
        <v>3</v>
      </c>
      <c r="K1179">
        <f t="shared" si="94"/>
        <v>2015</v>
      </c>
      <c r="M1179">
        <v>9</v>
      </c>
      <c r="N1179" t="str">
        <f>VLOOKUP(M1179,'Cadastro Vendedores'!A:H,2,2)</f>
        <v>Adriana</v>
      </c>
      <c r="O1179" s="2"/>
      <c r="P1179" s="16">
        <v>5100</v>
      </c>
      <c r="Q1179" s="2">
        <f>VLOOKUP(B1179,'Cadastro Produtos'!A:F,5,2)</f>
        <v>7</v>
      </c>
      <c r="R1179" s="14">
        <f t="shared" si="90"/>
        <v>35700</v>
      </c>
    </row>
    <row r="1180" spans="1:18" x14ac:dyDescent="0.25">
      <c r="A1180">
        <v>1179</v>
      </c>
      <c r="B1180">
        <v>9</v>
      </c>
      <c r="C1180" t="str">
        <f>VLOOKUP(B1180,'Cadastro Produtos'!A:E,2,2)</f>
        <v>Limonada Alfa com Hortelã e Açúcar 1 L</v>
      </c>
      <c r="D1180">
        <v>17</v>
      </c>
      <c r="E1180" t="str">
        <f>VLOOKUP(D1180,'Cadatro Clientes'!A:O,2,2)</f>
        <v>Aracasuco</v>
      </c>
      <c r="F1180" t="str">
        <f>VLOOKUP(D1180,'Cadatro Clientes'!A:O,9,2)</f>
        <v>Nordeste</v>
      </c>
      <c r="G1180" s="15">
        <v>42077</v>
      </c>
      <c r="H1180">
        <f t="shared" si="91"/>
        <v>7</v>
      </c>
      <c r="I1180">
        <f t="shared" si="92"/>
        <v>14</v>
      </c>
      <c r="J1180">
        <f t="shared" si="93"/>
        <v>3</v>
      </c>
      <c r="K1180">
        <f t="shared" si="94"/>
        <v>2015</v>
      </c>
      <c r="M1180">
        <v>13</v>
      </c>
      <c r="N1180" t="str">
        <f>VLOOKUP(M1180,'Cadastro Vendedores'!A:H,2,2)</f>
        <v>Andre</v>
      </c>
      <c r="O1180" s="2"/>
      <c r="P1180" s="16">
        <v>2200</v>
      </c>
      <c r="Q1180" s="2">
        <f>VLOOKUP(B1180,'Cadastro Produtos'!A:F,5,2)</f>
        <v>17.5</v>
      </c>
      <c r="R1180" s="14">
        <f t="shared" si="90"/>
        <v>38500</v>
      </c>
    </row>
    <row r="1181" spans="1:18" x14ac:dyDescent="0.25">
      <c r="A1181">
        <v>1180</v>
      </c>
      <c r="B1181">
        <v>7</v>
      </c>
      <c r="C1181" t="str">
        <f>VLOOKUP(B1181,'Cadastro Produtos'!A:E,2,2)</f>
        <v>Limonada Alfa Zero 1 L</v>
      </c>
      <c r="D1181">
        <v>9</v>
      </c>
      <c r="E1181" t="str">
        <f>VLOOKUP(D1181,'Cadatro Clientes'!A:O,2,2)</f>
        <v>Fresh Lemon</v>
      </c>
      <c r="F1181" t="str">
        <f>VLOOKUP(D1181,'Cadatro Clientes'!A:O,9,2)</f>
        <v>Sudeste</v>
      </c>
      <c r="G1181" s="15">
        <v>42078</v>
      </c>
      <c r="H1181">
        <f t="shared" si="91"/>
        <v>1</v>
      </c>
      <c r="I1181">
        <f t="shared" si="92"/>
        <v>15</v>
      </c>
      <c r="J1181">
        <f t="shared" si="93"/>
        <v>3</v>
      </c>
      <c r="K1181">
        <f t="shared" si="94"/>
        <v>2015</v>
      </c>
      <c r="M1181">
        <v>15</v>
      </c>
      <c r="N1181" t="str">
        <f>VLOOKUP(M1181,'Cadastro Vendedores'!A:H,2,2)</f>
        <v>Luis</v>
      </c>
      <c r="O1181" s="2"/>
      <c r="P1181" s="16">
        <v>3100</v>
      </c>
      <c r="Q1181" s="2">
        <f>VLOOKUP(B1181,'Cadastro Produtos'!A:F,5,2)</f>
        <v>15</v>
      </c>
      <c r="R1181" s="14">
        <f t="shared" si="90"/>
        <v>46500</v>
      </c>
    </row>
    <row r="1182" spans="1:18" x14ac:dyDescent="0.25">
      <c r="A1182">
        <v>1181</v>
      </c>
      <c r="B1182">
        <v>3</v>
      </c>
      <c r="C1182" t="str">
        <f>VLOOKUP(B1182,'Cadastro Produtos'!A:E,2,2)</f>
        <v>Limonada Alfa Zero 500 ml</v>
      </c>
      <c r="D1182">
        <v>20</v>
      </c>
      <c r="E1182" t="str">
        <f>VLOOKUP(D1182,'Cadatro Clientes'!A:O,2,2)</f>
        <v>Brasil Saúde</v>
      </c>
      <c r="F1182" t="str">
        <f>VLOOKUP(D1182,'Cadatro Clientes'!A:O,9,2)</f>
        <v>Nordeste</v>
      </c>
      <c r="G1182" s="15">
        <v>42078</v>
      </c>
      <c r="H1182">
        <f t="shared" si="91"/>
        <v>1</v>
      </c>
      <c r="I1182">
        <f t="shared" si="92"/>
        <v>15</v>
      </c>
      <c r="J1182">
        <f t="shared" si="93"/>
        <v>3</v>
      </c>
      <c r="K1182">
        <f t="shared" si="94"/>
        <v>2015</v>
      </c>
      <c r="M1182">
        <v>7</v>
      </c>
      <c r="N1182" t="str">
        <f>VLOOKUP(M1182,'Cadastro Vendedores'!A:H,2,2)</f>
        <v>Benedito</v>
      </c>
      <c r="O1182" s="2"/>
      <c r="P1182" s="16">
        <v>3700</v>
      </c>
      <c r="Q1182" s="2">
        <f>VLOOKUP(B1182,'Cadastro Produtos'!A:F,5,2)</f>
        <v>9</v>
      </c>
      <c r="R1182" s="14">
        <f t="shared" si="90"/>
        <v>33300</v>
      </c>
    </row>
    <row r="1183" spans="1:18" x14ac:dyDescent="0.25">
      <c r="A1183">
        <v>1182</v>
      </c>
      <c r="B1183">
        <v>10</v>
      </c>
      <c r="C1183" t="str">
        <f>VLOOKUP(B1183,'Cadastro Produtos'!A:E,2,2)</f>
        <v>Limonada Alfa com Hortelã Zero 1 L</v>
      </c>
      <c r="D1183">
        <v>19</v>
      </c>
      <c r="E1183" t="str">
        <f>VLOOKUP(D1183,'Cadatro Clientes'!A:O,2,2)</f>
        <v>Lima Limão</v>
      </c>
      <c r="F1183" t="str">
        <f>VLOOKUP(D1183,'Cadatro Clientes'!A:O,9,2)</f>
        <v>Sudeste</v>
      </c>
      <c r="G1183" s="15">
        <v>42079</v>
      </c>
      <c r="H1183">
        <f t="shared" si="91"/>
        <v>2</v>
      </c>
      <c r="I1183">
        <f t="shared" si="92"/>
        <v>16</v>
      </c>
      <c r="J1183">
        <f t="shared" si="93"/>
        <v>3</v>
      </c>
      <c r="K1183">
        <f t="shared" si="94"/>
        <v>2015</v>
      </c>
      <c r="M1183">
        <v>12</v>
      </c>
      <c r="N1183" t="str">
        <f>VLOOKUP(M1183,'Cadastro Vendedores'!A:H,2,2)</f>
        <v>Paulo</v>
      </c>
      <c r="O1183" s="2"/>
      <c r="P1183" s="16">
        <v>2500</v>
      </c>
      <c r="Q1183" s="2">
        <f>VLOOKUP(B1183,'Cadastro Produtos'!A:F,5,2)</f>
        <v>21</v>
      </c>
      <c r="R1183" s="14">
        <f t="shared" si="90"/>
        <v>52500</v>
      </c>
    </row>
    <row r="1184" spans="1:18" x14ac:dyDescent="0.25">
      <c r="A1184">
        <v>1183</v>
      </c>
      <c r="B1184">
        <v>10</v>
      </c>
      <c r="C1184" t="str">
        <f>VLOOKUP(B1184,'Cadastro Produtos'!A:E,2,2)</f>
        <v>Limonada Alfa com Hortelã Zero 1 L</v>
      </c>
      <c r="D1184">
        <v>4</v>
      </c>
      <c r="E1184" t="str">
        <f>VLOOKUP(D1184,'Cadatro Clientes'!A:O,2,2)</f>
        <v>Limão Carioca e Cia</v>
      </c>
      <c r="F1184" t="str">
        <f>VLOOKUP(D1184,'Cadatro Clientes'!A:O,9,2)</f>
        <v>Sudeste</v>
      </c>
      <c r="G1184" s="15">
        <v>42080</v>
      </c>
      <c r="H1184">
        <f t="shared" si="91"/>
        <v>3</v>
      </c>
      <c r="I1184">
        <f t="shared" si="92"/>
        <v>17</v>
      </c>
      <c r="J1184">
        <f t="shared" si="93"/>
        <v>3</v>
      </c>
      <c r="K1184">
        <f t="shared" si="94"/>
        <v>2015</v>
      </c>
      <c r="M1184">
        <v>9</v>
      </c>
      <c r="N1184" t="str">
        <f>VLOOKUP(M1184,'Cadastro Vendedores'!A:H,2,2)</f>
        <v>Adriana</v>
      </c>
      <c r="O1184" s="2"/>
      <c r="P1184" s="16">
        <v>2700</v>
      </c>
      <c r="Q1184" s="2">
        <f>VLOOKUP(B1184,'Cadastro Produtos'!A:F,5,2)</f>
        <v>21</v>
      </c>
      <c r="R1184" s="14">
        <f t="shared" si="90"/>
        <v>56700</v>
      </c>
    </row>
    <row r="1185" spans="1:18" x14ac:dyDescent="0.25">
      <c r="A1185">
        <v>1184</v>
      </c>
      <c r="B1185">
        <v>10</v>
      </c>
      <c r="C1185" t="str">
        <f>VLOOKUP(B1185,'Cadastro Produtos'!A:E,2,2)</f>
        <v>Limonada Alfa com Hortelã Zero 1 L</v>
      </c>
      <c r="D1185">
        <v>2</v>
      </c>
      <c r="E1185" t="str">
        <f>VLOOKUP(D1185,'Cadatro Clientes'!A:O,2,2)</f>
        <v>Limão S/A</v>
      </c>
      <c r="F1185" t="str">
        <f>VLOOKUP(D1185,'Cadatro Clientes'!A:O,9,2)</f>
        <v>Centro-Oeste</v>
      </c>
      <c r="G1185" s="15">
        <v>42080</v>
      </c>
      <c r="H1185">
        <f t="shared" si="91"/>
        <v>3</v>
      </c>
      <c r="I1185">
        <f t="shared" si="92"/>
        <v>17</v>
      </c>
      <c r="J1185">
        <f t="shared" si="93"/>
        <v>3</v>
      </c>
      <c r="K1185">
        <f t="shared" si="94"/>
        <v>2015</v>
      </c>
      <c r="M1185">
        <v>3</v>
      </c>
      <c r="N1185" t="str">
        <f>VLOOKUP(M1185,'Cadastro Vendedores'!A:H,2,2)</f>
        <v>Antônia</v>
      </c>
      <c r="O1185" s="2"/>
      <c r="P1185" s="16">
        <v>2200</v>
      </c>
      <c r="Q1185" s="2">
        <f>VLOOKUP(B1185,'Cadastro Produtos'!A:F,5,2)</f>
        <v>21</v>
      </c>
      <c r="R1185" s="14">
        <f t="shared" si="90"/>
        <v>46200</v>
      </c>
    </row>
    <row r="1186" spans="1:18" x14ac:dyDescent="0.25">
      <c r="A1186">
        <v>1185</v>
      </c>
      <c r="B1186">
        <v>2</v>
      </c>
      <c r="C1186" t="str">
        <f>VLOOKUP(B1186,'Cadastro Produtos'!A:E,2,2)</f>
        <v>Limonada Beta com Açúcar 500 ml</v>
      </c>
      <c r="D1186">
        <v>19</v>
      </c>
      <c r="E1186" t="str">
        <f>VLOOKUP(D1186,'Cadatro Clientes'!A:O,2,2)</f>
        <v>Lima Limão</v>
      </c>
      <c r="F1186" t="str">
        <f>VLOOKUP(D1186,'Cadatro Clientes'!A:O,9,2)</f>
        <v>Sudeste</v>
      </c>
      <c r="G1186" s="15">
        <v>42081</v>
      </c>
      <c r="H1186">
        <f t="shared" si="91"/>
        <v>4</v>
      </c>
      <c r="I1186">
        <f t="shared" si="92"/>
        <v>18</v>
      </c>
      <c r="J1186">
        <f t="shared" si="93"/>
        <v>3</v>
      </c>
      <c r="K1186">
        <f t="shared" si="94"/>
        <v>2015</v>
      </c>
      <c r="M1186">
        <v>15</v>
      </c>
      <c r="N1186" t="str">
        <f>VLOOKUP(M1186,'Cadastro Vendedores'!A:H,2,2)</f>
        <v>Luis</v>
      </c>
      <c r="O1186" s="2"/>
      <c r="P1186" s="16">
        <v>9100</v>
      </c>
      <c r="Q1186" s="2">
        <f>VLOOKUP(B1186,'Cadastro Produtos'!A:F,5,2)</f>
        <v>6.5</v>
      </c>
      <c r="R1186" s="14">
        <f t="shared" si="90"/>
        <v>59150</v>
      </c>
    </row>
    <row r="1187" spans="1:18" x14ac:dyDescent="0.25">
      <c r="A1187">
        <v>1186</v>
      </c>
      <c r="B1187">
        <v>6</v>
      </c>
      <c r="C1187" t="str">
        <f>VLOOKUP(B1187,'Cadastro Produtos'!A:E,2,2)</f>
        <v>Limonada Beta com Açúcar 1 L</v>
      </c>
      <c r="D1187">
        <v>14</v>
      </c>
      <c r="E1187" t="str">
        <f>VLOOKUP(D1187,'Cadatro Clientes'!A:O,2,2)</f>
        <v>Sprite</v>
      </c>
      <c r="F1187" t="str">
        <f>VLOOKUP(D1187,'Cadatro Clientes'!A:O,9,2)</f>
        <v>Norte</v>
      </c>
      <c r="G1187" s="15">
        <v>42081</v>
      </c>
      <c r="H1187">
        <f t="shared" si="91"/>
        <v>4</v>
      </c>
      <c r="I1187">
        <f t="shared" si="92"/>
        <v>18</v>
      </c>
      <c r="J1187">
        <f t="shared" si="93"/>
        <v>3</v>
      </c>
      <c r="K1187">
        <f t="shared" si="94"/>
        <v>2015</v>
      </c>
      <c r="M1187">
        <v>2</v>
      </c>
      <c r="N1187" t="str">
        <f>VLOOKUP(M1187,'Cadastro Vendedores'!A:H,2,2)</f>
        <v>Luis</v>
      </c>
      <c r="O1187" s="2"/>
      <c r="P1187" s="16">
        <v>3500</v>
      </c>
      <c r="Q1187" s="2">
        <f>VLOOKUP(B1187,'Cadastro Produtos'!A:F,5,2)</f>
        <v>12</v>
      </c>
      <c r="R1187" s="14">
        <f t="shared" si="90"/>
        <v>42000</v>
      </c>
    </row>
    <row r="1188" spans="1:18" x14ac:dyDescent="0.25">
      <c r="A1188">
        <v>1187</v>
      </c>
      <c r="B1188">
        <v>9</v>
      </c>
      <c r="C1188" t="str">
        <f>VLOOKUP(B1188,'Cadastro Produtos'!A:E,2,2)</f>
        <v>Limonada Alfa com Hortelã e Açúcar 1 L</v>
      </c>
      <c r="D1188">
        <v>16</v>
      </c>
      <c r="E1188" t="str">
        <f>VLOOKUP(D1188,'Cadatro Clientes'!A:O,2,2)</f>
        <v>Norte Suco</v>
      </c>
      <c r="F1188" t="str">
        <f>VLOOKUP(D1188,'Cadatro Clientes'!A:O,9,2)</f>
        <v>Nordeste</v>
      </c>
      <c r="G1188" s="15">
        <v>42081</v>
      </c>
      <c r="H1188">
        <f t="shared" si="91"/>
        <v>4</v>
      </c>
      <c r="I1188">
        <f t="shared" si="92"/>
        <v>18</v>
      </c>
      <c r="J1188">
        <f t="shared" si="93"/>
        <v>3</v>
      </c>
      <c r="K1188">
        <f t="shared" si="94"/>
        <v>2015</v>
      </c>
      <c r="M1188">
        <v>8</v>
      </c>
      <c r="N1188" t="str">
        <f>VLOOKUP(M1188,'Cadastro Vendedores'!A:H,2,2)</f>
        <v>Sérgio</v>
      </c>
      <c r="O1188" s="2"/>
      <c r="P1188" s="16">
        <v>2200</v>
      </c>
      <c r="Q1188" s="2">
        <f>VLOOKUP(B1188,'Cadastro Produtos'!A:F,5,2)</f>
        <v>17.5</v>
      </c>
      <c r="R1188" s="14">
        <f t="shared" si="90"/>
        <v>38500</v>
      </c>
    </row>
    <row r="1189" spans="1:18" x14ac:dyDescent="0.25">
      <c r="A1189">
        <v>1188</v>
      </c>
      <c r="B1189">
        <v>9</v>
      </c>
      <c r="C1189" t="str">
        <f>VLOOKUP(B1189,'Cadastro Produtos'!A:E,2,2)</f>
        <v>Limonada Alfa com Hortelã e Açúcar 1 L</v>
      </c>
      <c r="D1189">
        <v>9</v>
      </c>
      <c r="E1189" t="str">
        <f>VLOOKUP(D1189,'Cadatro Clientes'!A:O,2,2)</f>
        <v>Fresh Lemon</v>
      </c>
      <c r="F1189" t="str">
        <f>VLOOKUP(D1189,'Cadatro Clientes'!A:O,9,2)</f>
        <v>Sudeste</v>
      </c>
      <c r="G1189" s="15">
        <v>42081</v>
      </c>
      <c r="H1189">
        <f t="shared" si="91"/>
        <v>4</v>
      </c>
      <c r="I1189">
        <f t="shared" si="92"/>
        <v>18</v>
      </c>
      <c r="J1189">
        <f t="shared" si="93"/>
        <v>3</v>
      </c>
      <c r="K1189">
        <f t="shared" si="94"/>
        <v>2015</v>
      </c>
      <c r="M1189">
        <v>7</v>
      </c>
      <c r="N1189" t="str">
        <f>VLOOKUP(M1189,'Cadastro Vendedores'!A:H,2,2)</f>
        <v>Benedito</v>
      </c>
      <c r="O1189" s="2"/>
      <c r="P1189" s="16">
        <v>3800</v>
      </c>
      <c r="Q1189" s="2">
        <f>VLOOKUP(B1189,'Cadastro Produtos'!A:F,5,2)</f>
        <v>17.5</v>
      </c>
      <c r="R1189" s="14">
        <f t="shared" si="90"/>
        <v>66500</v>
      </c>
    </row>
    <row r="1190" spans="1:18" x14ac:dyDescent="0.25">
      <c r="A1190">
        <v>1189</v>
      </c>
      <c r="B1190">
        <v>8</v>
      </c>
      <c r="C1190" t="str">
        <f>VLOOKUP(B1190,'Cadastro Produtos'!A:E,2,2)</f>
        <v>Limonada Beta Zero 1 L</v>
      </c>
      <c r="D1190">
        <v>1</v>
      </c>
      <c r="E1190" t="str">
        <f>VLOOKUP(D1190,'Cadatro Clientes'!A:O,2,2)</f>
        <v>Meu Suco de Limão</v>
      </c>
      <c r="F1190" t="str">
        <f>VLOOKUP(D1190,'Cadatro Clientes'!A:O,9,2)</f>
        <v>Norte</v>
      </c>
      <c r="G1190" s="15">
        <v>42083</v>
      </c>
      <c r="H1190">
        <f t="shared" si="91"/>
        <v>6</v>
      </c>
      <c r="I1190">
        <f t="shared" si="92"/>
        <v>20</v>
      </c>
      <c r="J1190">
        <f t="shared" si="93"/>
        <v>3</v>
      </c>
      <c r="K1190">
        <f t="shared" si="94"/>
        <v>2015</v>
      </c>
      <c r="M1190">
        <v>15</v>
      </c>
      <c r="N1190" t="str">
        <f>VLOOKUP(M1190,'Cadastro Vendedores'!A:H,2,2)</f>
        <v>Luis</v>
      </c>
      <c r="O1190" s="2"/>
      <c r="P1190" s="16">
        <v>2800</v>
      </c>
      <c r="Q1190" s="2">
        <f>VLOOKUP(B1190,'Cadastro Produtos'!A:F,5,2)</f>
        <v>12</v>
      </c>
      <c r="R1190" s="14">
        <f t="shared" si="90"/>
        <v>33600</v>
      </c>
    </row>
    <row r="1191" spans="1:18" x14ac:dyDescent="0.25">
      <c r="A1191">
        <v>1190</v>
      </c>
      <c r="B1191">
        <v>8</v>
      </c>
      <c r="C1191" t="str">
        <f>VLOOKUP(B1191,'Cadastro Produtos'!A:E,2,2)</f>
        <v>Limonada Beta Zero 1 L</v>
      </c>
      <c r="D1191">
        <v>2</v>
      </c>
      <c r="E1191" t="str">
        <f>VLOOKUP(D1191,'Cadatro Clientes'!A:O,2,2)</f>
        <v>Limão S/A</v>
      </c>
      <c r="F1191" t="str">
        <f>VLOOKUP(D1191,'Cadatro Clientes'!A:O,9,2)</f>
        <v>Centro-Oeste</v>
      </c>
      <c r="G1191" s="15">
        <v>42084</v>
      </c>
      <c r="H1191">
        <f t="shared" si="91"/>
        <v>7</v>
      </c>
      <c r="I1191">
        <f t="shared" si="92"/>
        <v>21</v>
      </c>
      <c r="J1191">
        <f t="shared" si="93"/>
        <v>3</v>
      </c>
      <c r="K1191">
        <f t="shared" si="94"/>
        <v>2015</v>
      </c>
      <c r="M1191">
        <v>4</v>
      </c>
      <c r="N1191" t="str">
        <f>VLOOKUP(M1191,'Cadastro Vendedores'!A:H,2,2)</f>
        <v>José</v>
      </c>
      <c r="O1191" s="2"/>
      <c r="P1191" s="16">
        <v>2900</v>
      </c>
      <c r="Q1191" s="2">
        <f>VLOOKUP(B1191,'Cadastro Produtos'!A:F,5,2)</f>
        <v>12</v>
      </c>
      <c r="R1191" s="14">
        <f t="shared" si="90"/>
        <v>34800</v>
      </c>
    </row>
    <row r="1192" spans="1:18" x14ac:dyDescent="0.25">
      <c r="A1192">
        <v>1191</v>
      </c>
      <c r="B1192">
        <v>10</v>
      </c>
      <c r="C1192" t="str">
        <f>VLOOKUP(B1192,'Cadastro Produtos'!A:E,2,2)</f>
        <v>Limonada Alfa com Hortelã Zero 1 L</v>
      </c>
      <c r="D1192">
        <v>4</v>
      </c>
      <c r="E1192" t="str">
        <f>VLOOKUP(D1192,'Cadatro Clientes'!A:O,2,2)</f>
        <v>Limão Carioca e Cia</v>
      </c>
      <c r="F1192" t="str">
        <f>VLOOKUP(D1192,'Cadatro Clientes'!A:O,9,2)</f>
        <v>Sudeste</v>
      </c>
      <c r="G1192" s="15">
        <v>42084</v>
      </c>
      <c r="H1192">
        <f t="shared" si="91"/>
        <v>7</v>
      </c>
      <c r="I1192">
        <f t="shared" si="92"/>
        <v>21</v>
      </c>
      <c r="J1192">
        <f t="shared" si="93"/>
        <v>3</v>
      </c>
      <c r="K1192">
        <f t="shared" si="94"/>
        <v>2015</v>
      </c>
      <c r="M1192">
        <v>7</v>
      </c>
      <c r="N1192" t="str">
        <f>VLOOKUP(M1192,'Cadastro Vendedores'!A:H,2,2)</f>
        <v>Benedito</v>
      </c>
      <c r="O1192" s="2"/>
      <c r="P1192" s="16">
        <v>700</v>
      </c>
      <c r="Q1192" s="2">
        <f>VLOOKUP(B1192,'Cadastro Produtos'!A:F,5,2)</f>
        <v>21</v>
      </c>
      <c r="R1192" s="14">
        <f t="shared" si="90"/>
        <v>14700</v>
      </c>
    </row>
    <row r="1193" spans="1:18" x14ac:dyDescent="0.25">
      <c r="A1193">
        <v>1192</v>
      </c>
      <c r="B1193">
        <v>1</v>
      </c>
      <c r="C1193" t="str">
        <f>VLOOKUP(B1193,'Cadastro Produtos'!A:E,2,2)</f>
        <v>Limonada Alfa com Açúcar 500 ml</v>
      </c>
      <c r="D1193">
        <v>11</v>
      </c>
      <c r="E1193" t="str">
        <f>VLOOKUP(D1193,'Cadatro Clientes'!A:O,2,2)</f>
        <v>Red Lemon</v>
      </c>
      <c r="F1193" t="str">
        <f>VLOOKUP(D1193,'Cadatro Clientes'!A:O,9,2)</f>
        <v>Sul</v>
      </c>
      <c r="G1193" s="15">
        <v>42084</v>
      </c>
      <c r="H1193">
        <f t="shared" si="91"/>
        <v>7</v>
      </c>
      <c r="I1193">
        <f t="shared" si="92"/>
        <v>21</v>
      </c>
      <c r="J1193">
        <f t="shared" si="93"/>
        <v>3</v>
      </c>
      <c r="K1193">
        <f t="shared" si="94"/>
        <v>2015</v>
      </c>
      <c r="M1193">
        <v>15</v>
      </c>
      <c r="N1193" t="str">
        <f>VLOOKUP(M1193,'Cadastro Vendedores'!A:H,2,2)</f>
        <v>Luis</v>
      </c>
      <c r="O1193" s="2"/>
      <c r="P1193" s="16">
        <v>5500</v>
      </c>
      <c r="Q1193" s="2">
        <f>VLOOKUP(B1193,'Cadastro Produtos'!A:F,5,2)</f>
        <v>8.5</v>
      </c>
      <c r="R1193" s="14">
        <f t="shared" si="90"/>
        <v>46750</v>
      </c>
    </row>
    <row r="1194" spans="1:18" x14ac:dyDescent="0.25">
      <c r="A1194">
        <v>1193</v>
      </c>
      <c r="B1194">
        <v>9</v>
      </c>
      <c r="C1194" t="str">
        <f>VLOOKUP(B1194,'Cadastro Produtos'!A:E,2,2)</f>
        <v>Limonada Alfa com Hortelã e Açúcar 1 L</v>
      </c>
      <c r="D1194">
        <v>11</v>
      </c>
      <c r="E1194" t="str">
        <f>VLOOKUP(D1194,'Cadatro Clientes'!A:O,2,2)</f>
        <v>Red Lemon</v>
      </c>
      <c r="F1194" t="str">
        <f>VLOOKUP(D1194,'Cadatro Clientes'!A:O,9,2)</f>
        <v>Sul</v>
      </c>
      <c r="G1194" s="15">
        <v>42084</v>
      </c>
      <c r="H1194">
        <f t="shared" si="91"/>
        <v>7</v>
      </c>
      <c r="I1194">
        <f t="shared" si="92"/>
        <v>21</v>
      </c>
      <c r="J1194">
        <f t="shared" si="93"/>
        <v>3</v>
      </c>
      <c r="K1194">
        <f t="shared" si="94"/>
        <v>2015</v>
      </c>
      <c r="M1194">
        <v>15</v>
      </c>
      <c r="N1194" t="str">
        <f>VLOOKUP(M1194,'Cadastro Vendedores'!A:H,2,2)</f>
        <v>Luis</v>
      </c>
      <c r="O1194" s="2"/>
      <c r="P1194" s="16">
        <v>1500</v>
      </c>
      <c r="Q1194" s="2">
        <f>VLOOKUP(B1194,'Cadastro Produtos'!A:F,5,2)</f>
        <v>17.5</v>
      </c>
      <c r="R1194" s="14">
        <f t="shared" si="90"/>
        <v>26250</v>
      </c>
    </row>
    <row r="1195" spans="1:18" x14ac:dyDescent="0.25">
      <c r="A1195">
        <v>1194</v>
      </c>
      <c r="B1195">
        <v>10</v>
      </c>
      <c r="C1195" t="str">
        <f>VLOOKUP(B1195,'Cadastro Produtos'!A:E,2,2)</f>
        <v>Limonada Alfa com Hortelã Zero 1 L</v>
      </c>
      <c r="D1195">
        <v>12</v>
      </c>
      <c r="E1195" t="str">
        <f>VLOOKUP(D1195,'Cadatro Clientes'!A:O,2,2)</f>
        <v>Limão da Ilha</v>
      </c>
      <c r="F1195" t="str">
        <f>VLOOKUP(D1195,'Cadatro Clientes'!A:O,9,2)</f>
        <v>Sul</v>
      </c>
      <c r="G1195" s="15">
        <v>42084</v>
      </c>
      <c r="H1195">
        <f t="shared" si="91"/>
        <v>7</v>
      </c>
      <c r="I1195">
        <f t="shared" si="92"/>
        <v>21</v>
      </c>
      <c r="J1195">
        <f t="shared" si="93"/>
        <v>3</v>
      </c>
      <c r="K1195">
        <f t="shared" si="94"/>
        <v>2015</v>
      </c>
      <c r="M1195">
        <v>4</v>
      </c>
      <c r="N1195" t="str">
        <f>VLOOKUP(M1195,'Cadastro Vendedores'!A:H,2,2)</f>
        <v>José</v>
      </c>
      <c r="O1195" s="2"/>
      <c r="P1195" s="16">
        <v>2200</v>
      </c>
      <c r="Q1195" s="2">
        <f>VLOOKUP(B1195,'Cadastro Produtos'!A:F,5,2)</f>
        <v>21</v>
      </c>
      <c r="R1195" s="14">
        <f t="shared" si="90"/>
        <v>46200</v>
      </c>
    </row>
    <row r="1196" spans="1:18" x14ac:dyDescent="0.25">
      <c r="A1196">
        <v>1195</v>
      </c>
      <c r="B1196">
        <v>8</v>
      </c>
      <c r="C1196" t="str">
        <f>VLOOKUP(B1196,'Cadastro Produtos'!A:E,2,2)</f>
        <v>Limonada Beta Zero 1 L</v>
      </c>
      <c r="D1196">
        <v>6</v>
      </c>
      <c r="E1196" t="str">
        <f>VLOOKUP(D1196,'Cadatro Clientes'!A:O,2,2)</f>
        <v>Lemonade</v>
      </c>
      <c r="F1196" t="str">
        <f>VLOOKUP(D1196,'Cadatro Clientes'!A:O,9,2)</f>
        <v>Norte</v>
      </c>
      <c r="G1196" s="15">
        <v>42085</v>
      </c>
      <c r="H1196">
        <f t="shared" si="91"/>
        <v>1</v>
      </c>
      <c r="I1196">
        <f t="shared" si="92"/>
        <v>22</v>
      </c>
      <c r="J1196">
        <f t="shared" si="93"/>
        <v>3</v>
      </c>
      <c r="K1196">
        <f t="shared" si="94"/>
        <v>2015</v>
      </c>
      <c r="M1196">
        <v>9</v>
      </c>
      <c r="N1196" t="str">
        <f>VLOOKUP(M1196,'Cadastro Vendedores'!A:H,2,2)</f>
        <v>Adriana</v>
      </c>
      <c r="O1196" s="2"/>
      <c r="P1196" s="16">
        <v>1300</v>
      </c>
      <c r="Q1196" s="2">
        <f>VLOOKUP(B1196,'Cadastro Produtos'!A:F,5,2)</f>
        <v>12</v>
      </c>
      <c r="R1196" s="14">
        <f t="shared" si="90"/>
        <v>15600</v>
      </c>
    </row>
    <row r="1197" spans="1:18" x14ac:dyDescent="0.25">
      <c r="A1197">
        <v>1196</v>
      </c>
      <c r="B1197">
        <v>8</v>
      </c>
      <c r="C1197" t="str">
        <f>VLOOKUP(B1197,'Cadastro Produtos'!A:E,2,2)</f>
        <v>Limonada Beta Zero 1 L</v>
      </c>
      <c r="D1197">
        <v>20</v>
      </c>
      <c r="E1197" t="str">
        <f>VLOOKUP(D1197,'Cadatro Clientes'!A:O,2,2)</f>
        <v>Brasil Saúde</v>
      </c>
      <c r="F1197" t="str">
        <f>VLOOKUP(D1197,'Cadatro Clientes'!A:O,9,2)</f>
        <v>Nordeste</v>
      </c>
      <c r="G1197" s="15">
        <v>42085</v>
      </c>
      <c r="H1197">
        <f t="shared" si="91"/>
        <v>1</v>
      </c>
      <c r="I1197">
        <f t="shared" si="92"/>
        <v>22</v>
      </c>
      <c r="J1197">
        <f t="shared" si="93"/>
        <v>3</v>
      </c>
      <c r="K1197">
        <f t="shared" si="94"/>
        <v>2015</v>
      </c>
      <c r="M1197">
        <v>16</v>
      </c>
      <c r="N1197" t="str">
        <f>VLOOKUP(M1197,'Cadastro Vendedores'!A:H,2,2)</f>
        <v>Jose</v>
      </c>
      <c r="O1197" s="2"/>
      <c r="P1197" s="16">
        <v>1900</v>
      </c>
      <c r="Q1197" s="2">
        <f>VLOOKUP(B1197,'Cadastro Produtos'!A:F,5,2)</f>
        <v>12</v>
      </c>
      <c r="R1197" s="14">
        <f t="shared" si="90"/>
        <v>22800</v>
      </c>
    </row>
    <row r="1198" spans="1:18" x14ac:dyDescent="0.25">
      <c r="A1198">
        <v>1197</v>
      </c>
      <c r="B1198">
        <v>5</v>
      </c>
      <c r="C1198" t="str">
        <f>VLOOKUP(B1198,'Cadastro Produtos'!A:E,2,2)</f>
        <v>Limonada Alfa com Açúcar 1 L</v>
      </c>
      <c r="D1198">
        <v>17</v>
      </c>
      <c r="E1198" t="str">
        <f>VLOOKUP(D1198,'Cadatro Clientes'!A:O,2,2)</f>
        <v>Aracasuco</v>
      </c>
      <c r="F1198" t="str">
        <f>VLOOKUP(D1198,'Cadatro Clientes'!A:O,9,2)</f>
        <v>Nordeste</v>
      </c>
      <c r="G1198" s="15">
        <v>42085</v>
      </c>
      <c r="H1198">
        <f t="shared" si="91"/>
        <v>1</v>
      </c>
      <c r="I1198">
        <f t="shared" si="92"/>
        <v>22</v>
      </c>
      <c r="J1198">
        <f t="shared" si="93"/>
        <v>3</v>
      </c>
      <c r="K1198">
        <f t="shared" si="94"/>
        <v>2015</v>
      </c>
      <c r="M1198">
        <v>13</v>
      </c>
      <c r="N1198" t="str">
        <f>VLOOKUP(M1198,'Cadastro Vendedores'!A:H,2,2)</f>
        <v>Andre</v>
      </c>
      <c r="O1198" s="2"/>
      <c r="P1198" s="16">
        <v>4000</v>
      </c>
      <c r="Q1198" s="2">
        <f>VLOOKUP(B1198,'Cadastro Produtos'!A:F,5,2)</f>
        <v>15</v>
      </c>
      <c r="R1198" s="14">
        <f t="shared" si="90"/>
        <v>60000</v>
      </c>
    </row>
    <row r="1199" spans="1:18" x14ac:dyDescent="0.25">
      <c r="A1199">
        <v>1198</v>
      </c>
      <c r="B1199">
        <v>10</v>
      </c>
      <c r="C1199" t="str">
        <f>VLOOKUP(B1199,'Cadastro Produtos'!A:E,2,2)</f>
        <v>Limonada Alfa com Hortelã Zero 1 L</v>
      </c>
      <c r="D1199">
        <v>20</v>
      </c>
      <c r="E1199" t="str">
        <f>VLOOKUP(D1199,'Cadatro Clientes'!A:O,2,2)</f>
        <v>Brasil Saúde</v>
      </c>
      <c r="F1199" t="str">
        <f>VLOOKUP(D1199,'Cadatro Clientes'!A:O,9,2)</f>
        <v>Nordeste</v>
      </c>
      <c r="G1199" s="15">
        <v>42086</v>
      </c>
      <c r="H1199">
        <f t="shared" si="91"/>
        <v>2</v>
      </c>
      <c r="I1199">
        <f t="shared" si="92"/>
        <v>23</v>
      </c>
      <c r="J1199">
        <f t="shared" si="93"/>
        <v>3</v>
      </c>
      <c r="K1199">
        <f t="shared" si="94"/>
        <v>2015</v>
      </c>
      <c r="M1199">
        <v>9</v>
      </c>
      <c r="N1199" t="str">
        <f>VLOOKUP(M1199,'Cadastro Vendedores'!A:H,2,2)</f>
        <v>Adriana</v>
      </c>
      <c r="O1199" s="2"/>
      <c r="P1199" s="16">
        <v>2700</v>
      </c>
      <c r="Q1199" s="2">
        <f>VLOOKUP(B1199,'Cadastro Produtos'!A:F,5,2)</f>
        <v>21</v>
      </c>
      <c r="R1199" s="14">
        <f t="shared" si="90"/>
        <v>56700</v>
      </c>
    </row>
    <row r="1200" spans="1:18" x14ac:dyDescent="0.25">
      <c r="A1200">
        <v>1199</v>
      </c>
      <c r="B1200">
        <v>3</v>
      </c>
      <c r="C1200" t="str">
        <f>VLOOKUP(B1200,'Cadastro Produtos'!A:E,2,2)</f>
        <v>Limonada Alfa Zero 500 ml</v>
      </c>
      <c r="D1200">
        <v>2</v>
      </c>
      <c r="E1200" t="str">
        <f>VLOOKUP(D1200,'Cadatro Clientes'!A:O,2,2)</f>
        <v>Limão S/A</v>
      </c>
      <c r="F1200" t="str">
        <f>VLOOKUP(D1200,'Cadatro Clientes'!A:O,9,2)</f>
        <v>Centro-Oeste</v>
      </c>
      <c r="G1200" s="15">
        <v>42086</v>
      </c>
      <c r="H1200">
        <f t="shared" si="91"/>
        <v>2</v>
      </c>
      <c r="I1200">
        <f t="shared" si="92"/>
        <v>23</v>
      </c>
      <c r="J1200">
        <f t="shared" si="93"/>
        <v>3</v>
      </c>
      <c r="K1200">
        <f t="shared" si="94"/>
        <v>2015</v>
      </c>
      <c r="M1200">
        <v>13</v>
      </c>
      <c r="N1200" t="str">
        <f>VLOOKUP(M1200,'Cadastro Vendedores'!A:H,2,2)</f>
        <v>Andre</v>
      </c>
      <c r="O1200" s="2"/>
      <c r="P1200" s="16">
        <v>3000</v>
      </c>
      <c r="Q1200" s="2">
        <f>VLOOKUP(B1200,'Cadastro Produtos'!A:F,5,2)</f>
        <v>9</v>
      </c>
      <c r="R1200" s="14">
        <f t="shared" si="90"/>
        <v>27000</v>
      </c>
    </row>
    <row r="1201" spans="1:18" x14ac:dyDescent="0.25">
      <c r="A1201">
        <v>1200</v>
      </c>
      <c r="B1201">
        <v>8</v>
      </c>
      <c r="C1201" t="str">
        <f>VLOOKUP(B1201,'Cadastro Produtos'!A:E,2,2)</f>
        <v>Limonada Beta Zero 1 L</v>
      </c>
      <c r="D1201">
        <v>9</v>
      </c>
      <c r="E1201" t="str">
        <f>VLOOKUP(D1201,'Cadatro Clientes'!A:O,2,2)</f>
        <v>Fresh Lemon</v>
      </c>
      <c r="F1201" t="str">
        <f>VLOOKUP(D1201,'Cadatro Clientes'!A:O,9,2)</f>
        <v>Sudeste</v>
      </c>
      <c r="G1201" s="15">
        <v>42086</v>
      </c>
      <c r="H1201">
        <f t="shared" si="91"/>
        <v>2</v>
      </c>
      <c r="I1201">
        <f t="shared" si="92"/>
        <v>23</v>
      </c>
      <c r="J1201">
        <f t="shared" si="93"/>
        <v>3</v>
      </c>
      <c r="K1201">
        <f t="shared" si="94"/>
        <v>2015</v>
      </c>
      <c r="M1201">
        <v>2</v>
      </c>
      <c r="N1201" t="str">
        <f>VLOOKUP(M1201,'Cadastro Vendedores'!A:H,2,2)</f>
        <v>Luis</v>
      </c>
      <c r="O1201" s="2"/>
      <c r="P1201" s="16">
        <v>3700</v>
      </c>
      <c r="Q1201" s="2">
        <f>VLOOKUP(B1201,'Cadastro Produtos'!A:F,5,2)</f>
        <v>12</v>
      </c>
      <c r="R1201" s="14">
        <f t="shared" si="90"/>
        <v>44400</v>
      </c>
    </row>
    <row r="1202" spans="1:18" x14ac:dyDescent="0.25">
      <c r="A1202">
        <v>1201</v>
      </c>
      <c r="B1202">
        <v>2</v>
      </c>
      <c r="C1202" t="str">
        <f>VLOOKUP(B1202,'Cadastro Produtos'!A:E,2,2)</f>
        <v>Limonada Beta com Açúcar 500 ml</v>
      </c>
      <c r="D1202">
        <v>8</v>
      </c>
      <c r="E1202" t="str">
        <f>VLOOKUP(D1202,'Cadatro Clientes'!A:O,2,2)</f>
        <v>Refresko</v>
      </c>
      <c r="F1202" t="str">
        <f>VLOOKUP(D1202,'Cadatro Clientes'!A:O,9,2)</f>
        <v>Sul</v>
      </c>
      <c r="G1202" s="15">
        <v>42087</v>
      </c>
      <c r="H1202">
        <f t="shared" si="91"/>
        <v>3</v>
      </c>
      <c r="I1202">
        <f t="shared" si="92"/>
        <v>24</v>
      </c>
      <c r="J1202">
        <f t="shared" si="93"/>
        <v>3</v>
      </c>
      <c r="K1202">
        <f t="shared" si="94"/>
        <v>2015</v>
      </c>
      <c r="M1202">
        <v>3</v>
      </c>
      <c r="N1202" t="str">
        <f>VLOOKUP(M1202,'Cadastro Vendedores'!A:H,2,2)</f>
        <v>Antônia</v>
      </c>
      <c r="O1202" s="2"/>
      <c r="P1202" s="16">
        <v>6700</v>
      </c>
      <c r="Q1202" s="2">
        <f>VLOOKUP(B1202,'Cadastro Produtos'!A:F,5,2)</f>
        <v>6.5</v>
      </c>
      <c r="R1202" s="14">
        <f t="shared" si="90"/>
        <v>43550</v>
      </c>
    </row>
    <row r="1203" spans="1:18" x14ac:dyDescent="0.25">
      <c r="A1203">
        <v>1202</v>
      </c>
      <c r="B1203">
        <v>5</v>
      </c>
      <c r="C1203" t="str">
        <f>VLOOKUP(B1203,'Cadastro Produtos'!A:E,2,2)</f>
        <v>Limonada Alfa com Açúcar 1 L</v>
      </c>
      <c r="D1203">
        <v>7</v>
      </c>
      <c r="E1203" t="str">
        <f>VLOOKUP(D1203,'Cadatro Clientes'!A:O,2,2)</f>
        <v>Limo</v>
      </c>
      <c r="F1203" t="str">
        <f>VLOOKUP(D1203,'Cadatro Clientes'!A:O,9,2)</f>
        <v>Centro-Oeste</v>
      </c>
      <c r="G1203" s="15">
        <v>42087</v>
      </c>
      <c r="H1203">
        <f t="shared" si="91"/>
        <v>3</v>
      </c>
      <c r="I1203">
        <f t="shared" si="92"/>
        <v>24</v>
      </c>
      <c r="J1203">
        <f t="shared" si="93"/>
        <v>3</v>
      </c>
      <c r="K1203">
        <f t="shared" si="94"/>
        <v>2015</v>
      </c>
      <c r="M1203">
        <v>9</v>
      </c>
      <c r="N1203" t="str">
        <f>VLOOKUP(M1203,'Cadastro Vendedores'!A:H,2,2)</f>
        <v>Adriana</v>
      </c>
      <c r="O1203" s="2"/>
      <c r="P1203" s="16">
        <v>2400</v>
      </c>
      <c r="Q1203" s="2">
        <f>VLOOKUP(B1203,'Cadastro Produtos'!A:F,5,2)</f>
        <v>15</v>
      </c>
      <c r="R1203" s="14">
        <f t="shared" si="90"/>
        <v>36000</v>
      </c>
    </row>
    <row r="1204" spans="1:18" x14ac:dyDescent="0.25">
      <c r="A1204">
        <v>1203</v>
      </c>
      <c r="B1204">
        <v>5</v>
      </c>
      <c r="C1204" t="str">
        <f>VLOOKUP(B1204,'Cadastro Produtos'!A:E,2,2)</f>
        <v>Limonada Alfa com Açúcar 1 L</v>
      </c>
      <c r="D1204">
        <v>10</v>
      </c>
      <c r="E1204" t="str">
        <f>VLOOKUP(D1204,'Cadatro Clientes'!A:O,2,2)</f>
        <v>Lemon Gator</v>
      </c>
      <c r="F1204" t="str">
        <f>VLOOKUP(D1204,'Cadatro Clientes'!A:O,9,2)</f>
        <v>Nordeste</v>
      </c>
      <c r="G1204" s="15">
        <v>42087</v>
      </c>
      <c r="H1204">
        <f t="shared" si="91"/>
        <v>3</v>
      </c>
      <c r="I1204">
        <f t="shared" si="92"/>
        <v>24</v>
      </c>
      <c r="J1204">
        <f t="shared" si="93"/>
        <v>3</v>
      </c>
      <c r="K1204">
        <f t="shared" si="94"/>
        <v>2015</v>
      </c>
      <c r="M1204">
        <v>13</v>
      </c>
      <c r="N1204" t="str">
        <f>VLOOKUP(M1204,'Cadastro Vendedores'!A:H,2,2)</f>
        <v>Andre</v>
      </c>
      <c r="O1204" s="2"/>
      <c r="P1204" s="16">
        <v>2100</v>
      </c>
      <c r="Q1204" s="2">
        <f>VLOOKUP(B1204,'Cadastro Produtos'!A:F,5,2)</f>
        <v>15</v>
      </c>
      <c r="R1204" s="14">
        <f t="shared" si="90"/>
        <v>31500</v>
      </c>
    </row>
    <row r="1205" spans="1:18" x14ac:dyDescent="0.25">
      <c r="A1205">
        <v>1204</v>
      </c>
      <c r="B1205">
        <v>1</v>
      </c>
      <c r="C1205" t="str">
        <f>VLOOKUP(B1205,'Cadastro Produtos'!A:E,2,2)</f>
        <v>Limonada Alfa com Açúcar 500 ml</v>
      </c>
      <c r="D1205">
        <v>15</v>
      </c>
      <c r="E1205" t="str">
        <f>VLOOKUP(D1205,'Cadatro Clientes'!A:O,2,2)</f>
        <v>Limão do Mané</v>
      </c>
      <c r="F1205" t="str">
        <f>VLOOKUP(D1205,'Cadatro Clientes'!A:O,9,2)</f>
        <v>Sul</v>
      </c>
      <c r="G1205" s="15">
        <v>42087</v>
      </c>
      <c r="H1205">
        <f t="shared" si="91"/>
        <v>3</v>
      </c>
      <c r="I1205">
        <f t="shared" si="92"/>
        <v>24</v>
      </c>
      <c r="J1205">
        <f t="shared" si="93"/>
        <v>3</v>
      </c>
      <c r="K1205">
        <f t="shared" si="94"/>
        <v>2015</v>
      </c>
      <c r="M1205">
        <v>4</v>
      </c>
      <c r="N1205" t="str">
        <f>VLOOKUP(M1205,'Cadastro Vendedores'!A:H,2,2)</f>
        <v>José</v>
      </c>
      <c r="O1205" s="2"/>
      <c r="P1205" s="16">
        <v>7100</v>
      </c>
      <c r="Q1205" s="2">
        <f>VLOOKUP(B1205,'Cadastro Produtos'!A:F,5,2)</f>
        <v>8.5</v>
      </c>
      <c r="R1205" s="14">
        <f t="shared" si="90"/>
        <v>60350</v>
      </c>
    </row>
    <row r="1206" spans="1:18" x14ac:dyDescent="0.25">
      <c r="A1206">
        <v>1205</v>
      </c>
      <c r="B1206">
        <v>10</v>
      </c>
      <c r="C1206" t="str">
        <f>VLOOKUP(B1206,'Cadastro Produtos'!A:E,2,2)</f>
        <v>Limonada Alfa com Hortelã Zero 1 L</v>
      </c>
      <c r="D1206">
        <v>6</v>
      </c>
      <c r="E1206" t="str">
        <f>VLOOKUP(D1206,'Cadatro Clientes'!A:O,2,2)</f>
        <v>Lemonade</v>
      </c>
      <c r="F1206" t="str">
        <f>VLOOKUP(D1206,'Cadatro Clientes'!A:O,9,2)</f>
        <v>Norte</v>
      </c>
      <c r="G1206" s="15">
        <v>42088</v>
      </c>
      <c r="H1206">
        <f t="shared" si="91"/>
        <v>4</v>
      </c>
      <c r="I1206">
        <f t="shared" si="92"/>
        <v>25</v>
      </c>
      <c r="J1206">
        <f t="shared" si="93"/>
        <v>3</v>
      </c>
      <c r="K1206">
        <f t="shared" si="94"/>
        <v>2015</v>
      </c>
      <c r="M1206">
        <v>6</v>
      </c>
      <c r="N1206" t="str">
        <f>VLOOKUP(M1206,'Cadastro Vendedores'!A:H,2,2)</f>
        <v>Antônia</v>
      </c>
      <c r="O1206" s="2"/>
      <c r="P1206" s="16">
        <v>2500</v>
      </c>
      <c r="Q1206" s="2">
        <f>VLOOKUP(B1206,'Cadastro Produtos'!A:F,5,2)</f>
        <v>21</v>
      </c>
      <c r="R1206" s="14">
        <f t="shared" si="90"/>
        <v>52500</v>
      </c>
    </row>
    <row r="1207" spans="1:18" x14ac:dyDescent="0.25">
      <c r="A1207">
        <v>1206</v>
      </c>
      <c r="B1207">
        <v>10</v>
      </c>
      <c r="C1207" t="str">
        <f>VLOOKUP(B1207,'Cadastro Produtos'!A:E,2,2)</f>
        <v>Limonada Alfa com Hortelã Zero 1 L</v>
      </c>
      <c r="D1207">
        <v>18</v>
      </c>
      <c r="E1207" t="str">
        <f>VLOOKUP(D1207,'Cadatro Clientes'!A:O,2,2)</f>
        <v>Rio Branco Limonada Ltda</v>
      </c>
      <c r="F1207" t="str">
        <f>VLOOKUP(D1207,'Cadatro Clientes'!A:O,9,2)</f>
        <v>Norte</v>
      </c>
      <c r="G1207" s="15">
        <v>42088</v>
      </c>
      <c r="H1207">
        <f t="shared" si="91"/>
        <v>4</v>
      </c>
      <c r="I1207">
        <f t="shared" si="92"/>
        <v>25</v>
      </c>
      <c r="J1207">
        <f t="shared" si="93"/>
        <v>3</v>
      </c>
      <c r="K1207">
        <f t="shared" si="94"/>
        <v>2015</v>
      </c>
      <c r="M1207">
        <v>13</v>
      </c>
      <c r="N1207" t="str">
        <f>VLOOKUP(M1207,'Cadastro Vendedores'!A:H,2,2)</f>
        <v>Andre</v>
      </c>
      <c r="O1207" s="2"/>
      <c r="P1207" s="16">
        <v>1300</v>
      </c>
      <c r="Q1207" s="2">
        <f>VLOOKUP(B1207,'Cadastro Produtos'!A:F,5,2)</f>
        <v>21</v>
      </c>
      <c r="R1207" s="14">
        <f t="shared" si="90"/>
        <v>27300</v>
      </c>
    </row>
    <row r="1208" spans="1:18" x14ac:dyDescent="0.25">
      <c r="A1208">
        <v>1207</v>
      </c>
      <c r="B1208">
        <v>3</v>
      </c>
      <c r="C1208" t="str">
        <f>VLOOKUP(B1208,'Cadastro Produtos'!A:E,2,2)</f>
        <v>Limonada Alfa Zero 500 ml</v>
      </c>
      <c r="D1208">
        <v>3</v>
      </c>
      <c r="E1208" t="str">
        <f>VLOOKUP(D1208,'Cadatro Clientes'!A:O,2,2)</f>
        <v>Limonada Suíça Ltda</v>
      </c>
      <c r="F1208" t="str">
        <f>VLOOKUP(D1208,'Cadatro Clientes'!A:O,9,2)</f>
        <v>Nordeste</v>
      </c>
      <c r="G1208" s="15">
        <v>42089</v>
      </c>
      <c r="H1208">
        <f t="shared" si="91"/>
        <v>5</v>
      </c>
      <c r="I1208">
        <f t="shared" si="92"/>
        <v>26</v>
      </c>
      <c r="J1208">
        <f t="shared" si="93"/>
        <v>3</v>
      </c>
      <c r="K1208">
        <f t="shared" si="94"/>
        <v>2015</v>
      </c>
      <c r="M1208">
        <v>15</v>
      </c>
      <c r="N1208" t="str">
        <f>VLOOKUP(M1208,'Cadastro Vendedores'!A:H,2,2)</f>
        <v>Luis</v>
      </c>
      <c r="O1208" s="2"/>
      <c r="P1208" s="16">
        <v>5400</v>
      </c>
      <c r="Q1208" s="2">
        <f>VLOOKUP(B1208,'Cadastro Produtos'!A:F,5,2)</f>
        <v>9</v>
      </c>
      <c r="R1208" s="14">
        <f t="shared" si="90"/>
        <v>48600</v>
      </c>
    </row>
    <row r="1209" spans="1:18" x14ac:dyDescent="0.25">
      <c r="A1209">
        <v>1208</v>
      </c>
      <c r="B1209">
        <v>4</v>
      </c>
      <c r="C1209" t="str">
        <f>VLOOKUP(B1209,'Cadastro Produtos'!A:E,2,2)</f>
        <v>Limonada Beta Zero 500 ml</v>
      </c>
      <c r="D1209">
        <v>11</v>
      </c>
      <c r="E1209" t="str">
        <f>VLOOKUP(D1209,'Cadatro Clientes'!A:O,2,2)</f>
        <v>Red Lemon</v>
      </c>
      <c r="F1209" t="str">
        <f>VLOOKUP(D1209,'Cadatro Clientes'!A:O,9,2)</f>
        <v>Sul</v>
      </c>
      <c r="G1209" s="15">
        <v>42089</v>
      </c>
      <c r="H1209">
        <f t="shared" si="91"/>
        <v>5</v>
      </c>
      <c r="I1209">
        <f t="shared" si="92"/>
        <v>26</v>
      </c>
      <c r="J1209">
        <f t="shared" si="93"/>
        <v>3</v>
      </c>
      <c r="K1209">
        <f t="shared" si="94"/>
        <v>2015</v>
      </c>
      <c r="M1209">
        <v>13</v>
      </c>
      <c r="N1209" t="str">
        <f>VLOOKUP(M1209,'Cadastro Vendedores'!A:H,2,2)</f>
        <v>Andre</v>
      </c>
      <c r="O1209" s="2"/>
      <c r="P1209" s="16">
        <v>5500</v>
      </c>
      <c r="Q1209" s="2">
        <f>VLOOKUP(B1209,'Cadastro Produtos'!A:F,5,2)</f>
        <v>7</v>
      </c>
      <c r="R1209" s="14">
        <f t="shared" si="90"/>
        <v>38500</v>
      </c>
    </row>
    <row r="1210" spans="1:18" x14ac:dyDescent="0.25">
      <c r="A1210">
        <v>1209</v>
      </c>
      <c r="B1210">
        <v>2</v>
      </c>
      <c r="C1210" t="str">
        <f>VLOOKUP(B1210,'Cadastro Produtos'!A:E,2,2)</f>
        <v>Limonada Beta com Açúcar 500 ml</v>
      </c>
      <c r="D1210">
        <v>10</v>
      </c>
      <c r="E1210" t="str">
        <f>VLOOKUP(D1210,'Cadatro Clientes'!A:O,2,2)</f>
        <v>Lemon Gator</v>
      </c>
      <c r="F1210" t="str">
        <f>VLOOKUP(D1210,'Cadatro Clientes'!A:O,9,2)</f>
        <v>Nordeste</v>
      </c>
      <c r="G1210" s="15">
        <v>42089</v>
      </c>
      <c r="H1210">
        <f t="shared" si="91"/>
        <v>5</v>
      </c>
      <c r="I1210">
        <f t="shared" si="92"/>
        <v>26</v>
      </c>
      <c r="J1210">
        <f t="shared" si="93"/>
        <v>3</v>
      </c>
      <c r="K1210">
        <f t="shared" si="94"/>
        <v>2015</v>
      </c>
      <c r="M1210">
        <v>12</v>
      </c>
      <c r="N1210" t="str">
        <f>VLOOKUP(M1210,'Cadastro Vendedores'!A:H,2,2)</f>
        <v>Paulo</v>
      </c>
      <c r="O1210" s="2"/>
      <c r="P1210" s="16">
        <v>8900</v>
      </c>
      <c r="Q1210" s="2">
        <f>VLOOKUP(B1210,'Cadastro Produtos'!A:F,5,2)</f>
        <v>6.5</v>
      </c>
      <c r="R1210" s="14">
        <f t="shared" si="90"/>
        <v>57850</v>
      </c>
    </row>
    <row r="1211" spans="1:18" x14ac:dyDescent="0.25">
      <c r="A1211">
        <v>1210</v>
      </c>
      <c r="B1211">
        <v>7</v>
      </c>
      <c r="C1211" t="str">
        <f>VLOOKUP(B1211,'Cadastro Produtos'!A:E,2,2)</f>
        <v>Limonada Alfa Zero 1 L</v>
      </c>
      <c r="D1211">
        <v>3</v>
      </c>
      <c r="E1211" t="str">
        <f>VLOOKUP(D1211,'Cadatro Clientes'!A:O,2,2)</f>
        <v>Limonada Suíça Ltda</v>
      </c>
      <c r="F1211" t="str">
        <f>VLOOKUP(D1211,'Cadatro Clientes'!A:O,9,2)</f>
        <v>Nordeste</v>
      </c>
      <c r="G1211" s="15">
        <v>42090</v>
      </c>
      <c r="H1211">
        <f t="shared" si="91"/>
        <v>6</v>
      </c>
      <c r="I1211">
        <f t="shared" si="92"/>
        <v>27</v>
      </c>
      <c r="J1211">
        <f t="shared" si="93"/>
        <v>3</v>
      </c>
      <c r="K1211">
        <f t="shared" si="94"/>
        <v>2015</v>
      </c>
      <c r="M1211">
        <v>3</v>
      </c>
      <c r="N1211" t="str">
        <f>VLOOKUP(M1211,'Cadastro Vendedores'!A:H,2,2)</f>
        <v>Antônia</v>
      </c>
      <c r="O1211" s="2"/>
      <c r="P1211" s="16">
        <v>3000</v>
      </c>
      <c r="Q1211" s="2">
        <f>VLOOKUP(B1211,'Cadastro Produtos'!A:F,5,2)</f>
        <v>15</v>
      </c>
      <c r="R1211" s="14">
        <f t="shared" si="90"/>
        <v>45000</v>
      </c>
    </row>
    <row r="1212" spans="1:18" x14ac:dyDescent="0.25">
      <c r="A1212">
        <v>1211</v>
      </c>
      <c r="B1212">
        <v>10</v>
      </c>
      <c r="C1212" t="str">
        <f>VLOOKUP(B1212,'Cadastro Produtos'!A:E,2,2)</f>
        <v>Limonada Alfa com Hortelã Zero 1 L</v>
      </c>
      <c r="D1212">
        <v>6</v>
      </c>
      <c r="E1212" t="str">
        <f>VLOOKUP(D1212,'Cadatro Clientes'!A:O,2,2)</f>
        <v>Lemonade</v>
      </c>
      <c r="F1212" t="str">
        <f>VLOOKUP(D1212,'Cadatro Clientes'!A:O,9,2)</f>
        <v>Norte</v>
      </c>
      <c r="G1212" s="15">
        <v>42090</v>
      </c>
      <c r="H1212">
        <f t="shared" si="91"/>
        <v>6</v>
      </c>
      <c r="I1212">
        <f t="shared" si="92"/>
        <v>27</v>
      </c>
      <c r="J1212">
        <f t="shared" si="93"/>
        <v>3</v>
      </c>
      <c r="K1212">
        <f t="shared" si="94"/>
        <v>2015</v>
      </c>
      <c r="M1212">
        <v>2</v>
      </c>
      <c r="N1212" t="str">
        <f>VLOOKUP(M1212,'Cadastro Vendedores'!A:H,2,2)</f>
        <v>Luis</v>
      </c>
      <c r="O1212" s="2"/>
      <c r="P1212" s="16">
        <v>2600</v>
      </c>
      <c r="Q1212" s="2">
        <f>VLOOKUP(B1212,'Cadastro Produtos'!A:F,5,2)</f>
        <v>21</v>
      </c>
      <c r="R1212" s="14">
        <f t="shared" si="90"/>
        <v>54600</v>
      </c>
    </row>
    <row r="1213" spans="1:18" x14ac:dyDescent="0.25">
      <c r="A1213">
        <v>1212</v>
      </c>
      <c r="B1213">
        <v>5</v>
      </c>
      <c r="C1213" t="str">
        <f>VLOOKUP(B1213,'Cadastro Produtos'!A:E,2,2)</f>
        <v>Limonada Alfa com Açúcar 1 L</v>
      </c>
      <c r="D1213">
        <v>9</v>
      </c>
      <c r="E1213" t="str">
        <f>VLOOKUP(D1213,'Cadatro Clientes'!A:O,2,2)</f>
        <v>Fresh Lemon</v>
      </c>
      <c r="F1213" t="str">
        <f>VLOOKUP(D1213,'Cadatro Clientes'!A:O,9,2)</f>
        <v>Sudeste</v>
      </c>
      <c r="G1213" s="15">
        <v>42091</v>
      </c>
      <c r="H1213">
        <f t="shared" si="91"/>
        <v>7</v>
      </c>
      <c r="I1213">
        <f t="shared" si="92"/>
        <v>28</v>
      </c>
      <c r="J1213">
        <f t="shared" si="93"/>
        <v>3</v>
      </c>
      <c r="K1213">
        <f t="shared" si="94"/>
        <v>2015</v>
      </c>
      <c r="M1213">
        <v>6</v>
      </c>
      <c r="N1213" t="str">
        <f>VLOOKUP(M1213,'Cadastro Vendedores'!A:H,2,2)</f>
        <v>Antônia</v>
      </c>
      <c r="O1213" s="2"/>
      <c r="P1213" s="16">
        <v>3300</v>
      </c>
      <c r="Q1213" s="2">
        <f>VLOOKUP(B1213,'Cadastro Produtos'!A:F,5,2)</f>
        <v>15</v>
      </c>
      <c r="R1213" s="14">
        <f t="shared" si="90"/>
        <v>49500</v>
      </c>
    </row>
    <row r="1214" spans="1:18" x14ac:dyDescent="0.25">
      <c r="A1214">
        <v>1213</v>
      </c>
      <c r="B1214">
        <v>7</v>
      </c>
      <c r="C1214" t="str">
        <f>VLOOKUP(B1214,'Cadastro Produtos'!A:E,2,2)</f>
        <v>Limonada Alfa Zero 1 L</v>
      </c>
      <c r="D1214">
        <v>14</v>
      </c>
      <c r="E1214" t="str">
        <f>VLOOKUP(D1214,'Cadatro Clientes'!A:O,2,2)</f>
        <v>Sprite</v>
      </c>
      <c r="F1214" t="str">
        <f>VLOOKUP(D1214,'Cadatro Clientes'!A:O,9,2)</f>
        <v>Norte</v>
      </c>
      <c r="G1214" s="15">
        <v>42091</v>
      </c>
      <c r="H1214">
        <f t="shared" si="91"/>
        <v>7</v>
      </c>
      <c r="I1214">
        <f t="shared" si="92"/>
        <v>28</v>
      </c>
      <c r="J1214">
        <f t="shared" si="93"/>
        <v>3</v>
      </c>
      <c r="K1214">
        <f t="shared" si="94"/>
        <v>2015</v>
      </c>
      <c r="M1214">
        <v>2</v>
      </c>
      <c r="N1214" t="str">
        <f>VLOOKUP(M1214,'Cadastro Vendedores'!A:H,2,2)</f>
        <v>Luis</v>
      </c>
      <c r="O1214" s="2"/>
      <c r="P1214" s="16">
        <v>2600</v>
      </c>
      <c r="Q1214" s="2">
        <f>VLOOKUP(B1214,'Cadastro Produtos'!A:F,5,2)</f>
        <v>15</v>
      </c>
      <c r="R1214" s="14">
        <f t="shared" si="90"/>
        <v>39000</v>
      </c>
    </row>
    <row r="1215" spans="1:18" x14ac:dyDescent="0.25">
      <c r="A1215">
        <v>1214</v>
      </c>
      <c r="B1215">
        <v>4</v>
      </c>
      <c r="C1215" t="str">
        <f>VLOOKUP(B1215,'Cadastro Produtos'!A:E,2,2)</f>
        <v>Limonada Beta Zero 500 ml</v>
      </c>
      <c r="D1215">
        <v>2</v>
      </c>
      <c r="E1215" t="str">
        <f>VLOOKUP(D1215,'Cadatro Clientes'!A:O,2,2)</f>
        <v>Limão S/A</v>
      </c>
      <c r="F1215" t="str">
        <f>VLOOKUP(D1215,'Cadatro Clientes'!A:O,9,2)</f>
        <v>Centro-Oeste</v>
      </c>
      <c r="G1215" s="15">
        <v>42091</v>
      </c>
      <c r="H1215">
        <f t="shared" si="91"/>
        <v>7</v>
      </c>
      <c r="I1215">
        <f t="shared" si="92"/>
        <v>28</v>
      </c>
      <c r="J1215">
        <f t="shared" si="93"/>
        <v>3</v>
      </c>
      <c r="K1215">
        <f t="shared" si="94"/>
        <v>2015</v>
      </c>
      <c r="M1215">
        <v>2</v>
      </c>
      <c r="N1215" t="str">
        <f>VLOOKUP(M1215,'Cadastro Vendedores'!A:H,2,2)</f>
        <v>Luis</v>
      </c>
      <c r="O1215" s="2"/>
      <c r="P1215" s="16">
        <v>4400</v>
      </c>
      <c r="Q1215" s="2">
        <f>VLOOKUP(B1215,'Cadastro Produtos'!A:F,5,2)</f>
        <v>7</v>
      </c>
      <c r="R1215" s="14">
        <f t="shared" si="90"/>
        <v>30800</v>
      </c>
    </row>
    <row r="1216" spans="1:18" x14ac:dyDescent="0.25">
      <c r="A1216">
        <v>1215</v>
      </c>
      <c r="B1216">
        <v>8</v>
      </c>
      <c r="C1216" t="str">
        <f>VLOOKUP(B1216,'Cadastro Produtos'!A:E,2,2)</f>
        <v>Limonada Beta Zero 1 L</v>
      </c>
      <c r="D1216">
        <v>10</v>
      </c>
      <c r="E1216" t="str">
        <f>VLOOKUP(D1216,'Cadatro Clientes'!A:O,2,2)</f>
        <v>Lemon Gator</v>
      </c>
      <c r="F1216" t="str">
        <f>VLOOKUP(D1216,'Cadatro Clientes'!A:O,9,2)</f>
        <v>Nordeste</v>
      </c>
      <c r="G1216" s="15">
        <v>42091</v>
      </c>
      <c r="H1216">
        <f t="shared" si="91"/>
        <v>7</v>
      </c>
      <c r="I1216">
        <f t="shared" si="92"/>
        <v>28</v>
      </c>
      <c r="J1216">
        <f t="shared" si="93"/>
        <v>3</v>
      </c>
      <c r="K1216">
        <f t="shared" si="94"/>
        <v>2015</v>
      </c>
      <c r="M1216">
        <v>12</v>
      </c>
      <c r="N1216" t="str">
        <f>VLOOKUP(M1216,'Cadastro Vendedores'!A:H,2,2)</f>
        <v>Paulo</v>
      </c>
      <c r="O1216" s="2"/>
      <c r="P1216" s="16">
        <v>5000</v>
      </c>
      <c r="Q1216" s="2">
        <f>VLOOKUP(B1216,'Cadastro Produtos'!A:F,5,2)</f>
        <v>12</v>
      </c>
      <c r="R1216" s="14">
        <f t="shared" si="90"/>
        <v>60000</v>
      </c>
    </row>
    <row r="1217" spans="1:18" x14ac:dyDescent="0.25">
      <c r="A1217">
        <v>1216</v>
      </c>
      <c r="B1217">
        <v>7</v>
      </c>
      <c r="C1217" t="str">
        <f>VLOOKUP(B1217,'Cadastro Produtos'!A:E,2,2)</f>
        <v>Limonada Alfa Zero 1 L</v>
      </c>
      <c r="D1217">
        <v>8</v>
      </c>
      <c r="E1217" t="str">
        <f>VLOOKUP(D1217,'Cadatro Clientes'!A:O,2,2)</f>
        <v>Refresko</v>
      </c>
      <c r="F1217" t="str">
        <f>VLOOKUP(D1217,'Cadatro Clientes'!A:O,9,2)</f>
        <v>Sul</v>
      </c>
      <c r="G1217" s="15">
        <v>42092</v>
      </c>
      <c r="H1217">
        <f t="shared" si="91"/>
        <v>1</v>
      </c>
      <c r="I1217">
        <f t="shared" si="92"/>
        <v>29</v>
      </c>
      <c r="J1217">
        <f t="shared" si="93"/>
        <v>3</v>
      </c>
      <c r="K1217">
        <f t="shared" si="94"/>
        <v>2015</v>
      </c>
      <c r="M1217">
        <v>16</v>
      </c>
      <c r="N1217" t="str">
        <f>VLOOKUP(M1217,'Cadastro Vendedores'!A:H,2,2)</f>
        <v>Jose</v>
      </c>
      <c r="O1217" s="2"/>
      <c r="P1217" s="16">
        <v>2200</v>
      </c>
      <c r="Q1217" s="2">
        <f>VLOOKUP(B1217,'Cadastro Produtos'!A:F,5,2)</f>
        <v>15</v>
      </c>
      <c r="R1217" s="14">
        <f t="shared" si="90"/>
        <v>33000</v>
      </c>
    </row>
    <row r="1218" spans="1:18" x14ac:dyDescent="0.25">
      <c r="A1218">
        <v>1217</v>
      </c>
      <c r="B1218">
        <v>2</v>
      </c>
      <c r="C1218" t="str">
        <f>VLOOKUP(B1218,'Cadastro Produtos'!A:E,2,2)</f>
        <v>Limonada Beta com Açúcar 500 ml</v>
      </c>
      <c r="D1218">
        <v>2</v>
      </c>
      <c r="E1218" t="str">
        <f>VLOOKUP(D1218,'Cadatro Clientes'!A:O,2,2)</f>
        <v>Limão S/A</v>
      </c>
      <c r="F1218" t="str">
        <f>VLOOKUP(D1218,'Cadatro Clientes'!A:O,9,2)</f>
        <v>Centro-Oeste</v>
      </c>
      <c r="G1218" s="15">
        <v>42092</v>
      </c>
      <c r="H1218">
        <f t="shared" si="91"/>
        <v>1</v>
      </c>
      <c r="I1218">
        <f t="shared" si="92"/>
        <v>29</v>
      </c>
      <c r="J1218">
        <f t="shared" si="93"/>
        <v>3</v>
      </c>
      <c r="K1218">
        <f t="shared" si="94"/>
        <v>2015</v>
      </c>
      <c r="M1218">
        <v>12</v>
      </c>
      <c r="N1218" t="str">
        <f>VLOOKUP(M1218,'Cadastro Vendedores'!A:H,2,2)</f>
        <v>Paulo</v>
      </c>
      <c r="O1218" s="2"/>
      <c r="P1218" s="16">
        <v>7500</v>
      </c>
      <c r="Q1218" s="2">
        <f>VLOOKUP(B1218,'Cadastro Produtos'!A:F,5,2)</f>
        <v>6.5</v>
      </c>
      <c r="R1218" s="14">
        <f t="shared" ref="R1218:R1281" si="95">Q1218*P1218</f>
        <v>48750</v>
      </c>
    </row>
    <row r="1219" spans="1:18" x14ac:dyDescent="0.25">
      <c r="A1219">
        <v>1218</v>
      </c>
      <c r="B1219">
        <v>6</v>
      </c>
      <c r="C1219" t="str">
        <f>VLOOKUP(B1219,'Cadastro Produtos'!A:E,2,2)</f>
        <v>Limonada Beta com Açúcar 1 L</v>
      </c>
      <c r="D1219">
        <v>16</v>
      </c>
      <c r="E1219" t="str">
        <f>VLOOKUP(D1219,'Cadatro Clientes'!A:O,2,2)</f>
        <v>Norte Suco</v>
      </c>
      <c r="F1219" t="str">
        <f>VLOOKUP(D1219,'Cadatro Clientes'!A:O,9,2)</f>
        <v>Nordeste</v>
      </c>
      <c r="G1219" s="15">
        <v>42092</v>
      </c>
      <c r="H1219">
        <f t="shared" ref="H1219:H1282" si="96">WEEKDAY(G1219)</f>
        <v>1</v>
      </c>
      <c r="I1219">
        <f t="shared" ref="I1219:I1282" si="97">DAY(G1219)</f>
        <v>29</v>
      </c>
      <c r="J1219">
        <f t="shared" ref="J1219:J1282" si="98">MONTH(G1219)</f>
        <v>3</v>
      </c>
      <c r="K1219">
        <f t="shared" ref="K1219:K1282" si="99">YEAR(G1219)</f>
        <v>2015</v>
      </c>
      <c r="M1219">
        <v>15</v>
      </c>
      <c r="N1219" t="str">
        <f>VLOOKUP(M1219,'Cadastro Vendedores'!A:H,2,2)</f>
        <v>Luis</v>
      </c>
      <c r="O1219" s="2"/>
      <c r="P1219" s="16">
        <v>4700</v>
      </c>
      <c r="Q1219" s="2">
        <f>VLOOKUP(B1219,'Cadastro Produtos'!A:F,5,2)</f>
        <v>12</v>
      </c>
      <c r="R1219" s="14">
        <f t="shared" si="95"/>
        <v>56400</v>
      </c>
    </row>
    <row r="1220" spans="1:18" x14ac:dyDescent="0.25">
      <c r="A1220">
        <v>1219</v>
      </c>
      <c r="B1220">
        <v>2</v>
      </c>
      <c r="C1220" t="str">
        <f>VLOOKUP(B1220,'Cadastro Produtos'!A:E,2,2)</f>
        <v>Limonada Beta com Açúcar 500 ml</v>
      </c>
      <c r="D1220">
        <v>20</v>
      </c>
      <c r="E1220" t="str">
        <f>VLOOKUP(D1220,'Cadatro Clientes'!A:O,2,2)</f>
        <v>Brasil Saúde</v>
      </c>
      <c r="F1220" t="str">
        <f>VLOOKUP(D1220,'Cadatro Clientes'!A:O,9,2)</f>
        <v>Nordeste</v>
      </c>
      <c r="G1220" s="15">
        <v>42092</v>
      </c>
      <c r="H1220">
        <f t="shared" si="96"/>
        <v>1</v>
      </c>
      <c r="I1220">
        <f t="shared" si="97"/>
        <v>29</v>
      </c>
      <c r="J1220">
        <f t="shared" si="98"/>
        <v>3</v>
      </c>
      <c r="K1220">
        <f t="shared" si="99"/>
        <v>2015</v>
      </c>
      <c r="M1220">
        <v>13</v>
      </c>
      <c r="N1220" t="str">
        <f>VLOOKUP(M1220,'Cadastro Vendedores'!A:H,2,2)</f>
        <v>Andre</v>
      </c>
      <c r="O1220" s="2"/>
      <c r="P1220" s="16">
        <v>7100</v>
      </c>
      <c r="Q1220" s="2">
        <f>VLOOKUP(B1220,'Cadastro Produtos'!A:F,5,2)</f>
        <v>6.5</v>
      </c>
      <c r="R1220" s="14">
        <f t="shared" si="95"/>
        <v>46150</v>
      </c>
    </row>
    <row r="1221" spans="1:18" x14ac:dyDescent="0.25">
      <c r="A1221">
        <v>1220</v>
      </c>
      <c r="B1221">
        <v>5</v>
      </c>
      <c r="C1221" t="str">
        <f>VLOOKUP(B1221,'Cadastro Produtos'!A:E,2,2)</f>
        <v>Limonada Alfa com Açúcar 1 L</v>
      </c>
      <c r="D1221">
        <v>3</v>
      </c>
      <c r="E1221" t="str">
        <f>VLOOKUP(D1221,'Cadatro Clientes'!A:O,2,2)</f>
        <v>Limonada Suíça Ltda</v>
      </c>
      <c r="F1221" t="str">
        <f>VLOOKUP(D1221,'Cadatro Clientes'!A:O,9,2)</f>
        <v>Nordeste</v>
      </c>
      <c r="G1221" s="15">
        <v>42093</v>
      </c>
      <c r="H1221">
        <f t="shared" si="96"/>
        <v>2</v>
      </c>
      <c r="I1221">
        <f t="shared" si="97"/>
        <v>30</v>
      </c>
      <c r="J1221">
        <f t="shared" si="98"/>
        <v>3</v>
      </c>
      <c r="K1221">
        <f t="shared" si="99"/>
        <v>2015</v>
      </c>
      <c r="M1221">
        <v>13</v>
      </c>
      <c r="N1221" t="str">
        <f>VLOOKUP(M1221,'Cadastro Vendedores'!A:H,2,2)</f>
        <v>Andre</v>
      </c>
      <c r="O1221" s="2"/>
      <c r="P1221" s="16">
        <v>3200</v>
      </c>
      <c r="Q1221" s="2">
        <f>VLOOKUP(B1221,'Cadastro Produtos'!A:F,5,2)</f>
        <v>15</v>
      </c>
      <c r="R1221" s="14">
        <f t="shared" si="95"/>
        <v>48000</v>
      </c>
    </row>
    <row r="1222" spans="1:18" x14ac:dyDescent="0.25">
      <c r="A1222">
        <v>1221</v>
      </c>
      <c r="B1222">
        <v>5</v>
      </c>
      <c r="C1222" t="str">
        <f>VLOOKUP(B1222,'Cadastro Produtos'!A:E,2,2)</f>
        <v>Limonada Alfa com Açúcar 1 L</v>
      </c>
      <c r="D1222">
        <v>9</v>
      </c>
      <c r="E1222" t="str">
        <f>VLOOKUP(D1222,'Cadatro Clientes'!A:O,2,2)</f>
        <v>Fresh Lemon</v>
      </c>
      <c r="F1222" t="str">
        <f>VLOOKUP(D1222,'Cadatro Clientes'!A:O,9,2)</f>
        <v>Sudeste</v>
      </c>
      <c r="G1222" s="15">
        <v>42093</v>
      </c>
      <c r="H1222">
        <f t="shared" si="96"/>
        <v>2</v>
      </c>
      <c r="I1222">
        <f t="shared" si="97"/>
        <v>30</v>
      </c>
      <c r="J1222">
        <f t="shared" si="98"/>
        <v>3</v>
      </c>
      <c r="K1222">
        <f t="shared" si="99"/>
        <v>2015</v>
      </c>
      <c r="M1222">
        <v>16</v>
      </c>
      <c r="N1222" t="str">
        <f>VLOOKUP(M1222,'Cadastro Vendedores'!A:H,2,2)</f>
        <v>Jose</v>
      </c>
      <c r="O1222" s="2"/>
      <c r="P1222" s="16">
        <v>3200</v>
      </c>
      <c r="Q1222" s="2">
        <f>VLOOKUP(B1222,'Cadastro Produtos'!A:F,5,2)</f>
        <v>15</v>
      </c>
      <c r="R1222" s="14">
        <f t="shared" si="95"/>
        <v>48000</v>
      </c>
    </row>
    <row r="1223" spans="1:18" x14ac:dyDescent="0.25">
      <c r="A1223">
        <v>1222</v>
      </c>
      <c r="B1223">
        <v>5</v>
      </c>
      <c r="C1223" t="str">
        <f>VLOOKUP(B1223,'Cadastro Produtos'!A:E,2,2)</f>
        <v>Limonada Alfa com Açúcar 1 L</v>
      </c>
      <c r="D1223">
        <v>4</v>
      </c>
      <c r="E1223" t="str">
        <f>VLOOKUP(D1223,'Cadatro Clientes'!A:O,2,2)</f>
        <v>Limão Carioca e Cia</v>
      </c>
      <c r="F1223" t="str">
        <f>VLOOKUP(D1223,'Cadatro Clientes'!A:O,9,2)</f>
        <v>Sudeste</v>
      </c>
      <c r="G1223" s="15">
        <v>42093</v>
      </c>
      <c r="H1223">
        <f t="shared" si="96"/>
        <v>2</v>
      </c>
      <c r="I1223">
        <f t="shared" si="97"/>
        <v>30</v>
      </c>
      <c r="J1223">
        <f t="shared" si="98"/>
        <v>3</v>
      </c>
      <c r="K1223">
        <f t="shared" si="99"/>
        <v>2015</v>
      </c>
      <c r="M1223">
        <v>16</v>
      </c>
      <c r="N1223" t="str">
        <f>VLOOKUP(M1223,'Cadastro Vendedores'!A:H,2,2)</f>
        <v>Jose</v>
      </c>
      <c r="O1223" s="2"/>
      <c r="P1223" s="16">
        <v>3400</v>
      </c>
      <c r="Q1223" s="2">
        <f>VLOOKUP(B1223,'Cadastro Produtos'!A:F,5,2)</f>
        <v>15</v>
      </c>
      <c r="R1223" s="14">
        <f t="shared" si="95"/>
        <v>51000</v>
      </c>
    </row>
    <row r="1224" spans="1:18" x14ac:dyDescent="0.25">
      <c r="A1224">
        <v>1223</v>
      </c>
      <c r="B1224">
        <v>7</v>
      </c>
      <c r="C1224" t="str">
        <f>VLOOKUP(B1224,'Cadastro Produtos'!A:E,2,2)</f>
        <v>Limonada Alfa Zero 1 L</v>
      </c>
      <c r="D1224">
        <v>11</v>
      </c>
      <c r="E1224" t="str">
        <f>VLOOKUP(D1224,'Cadatro Clientes'!A:O,2,2)</f>
        <v>Red Lemon</v>
      </c>
      <c r="F1224" t="str">
        <f>VLOOKUP(D1224,'Cadatro Clientes'!A:O,9,2)</f>
        <v>Sul</v>
      </c>
      <c r="G1224" s="15">
        <v>42093</v>
      </c>
      <c r="H1224">
        <f t="shared" si="96"/>
        <v>2</v>
      </c>
      <c r="I1224">
        <f t="shared" si="97"/>
        <v>30</v>
      </c>
      <c r="J1224">
        <f t="shared" si="98"/>
        <v>3</v>
      </c>
      <c r="K1224">
        <f t="shared" si="99"/>
        <v>2015</v>
      </c>
      <c r="M1224">
        <v>8</v>
      </c>
      <c r="N1224" t="str">
        <f>VLOOKUP(M1224,'Cadastro Vendedores'!A:H,2,2)</f>
        <v>Sérgio</v>
      </c>
      <c r="O1224" s="2"/>
      <c r="P1224" s="16">
        <v>4200</v>
      </c>
      <c r="Q1224" s="2">
        <f>VLOOKUP(B1224,'Cadastro Produtos'!A:F,5,2)</f>
        <v>15</v>
      </c>
      <c r="R1224" s="14">
        <f t="shared" si="95"/>
        <v>63000</v>
      </c>
    </row>
    <row r="1225" spans="1:18" x14ac:dyDescent="0.25">
      <c r="A1225">
        <v>1224</v>
      </c>
      <c r="B1225">
        <v>1</v>
      </c>
      <c r="C1225" t="str">
        <f>VLOOKUP(B1225,'Cadastro Produtos'!A:E,2,2)</f>
        <v>Limonada Alfa com Açúcar 500 ml</v>
      </c>
      <c r="D1225">
        <v>8</v>
      </c>
      <c r="E1225" t="str">
        <f>VLOOKUP(D1225,'Cadatro Clientes'!A:O,2,2)</f>
        <v>Refresko</v>
      </c>
      <c r="F1225" t="str">
        <f>VLOOKUP(D1225,'Cadatro Clientes'!A:O,9,2)</f>
        <v>Sul</v>
      </c>
      <c r="G1225" s="15">
        <v>42094</v>
      </c>
      <c r="H1225">
        <f t="shared" si="96"/>
        <v>3</v>
      </c>
      <c r="I1225">
        <f t="shared" si="97"/>
        <v>31</v>
      </c>
      <c r="J1225">
        <f t="shared" si="98"/>
        <v>3</v>
      </c>
      <c r="K1225">
        <f t="shared" si="99"/>
        <v>2015</v>
      </c>
      <c r="M1225">
        <v>3</v>
      </c>
      <c r="N1225" t="str">
        <f>VLOOKUP(M1225,'Cadastro Vendedores'!A:H,2,2)</f>
        <v>Antônia</v>
      </c>
      <c r="O1225" s="2"/>
      <c r="P1225" s="16">
        <v>5100</v>
      </c>
      <c r="Q1225" s="2">
        <f>VLOOKUP(B1225,'Cadastro Produtos'!A:F,5,2)</f>
        <v>8.5</v>
      </c>
      <c r="R1225" s="14">
        <f t="shared" si="95"/>
        <v>43350</v>
      </c>
    </row>
    <row r="1226" spans="1:18" x14ac:dyDescent="0.25">
      <c r="A1226">
        <v>1225</v>
      </c>
      <c r="B1226">
        <v>3</v>
      </c>
      <c r="C1226" t="str">
        <f>VLOOKUP(B1226,'Cadastro Produtos'!A:E,2,2)</f>
        <v>Limonada Alfa Zero 500 ml</v>
      </c>
      <c r="D1226">
        <v>6</v>
      </c>
      <c r="E1226" t="str">
        <f>VLOOKUP(D1226,'Cadatro Clientes'!A:O,2,2)</f>
        <v>Lemonade</v>
      </c>
      <c r="F1226" t="str">
        <f>VLOOKUP(D1226,'Cadatro Clientes'!A:O,9,2)</f>
        <v>Norte</v>
      </c>
      <c r="G1226" s="15">
        <v>42094</v>
      </c>
      <c r="H1226">
        <f t="shared" si="96"/>
        <v>3</v>
      </c>
      <c r="I1226">
        <f t="shared" si="97"/>
        <v>31</v>
      </c>
      <c r="J1226">
        <f t="shared" si="98"/>
        <v>3</v>
      </c>
      <c r="K1226">
        <f t="shared" si="99"/>
        <v>2015</v>
      </c>
      <c r="M1226">
        <v>8</v>
      </c>
      <c r="N1226" t="str">
        <f>VLOOKUP(M1226,'Cadastro Vendedores'!A:H,2,2)</f>
        <v>Sérgio</v>
      </c>
      <c r="O1226" s="2"/>
      <c r="P1226" s="16">
        <v>3300</v>
      </c>
      <c r="Q1226" s="2">
        <f>VLOOKUP(B1226,'Cadastro Produtos'!A:F,5,2)</f>
        <v>9</v>
      </c>
      <c r="R1226" s="14">
        <f t="shared" si="95"/>
        <v>29700</v>
      </c>
    </row>
    <row r="1227" spans="1:18" x14ac:dyDescent="0.25">
      <c r="A1227">
        <v>1226</v>
      </c>
      <c r="B1227">
        <v>1</v>
      </c>
      <c r="C1227" t="str">
        <f>VLOOKUP(B1227,'Cadastro Produtos'!A:E,2,2)</f>
        <v>Limonada Alfa com Açúcar 500 ml</v>
      </c>
      <c r="D1227">
        <v>9</v>
      </c>
      <c r="E1227" t="str">
        <f>VLOOKUP(D1227,'Cadatro Clientes'!A:O,2,2)</f>
        <v>Fresh Lemon</v>
      </c>
      <c r="F1227" t="str">
        <f>VLOOKUP(D1227,'Cadatro Clientes'!A:O,9,2)</f>
        <v>Sudeste</v>
      </c>
      <c r="G1227" s="15">
        <v>42094</v>
      </c>
      <c r="H1227">
        <f t="shared" si="96"/>
        <v>3</v>
      </c>
      <c r="I1227">
        <f t="shared" si="97"/>
        <v>31</v>
      </c>
      <c r="J1227">
        <f t="shared" si="98"/>
        <v>3</v>
      </c>
      <c r="K1227">
        <f t="shared" si="99"/>
        <v>2015</v>
      </c>
      <c r="M1227">
        <v>7</v>
      </c>
      <c r="N1227" t="str">
        <f>VLOOKUP(M1227,'Cadastro Vendedores'!A:H,2,2)</f>
        <v>Benedito</v>
      </c>
      <c r="O1227" s="2"/>
      <c r="P1227" s="16">
        <v>5200</v>
      </c>
      <c r="Q1227" s="2">
        <f>VLOOKUP(B1227,'Cadastro Produtos'!A:F,5,2)</f>
        <v>8.5</v>
      </c>
      <c r="R1227" s="14">
        <f t="shared" si="95"/>
        <v>44200</v>
      </c>
    </row>
    <row r="1228" spans="1:18" x14ac:dyDescent="0.25">
      <c r="A1228">
        <v>1227</v>
      </c>
      <c r="B1228">
        <v>3</v>
      </c>
      <c r="C1228" t="str">
        <f>VLOOKUP(B1228,'Cadastro Produtos'!A:E,2,2)</f>
        <v>Limonada Alfa Zero 500 ml</v>
      </c>
      <c r="D1228">
        <v>7</v>
      </c>
      <c r="E1228" t="str">
        <f>VLOOKUP(D1228,'Cadatro Clientes'!A:O,2,2)</f>
        <v>Limo</v>
      </c>
      <c r="F1228" t="str">
        <f>VLOOKUP(D1228,'Cadatro Clientes'!A:O,9,2)</f>
        <v>Centro-Oeste</v>
      </c>
      <c r="G1228" s="15">
        <v>42095</v>
      </c>
      <c r="H1228">
        <f t="shared" si="96"/>
        <v>4</v>
      </c>
      <c r="I1228">
        <f t="shared" si="97"/>
        <v>1</v>
      </c>
      <c r="J1228">
        <f t="shared" si="98"/>
        <v>4</v>
      </c>
      <c r="K1228">
        <f t="shared" si="99"/>
        <v>2015</v>
      </c>
      <c r="M1228">
        <v>15</v>
      </c>
      <c r="N1228" t="str">
        <f>VLOOKUP(M1228,'Cadastro Vendedores'!A:H,2,2)</f>
        <v>Luis</v>
      </c>
      <c r="O1228" s="2"/>
      <c r="P1228" s="16">
        <v>1700</v>
      </c>
      <c r="Q1228" s="2">
        <f>VLOOKUP(B1228,'Cadastro Produtos'!A:F,5,2)</f>
        <v>9</v>
      </c>
      <c r="R1228" s="14">
        <f t="shared" si="95"/>
        <v>15300</v>
      </c>
    </row>
    <row r="1229" spans="1:18" x14ac:dyDescent="0.25">
      <c r="A1229">
        <v>1228</v>
      </c>
      <c r="B1229">
        <v>7</v>
      </c>
      <c r="C1229" t="str">
        <f>VLOOKUP(B1229,'Cadastro Produtos'!A:E,2,2)</f>
        <v>Limonada Alfa Zero 1 L</v>
      </c>
      <c r="D1229">
        <v>19</v>
      </c>
      <c r="E1229" t="str">
        <f>VLOOKUP(D1229,'Cadatro Clientes'!A:O,2,2)</f>
        <v>Lima Limão</v>
      </c>
      <c r="F1229" t="str">
        <f>VLOOKUP(D1229,'Cadatro Clientes'!A:O,9,2)</f>
        <v>Sudeste</v>
      </c>
      <c r="G1229" s="15">
        <v>42095</v>
      </c>
      <c r="H1229">
        <f t="shared" si="96"/>
        <v>4</v>
      </c>
      <c r="I1229">
        <f t="shared" si="97"/>
        <v>1</v>
      </c>
      <c r="J1229">
        <f t="shared" si="98"/>
        <v>4</v>
      </c>
      <c r="K1229">
        <f t="shared" si="99"/>
        <v>2015</v>
      </c>
      <c r="M1229">
        <v>8</v>
      </c>
      <c r="N1229" t="str">
        <f>VLOOKUP(M1229,'Cadastro Vendedores'!A:H,2,2)</f>
        <v>Sérgio</v>
      </c>
      <c r="O1229" s="2"/>
      <c r="P1229" s="16">
        <v>1900</v>
      </c>
      <c r="Q1229" s="2">
        <f>VLOOKUP(B1229,'Cadastro Produtos'!A:F,5,2)</f>
        <v>15</v>
      </c>
      <c r="R1229" s="14">
        <f t="shared" si="95"/>
        <v>28500</v>
      </c>
    </row>
    <row r="1230" spans="1:18" x14ac:dyDescent="0.25">
      <c r="A1230">
        <v>1229</v>
      </c>
      <c r="B1230">
        <v>2</v>
      </c>
      <c r="C1230" t="str">
        <f>VLOOKUP(B1230,'Cadastro Produtos'!A:E,2,2)</f>
        <v>Limonada Beta com Açúcar 500 ml</v>
      </c>
      <c r="D1230">
        <v>6</v>
      </c>
      <c r="E1230" t="str">
        <f>VLOOKUP(D1230,'Cadatro Clientes'!A:O,2,2)</f>
        <v>Lemonade</v>
      </c>
      <c r="F1230" t="str">
        <f>VLOOKUP(D1230,'Cadatro Clientes'!A:O,9,2)</f>
        <v>Norte</v>
      </c>
      <c r="G1230" s="15">
        <v>42095</v>
      </c>
      <c r="H1230">
        <f t="shared" si="96"/>
        <v>4</v>
      </c>
      <c r="I1230">
        <f t="shared" si="97"/>
        <v>1</v>
      </c>
      <c r="J1230">
        <f t="shared" si="98"/>
        <v>4</v>
      </c>
      <c r="K1230">
        <f t="shared" si="99"/>
        <v>2015</v>
      </c>
      <c r="M1230">
        <v>2</v>
      </c>
      <c r="N1230" t="str">
        <f>VLOOKUP(M1230,'Cadastro Vendedores'!A:H,2,2)</f>
        <v>Luis</v>
      </c>
      <c r="O1230" s="2"/>
      <c r="P1230" s="16">
        <v>6500</v>
      </c>
      <c r="Q1230" s="2">
        <f>VLOOKUP(B1230,'Cadastro Produtos'!A:F,5,2)</f>
        <v>6.5</v>
      </c>
      <c r="R1230" s="14">
        <f t="shared" si="95"/>
        <v>42250</v>
      </c>
    </row>
    <row r="1231" spans="1:18" x14ac:dyDescent="0.25">
      <c r="A1231">
        <v>1230</v>
      </c>
      <c r="B1231">
        <v>5</v>
      </c>
      <c r="C1231" t="str">
        <f>VLOOKUP(B1231,'Cadastro Produtos'!A:E,2,2)</f>
        <v>Limonada Alfa com Açúcar 1 L</v>
      </c>
      <c r="D1231">
        <v>18</v>
      </c>
      <c r="E1231" t="str">
        <f>VLOOKUP(D1231,'Cadatro Clientes'!A:O,2,2)</f>
        <v>Rio Branco Limonada Ltda</v>
      </c>
      <c r="F1231" t="str">
        <f>VLOOKUP(D1231,'Cadatro Clientes'!A:O,9,2)</f>
        <v>Norte</v>
      </c>
      <c r="G1231" s="15">
        <v>42096</v>
      </c>
      <c r="H1231">
        <f t="shared" si="96"/>
        <v>5</v>
      </c>
      <c r="I1231">
        <f t="shared" si="97"/>
        <v>2</v>
      </c>
      <c r="J1231">
        <f t="shared" si="98"/>
        <v>4</v>
      </c>
      <c r="K1231">
        <f t="shared" si="99"/>
        <v>2015</v>
      </c>
      <c r="M1231">
        <v>9</v>
      </c>
      <c r="N1231" t="str">
        <f>VLOOKUP(M1231,'Cadastro Vendedores'!A:H,2,2)</f>
        <v>Adriana</v>
      </c>
      <c r="O1231" s="2"/>
      <c r="P1231" s="16">
        <v>2400</v>
      </c>
      <c r="Q1231" s="2">
        <f>VLOOKUP(B1231,'Cadastro Produtos'!A:F,5,2)</f>
        <v>15</v>
      </c>
      <c r="R1231" s="14">
        <f t="shared" si="95"/>
        <v>36000</v>
      </c>
    </row>
    <row r="1232" spans="1:18" x14ac:dyDescent="0.25">
      <c r="A1232">
        <v>1231</v>
      </c>
      <c r="B1232">
        <v>7</v>
      </c>
      <c r="C1232" t="str">
        <f>VLOOKUP(B1232,'Cadastro Produtos'!A:E,2,2)</f>
        <v>Limonada Alfa Zero 1 L</v>
      </c>
      <c r="D1232">
        <v>8</v>
      </c>
      <c r="E1232" t="str">
        <f>VLOOKUP(D1232,'Cadatro Clientes'!A:O,2,2)</f>
        <v>Refresko</v>
      </c>
      <c r="F1232" t="str">
        <f>VLOOKUP(D1232,'Cadatro Clientes'!A:O,9,2)</f>
        <v>Sul</v>
      </c>
      <c r="G1232" s="15">
        <v>42097</v>
      </c>
      <c r="H1232">
        <f t="shared" si="96"/>
        <v>6</v>
      </c>
      <c r="I1232">
        <f t="shared" si="97"/>
        <v>3</v>
      </c>
      <c r="J1232">
        <f t="shared" si="98"/>
        <v>4</v>
      </c>
      <c r="K1232">
        <f t="shared" si="99"/>
        <v>2015</v>
      </c>
      <c r="M1232">
        <v>9</v>
      </c>
      <c r="N1232" t="str">
        <f>VLOOKUP(M1232,'Cadastro Vendedores'!A:H,2,2)</f>
        <v>Adriana</v>
      </c>
      <c r="O1232" s="2"/>
      <c r="P1232" s="16">
        <v>2300</v>
      </c>
      <c r="Q1232" s="2">
        <f>VLOOKUP(B1232,'Cadastro Produtos'!A:F,5,2)</f>
        <v>15</v>
      </c>
      <c r="R1232" s="14">
        <f t="shared" si="95"/>
        <v>34500</v>
      </c>
    </row>
    <row r="1233" spans="1:18" x14ac:dyDescent="0.25">
      <c r="A1233">
        <v>1232</v>
      </c>
      <c r="B1233">
        <v>3</v>
      </c>
      <c r="C1233" t="str">
        <f>VLOOKUP(B1233,'Cadastro Produtos'!A:E,2,2)</f>
        <v>Limonada Alfa Zero 500 ml</v>
      </c>
      <c r="D1233">
        <v>14</v>
      </c>
      <c r="E1233" t="str">
        <f>VLOOKUP(D1233,'Cadatro Clientes'!A:O,2,2)</f>
        <v>Sprite</v>
      </c>
      <c r="F1233" t="str">
        <f>VLOOKUP(D1233,'Cadatro Clientes'!A:O,9,2)</f>
        <v>Norte</v>
      </c>
      <c r="G1233" s="15">
        <v>42097</v>
      </c>
      <c r="H1233">
        <f t="shared" si="96"/>
        <v>6</v>
      </c>
      <c r="I1233">
        <f t="shared" si="97"/>
        <v>3</v>
      </c>
      <c r="J1233">
        <f t="shared" si="98"/>
        <v>4</v>
      </c>
      <c r="K1233">
        <f t="shared" si="99"/>
        <v>2015</v>
      </c>
      <c r="M1233">
        <v>2</v>
      </c>
      <c r="N1233" t="str">
        <f>VLOOKUP(M1233,'Cadastro Vendedores'!A:H,2,2)</f>
        <v>Luis</v>
      </c>
      <c r="O1233" s="2"/>
      <c r="P1233" s="16">
        <v>3500</v>
      </c>
      <c r="Q1233" s="2">
        <f>VLOOKUP(B1233,'Cadastro Produtos'!A:F,5,2)</f>
        <v>9</v>
      </c>
      <c r="R1233" s="14">
        <f t="shared" si="95"/>
        <v>31500</v>
      </c>
    </row>
    <row r="1234" spans="1:18" x14ac:dyDescent="0.25">
      <c r="A1234">
        <v>1233</v>
      </c>
      <c r="B1234">
        <v>8</v>
      </c>
      <c r="C1234" t="str">
        <f>VLOOKUP(B1234,'Cadastro Produtos'!A:E,2,2)</f>
        <v>Limonada Beta Zero 1 L</v>
      </c>
      <c r="D1234">
        <v>1</v>
      </c>
      <c r="E1234" t="str">
        <f>VLOOKUP(D1234,'Cadatro Clientes'!A:O,2,2)</f>
        <v>Meu Suco de Limão</v>
      </c>
      <c r="F1234" t="str">
        <f>VLOOKUP(D1234,'Cadatro Clientes'!A:O,9,2)</f>
        <v>Norte</v>
      </c>
      <c r="G1234" s="15">
        <v>42098</v>
      </c>
      <c r="H1234">
        <f t="shared" si="96"/>
        <v>7</v>
      </c>
      <c r="I1234">
        <f t="shared" si="97"/>
        <v>4</v>
      </c>
      <c r="J1234">
        <f t="shared" si="98"/>
        <v>4</v>
      </c>
      <c r="K1234">
        <f t="shared" si="99"/>
        <v>2015</v>
      </c>
      <c r="M1234">
        <v>7</v>
      </c>
      <c r="N1234" t="str">
        <f>VLOOKUP(M1234,'Cadastro Vendedores'!A:H,2,2)</f>
        <v>Benedito</v>
      </c>
      <c r="O1234" s="2"/>
      <c r="P1234" s="16">
        <v>1600</v>
      </c>
      <c r="Q1234" s="2">
        <f>VLOOKUP(B1234,'Cadastro Produtos'!A:F,5,2)</f>
        <v>12</v>
      </c>
      <c r="R1234" s="14">
        <f t="shared" si="95"/>
        <v>19200</v>
      </c>
    </row>
    <row r="1235" spans="1:18" x14ac:dyDescent="0.25">
      <c r="A1235">
        <v>1234</v>
      </c>
      <c r="B1235">
        <v>10</v>
      </c>
      <c r="C1235" t="str">
        <f>VLOOKUP(B1235,'Cadastro Produtos'!A:E,2,2)</f>
        <v>Limonada Alfa com Hortelã Zero 1 L</v>
      </c>
      <c r="D1235">
        <v>13</v>
      </c>
      <c r="E1235" t="str">
        <f>VLOOKUP(D1235,'Cadatro Clientes'!A:O,2,2)</f>
        <v>Monster Lemon</v>
      </c>
      <c r="F1235" t="str">
        <f>VLOOKUP(D1235,'Cadatro Clientes'!A:O,9,2)</f>
        <v>Nordeste</v>
      </c>
      <c r="G1235" s="15">
        <v>42098</v>
      </c>
      <c r="H1235">
        <f t="shared" si="96"/>
        <v>7</v>
      </c>
      <c r="I1235">
        <f t="shared" si="97"/>
        <v>4</v>
      </c>
      <c r="J1235">
        <f t="shared" si="98"/>
        <v>4</v>
      </c>
      <c r="K1235">
        <f t="shared" si="99"/>
        <v>2015</v>
      </c>
      <c r="M1235">
        <v>2</v>
      </c>
      <c r="N1235" t="str">
        <f>VLOOKUP(M1235,'Cadastro Vendedores'!A:H,2,2)</f>
        <v>Luis</v>
      </c>
      <c r="O1235" s="2"/>
      <c r="P1235" s="16">
        <v>2300</v>
      </c>
      <c r="Q1235" s="2">
        <f>VLOOKUP(B1235,'Cadastro Produtos'!A:F,5,2)</f>
        <v>21</v>
      </c>
      <c r="R1235" s="14">
        <f t="shared" si="95"/>
        <v>48300</v>
      </c>
    </row>
    <row r="1236" spans="1:18" x14ac:dyDescent="0.25">
      <c r="A1236">
        <v>1235</v>
      </c>
      <c r="B1236">
        <v>8</v>
      </c>
      <c r="C1236" t="str">
        <f>VLOOKUP(B1236,'Cadastro Produtos'!A:E,2,2)</f>
        <v>Limonada Beta Zero 1 L</v>
      </c>
      <c r="D1236">
        <v>20</v>
      </c>
      <c r="E1236" t="str">
        <f>VLOOKUP(D1236,'Cadatro Clientes'!A:O,2,2)</f>
        <v>Brasil Saúde</v>
      </c>
      <c r="F1236" t="str">
        <f>VLOOKUP(D1236,'Cadatro Clientes'!A:O,9,2)</f>
        <v>Nordeste</v>
      </c>
      <c r="G1236" s="15">
        <v>42098</v>
      </c>
      <c r="H1236">
        <f t="shared" si="96"/>
        <v>7</v>
      </c>
      <c r="I1236">
        <f t="shared" si="97"/>
        <v>4</v>
      </c>
      <c r="J1236">
        <f t="shared" si="98"/>
        <v>4</v>
      </c>
      <c r="K1236">
        <f t="shared" si="99"/>
        <v>2015</v>
      </c>
      <c r="M1236">
        <v>15</v>
      </c>
      <c r="N1236" t="str">
        <f>VLOOKUP(M1236,'Cadastro Vendedores'!A:H,2,2)</f>
        <v>Luis</v>
      </c>
      <c r="O1236" s="2"/>
      <c r="P1236" s="16">
        <v>800</v>
      </c>
      <c r="Q1236" s="2">
        <f>VLOOKUP(B1236,'Cadastro Produtos'!A:F,5,2)</f>
        <v>12</v>
      </c>
      <c r="R1236" s="14">
        <f t="shared" si="95"/>
        <v>9600</v>
      </c>
    </row>
    <row r="1237" spans="1:18" x14ac:dyDescent="0.25">
      <c r="A1237">
        <v>1236</v>
      </c>
      <c r="B1237">
        <v>5</v>
      </c>
      <c r="C1237" t="str">
        <f>VLOOKUP(B1237,'Cadastro Produtos'!A:E,2,2)</f>
        <v>Limonada Alfa com Açúcar 1 L</v>
      </c>
      <c r="D1237">
        <v>3</v>
      </c>
      <c r="E1237" t="str">
        <f>VLOOKUP(D1237,'Cadatro Clientes'!A:O,2,2)</f>
        <v>Limonada Suíça Ltda</v>
      </c>
      <c r="F1237" t="str">
        <f>VLOOKUP(D1237,'Cadatro Clientes'!A:O,9,2)</f>
        <v>Nordeste</v>
      </c>
      <c r="G1237" s="15">
        <v>42099</v>
      </c>
      <c r="H1237">
        <f t="shared" si="96"/>
        <v>1</v>
      </c>
      <c r="I1237">
        <f t="shared" si="97"/>
        <v>5</v>
      </c>
      <c r="J1237">
        <f t="shared" si="98"/>
        <v>4</v>
      </c>
      <c r="K1237">
        <f t="shared" si="99"/>
        <v>2015</v>
      </c>
      <c r="M1237">
        <v>7</v>
      </c>
      <c r="N1237" t="str">
        <f>VLOOKUP(M1237,'Cadastro Vendedores'!A:H,2,2)</f>
        <v>Benedito</v>
      </c>
      <c r="O1237" s="2"/>
      <c r="P1237" s="16">
        <v>1100</v>
      </c>
      <c r="Q1237" s="2">
        <f>VLOOKUP(B1237,'Cadastro Produtos'!A:F,5,2)</f>
        <v>15</v>
      </c>
      <c r="R1237" s="14">
        <f t="shared" si="95"/>
        <v>16500</v>
      </c>
    </row>
    <row r="1238" spans="1:18" x14ac:dyDescent="0.25">
      <c r="A1238">
        <v>1237</v>
      </c>
      <c r="B1238">
        <v>5</v>
      </c>
      <c r="C1238" t="str">
        <f>VLOOKUP(B1238,'Cadastro Produtos'!A:E,2,2)</f>
        <v>Limonada Alfa com Açúcar 1 L</v>
      </c>
      <c r="D1238">
        <v>8</v>
      </c>
      <c r="E1238" t="str">
        <f>VLOOKUP(D1238,'Cadatro Clientes'!A:O,2,2)</f>
        <v>Refresko</v>
      </c>
      <c r="F1238" t="str">
        <f>VLOOKUP(D1238,'Cadatro Clientes'!A:O,9,2)</f>
        <v>Sul</v>
      </c>
      <c r="G1238" s="15">
        <v>42099</v>
      </c>
      <c r="H1238">
        <f t="shared" si="96"/>
        <v>1</v>
      </c>
      <c r="I1238">
        <f t="shared" si="97"/>
        <v>5</v>
      </c>
      <c r="J1238">
        <f t="shared" si="98"/>
        <v>4</v>
      </c>
      <c r="K1238">
        <f t="shared" si="99"/>
        <v>2015</v>
      </c>
      <c r="M1238">
        <v>2</v>
      </c>
      <c r="N1238" t="str">
        <f>VLOOKUP(M1238,'Cadastro Vendedores'!A:H,2,2)</f>
        <v>Luis</v>
      </c>
      <c r="O1238" s="2"/>
      <c r="P1238" s="16">
        <v>1500</v>
      </c>
      <c r="Q1238" s="2">
        <f>VLOOKUP(B1238,'Cadastro Produtos'!A:F,5,2)</f>
        <v>15</v>
      </c>
      <c r="R1238" s="14">
        <f t="shared" si="95"/>
        <v>22500</v>
      </c>
    </row>
    <row r="1239" spans="1:18" x14ac:dyDescent="0.25">
      <c r="A1239">
        <v>1238</v>
      </c>
      <c r="B1239">
        <v>1</v>
      </c>
      <c r="C1239" t="str">
        <f>VLOOKUP(B1239,'Cadastro Produtos'!A:E,2,2)</f>
        <v>Limonada Alfa com Açúcar 500 ml</v>
      </c>
      <c r="D1239">
        <v>4</v>
      </c>
      <c r="E1239" t="str">
        <f>VLOOKUP(D1239,'Cadatro Clientes'!A:O,2,2)</f>
        <v>Limão Carioca e Cia</v>
      </c>
      <c r="F1239" t="str">
        <f>VLOOKUP(D1239,'Cadatro Clientes'!A:O,9,2)</f>
        <v>Sudeste</v>
      </c>
      <c r="G1239" s="15">
        <v>42100</v>
      </c>
      <c r="H1239">
        <f t="shared" si="96"/>
        <v>2</v>
      </c>
      <c r="I1239">
        <f t="shared" si="97"/>
        <v>6</v>
      </c>
      <c r="J1239">
        <f t="shared" si="98"/>
        <v>4</v>
      </c>
      <c r="K1239">
        <f t="shared" si="99"/>
        <v>2015</v>
      </c>
      <c r="M1239">
        <v>16</v>
      </c>
      <c r="N1239" t="str">
        <f>VLOOKUP(M1239,'Cadastro Vendedores'!A:H,2,2)</f>
        <v>Jose</v>
      </c>
      <c r="O1239" s="2"/>
      <c r="P1239" s="16">
        <v>5600</v>
      </c>
      <c r="Q1239" s="2">
        <f>VLOOKUP(B1239,'Cadastro Produtos'!A:F,5,2)</f>
        <v>8.5</v>
      </c>
      <c r="R1239" s="14">
        <f t="shared" si="95"/>
        <v>47600</v>
      </c>
    </row>
    <row r="1240" spans="1:18" x14ac:dyDescent="0.25">
      <c r="A1240">
        <v>1239</v>
      </c>
      <c r="B1240">
        <v>9</v>
      </c>
      <c r="C1240" t="str">
        <f>VLOOKUP(B1240,'Cadastro Produtos'!A:E,2,2)</f>
        <v>Limonada Alfa com Hortelã e Açúcar 1 L</v>
      </c>
      <c r="D1240">
        <v>13</v>
      </c>
      <c r="E1240" t="str">
        <f>VLOOKUP(D1240,'Cadatro Clientes'!A:O,2,2)</f>
        <v>Monster Lemon</v>
      </c>
      <c r="F1240" t="str">
        <f>VLOOKUP(D1240,'Cadatro Clientes'!A:O,9,2)</f>
        <v>Nordeste</v>
      </c>
      <c r="G1240" s="15">
        <v>42100</v>
      </c>
      <c r="H1240">
        <f t="shared" si="96"/>
        <v>2</v>
      </c>
      <c r="I1240">
        <f t="shared" si="97"/>
        <v>6</v>
      </c>
      <c r="J1240">
        <f t="shared" si="98"/>
        <v>4</v>
      </c>
      <c r="K1240">
        <f t="shared" si="99"/>
        <v>2015</v>
      </c>
      <c r="M1240">
        <v>6</v>
      </c>
      <c r="N1240" t="str">
        <f>VLOOKUP(M1240,'Cadastro Vendedores'!A:H,2,2)</f>
        <v>Antônia</v>
      </c>
      <c r="O1240" s="2"/>
      <c r="P1240" s="16">
        <v>900</v>
      </c>
      <c r="Q1240" s="2">
        <f>VLOOKUP(B1240,'Cadastro Produtos'!A:F,5,2)</f>
        <v>17.5</v>
      </c>
      <c r="R1240" s="14">
        <f t="shared" si="95"/>
        <v>15750</v>
      </c>
    </row>
    <row r="1241" spans="1:18" x14ac:dyDescent="0.25">
      <c r="A1241">
        <v>1240</v>
      </c>
      <c r="B1241">
        <v>7</v>
      </c>
      <c r="C1241" t="str">
        <f>VLOOKUP(B1241,'Cadastro Produtos'!A:E,2,2)</f>
        <v>Limonada Alfa Zero 1 L</v>
      </c>
      <c r="D1241">
        <v>2</v>
      </c>
      <c r="E1241" t="str">
        <f>VLOOKUP(D1241,'Cadatro Clientes'!A:O,2,2)</f>
        <v>Limão S/A</v>
      </c>
      <c r="F1241" t="str">
        <f>VLOOKUP(D1241,'Cadatro Clientes'!A:O,9,2)</f>
        <v>Centro-Oeste</v>
      </c>
      <c r="G1241" s="15">
        <v>42100</v>
      </c>
      <c r="H1241">
        <f t="shared" si="96"/>
        <v>2</v>
      </c>
      <c r="I1241">
        <f t="shared" si="97"/>
        <v>6</v>
      </c>
      <c r="J1241">
        <f t="shared" si="98"/>
        <v>4</v>
      </c>
      <c r="K1241">
        <f t="shared" si="99"/>
        <v>2015</v>
      </c>
      <c r="M1241">
        <v>9</v>
      </c>
      <c r="N1241" t="str">
        <f>VLOOKUP(M1241,'Cadastro Vendedores'!A:H,2,2)</f>
        <v>Adriana</v>
      </c>
      <c r="O1241" s="2"/>
      <c r="P1241" s="16">
        <v>700</v>
      </c>
      <c r="Q1241" s="2">
        <f>VLOOKUP(B1241,'Cadastro Produtos'!A:F,5,2)</f>
        <v>15</v>
      </c>
      <c r="R1241" s="14">
        <f t="shared" si="95"/>
        <v>10500</v>
      </c>
    </row>
    <row r="1242" spans="1:18" x14ac:dyDescent="0.25">
      <c r="A1242">
        <v>1241</v>
      </c>
      <c r="B1242">
        <v>4</v>
      </c>
      <c r="C1242" t="str">
        <f>VLOOKUP(B1242,'Cadastro Produtos'!A:E,2,2)</f>
        <v>Limonada Beta Zero 500 ml</v>
      </c>
      <c r="D1242">
        <v>7</v>
      </c>
      <c r="E1242" t="str">
        <f>VLOOKUP(D1242,'Cadatro Clientes'!A:O,2,2)</f>
        <v>Limo</v>
      </c>
      <c r="F1242" t="str">
        <f>VLOOKUP(D1242,'Cadatro Clientes'!A:O,9,2)</f>
        <v>Centro-Oeste</v>
      </c>
      <c r="G1242" s="15">
        <v>42101</v>
      </c>
      <c r="H1242">
        <f t="shared" si="96"/>
        <v>3</v>
      </c>
      <c r="I1242">
        <f t="shared" si="97"/>
        <v>7</v>
      </c>
      <c r="J1242">
        <f t="shared" si="98"/>
        <v>4</v>
      </c>
      <c r="K1242">
        <f t="shared" si="99"/>
        <v>2015</v>
      </c>
      <c r="M1242">
        <v>8</v>
      </c>
      <c r="N1242" t="str">
        <f>VLOOKUP(M1242,'Cadastro Vendedores'!A:H,2,2)</f>
        <v>Sérgio</v>
      </c>
      <c r="O1242" s="2"/>
      <c r="P1242" s="16">
        <v>2300</v>
      </c>
      <c r="Q1242" s="2">
        <f>VLOOKUP(B1242,'Cadastro Produtos'!A:F,5,2)</f>
        <v>7</v>
      </c>
      <c r="R1242" s="14">
        <f t="shared" si="95"/>
        <v>16100</v>
      </c>
    </row>
    <row r="1243" spans="1:18" x14ac:dyDescent="0.25">
      <c r="A1243">
        <v>1242</v>
      </c>
      <c r="B1243">
        <v>7</v>
      </c>
      <c r="C1243" t="str">
        <f>VLOOKUP(B1243,'Cadastro Produtos'!A:E,2,2)</f>
        <v>Limonada Alfa Zero 1 L</v>
      </c>
      <c r="D1243">
        <v>14</v>
      </c>
      <c r="E1243" t="str">
        <f>VLOOKUP(D1243,'Cadatro Clientes'!A:O,2,2)</f>
        <v>Sprite</v>
      </c>
      <c r="F1243" t="str">
        <f>VLOOKUP(D1243,'Cadatro Clientes'!A:O,9,2)</f>
        <v>Norte</v>
      </c>
      <c r="G1243" s="15">
        <v>42102</v>
      </c>
      <c r="H1243">
        <f t="shared" si="96"/>
        <v>4</v>
      </c>
      <c r="I1243">
        <f t="shared" si="97"/>
        <v>8</v>
      </c>
      <c r="J1243">
        <f t="shared" si="98"/>
        <v>4</v>
      </c>
      <c r="K1243">
        <f t="shared" si="99"/>
        <v>2015</v>
      </c>
      <c r="M1243">
        <v>6</v>
      </c>
      <c r="N1243" t="str">
        <f>VLOOKUP(M1243,'Cadastro Vendedores'!A:H,2,2)</f>
        <v>Antônia</v>
      </c>
      <c r="O1243" s="2"/>
      <c r="P1243" s="16">
        <v>1900</v>
      </c>
      <c r="Q1243" s="2">
        <f>VLOOKUP(B1243,'Cadastro Produtos'!A:F,5,2)</f>
        <v>15</v>
      </c>
      <c r="R1243" s="14">
        <f t="shared" si="95"/>
        <v>28500</v>
      </c>
    </row>
    <row r="1244" spans="1:18" x14ac:dyDescent="0.25">
      <c r="A1244">
        <v>1243</v>
      </c>
      <c r="B1244">
        <v>8</v>
      </c>
      <c r="C1244" t="str">
        <f>VLOOKUP(B1244,'Cadastro Produtos'!A:E,2,2)</f>
        <v>Limonada Beta Zero 1 L</v>
      </c>
      <c r="D1244">
        <v>4</v>
      </c>
      <c r="E1244" t="str">
        <f>VLOOKUP(D1244,'Cadatro Clientes'!A:O,2,2)</f>
        <v>Limão Carioca e Cia</v>
      </c>
      <c r="F1244" t="str">
        <f>VLOOKUP(D1244,'Cadatro Clientes'!A:O,9,2)</f>
        <v>Sudeste</v>
      </c>
      <c r="G1244" s="15">
        <v>42102</v>
      </c>
      <c r="H1244">
        <f t="shared" si="96"/>
        <v>4</v>
      </c>
      <c r="I1244">
        <f t="shared" si="97"/>
        <v>8</v>
      </c>
      <c r="J1244">
        <f t="shared" si="98"/>
        <v>4</v>
      </c>
      <c r="K1244">
        <f t="shared" si="99"/>
        <v>2015</v>
      </c>
      <c r="M1244">
        <v>15</v>
      </c>
      <c r="N1244" t="str">
        <f>VLOOKUP(M1244,'Cadastro Vendedores'!A:H,2,2)</f>
        <v>Luis</v>
      </c>
      <c r="O1244" s="2"/>
      <c r="P1244" s="16">
        <v>2800</v>
      </c>
      <c r="Q1244" s="2">
        <f>VLOOKUP(B1244,'Cadastro Produtos'!A:F,5,2)</f>
        <v>12</v>
      </c>
      <c r="R1244" s="14">
        <f t="shared" si="95"/>
        <v>33600</v>
      </c>
    </row>
    <row r="1245" spans="1:18" x14ac:dyDescent="0.25">
      <c r="A1245">
        <v>1244</v>
      </c>
      <c r="B1245">
        <v>6</v>
      </c>
      <c r="C1245" t="str">
        <f>VLOOKUP(B1245,'Cadastro Produtos'!A:E,2,2)</f>
        <v>Limonada Beta com Açúcar 1 L</v>
      </c>
      <c r="D1245">
        <v>13</v>
      </c>
      <c r="E1245" t="str">
        <f>VLOOKUP(D1245,'Cadatro Clientes'!A:O,2,2)</f>
        <v>Monster Lemon</v>
      </c>
      <c r="F1245" t="str">
        <f>VLOOKUP(D1245,'Cadatro Clientes'!A:O,9,2)</f>
        <v>Nordeste</v>
      </c>
      <c r="G1245" s="15">
        <v>42103</v>
      </c>
      <c r="H1245">
        <f t="shared" si="96"/>
        <v>5</v>
      </c>
      <c r="I1245">
        <f t="shared" si="97"/>
        <v>9</v>
      </c>
      <c r="J1245">
        <f t="shared" si="98"/>
        <v>4</v>
      </c>
      <c r="K1245">
        <f t="shared" si="99"/>
        <v>2015</v>
      </c>
      <c r="M1245">
        <v>9</v>
      </c>
      <c r="N1245" t="str">
        <f>VLOOKUP(M1245,'Cadastro Vendedores'!A:H,2,2)</f>
        <v>Adriana</v>
      </c>
      <c r="O1245" s="2"/>
      <c r="P1245" s="16">
        <v>900</v>
      </c>
      <c r="Q1245" s="2">
        <f>VLOOKUP(B1245,'Cadastro Produtos'!A:F,5,2)</f>
        <v>12</v>
      </c>
      <c r="R1245" s="14">
        <f t="shared" si="95"/>
        <v>10800</v>
      </c>
    </row>
    <row r="1246" spans="1:18" x14ac:dyDescent="0.25">
      <c r="A1246">
        <v>1245</v>
      </c>
      <c r="B1246">
        <v>5</v>
      </c>
      <c r="C1246" t="str">
        <f>VLOOKUP(B1246,'Cadastro Produtos'!A:E,2,2)</f>
        <v>Limonada Alfa com Açúcar 1 L</v>
      </c>
      <c r="D1246">
        <v>9</v>
      </c>
      <c r="E1246" t="str">
        <f>VLOOKUP(D1246,'Cadatro Clientes'!A:O,2,2)</f>
        <v>Fresh Lemon</v>
      </c>
      <c r="F1246" t="str">
        <f>VLOOKUP(D1246,'Cadatro Clientes'!A:O,9,2)</f>
        <v>Sudeste</v>
      </c>
      <c r="G1246" s="15">
        <v>42103</v>
      </c>
      <c r="H1246">
        <f t="shared" si="96"/>
        <v>5</v>
      </c>
      <c r="I1246">
        <f t="shared" si="97"/>
        <v>9</v>
      </c>
      <c r="J1246">
        <f t="shared" si="98"/>
        <v>4</v>
      </c>
      <c r="K1246">
        <f t="shared" si="99"/>
        <v>2015</v>
      </c>
      <c r="M1246">
        <v>15</v>
      </c>
      <c r="N1246" t="str">
        <f>VLOOKUP(M1246,'Cadastro Vendedores'!A:H,2,2)</f>
        <v>Luis</v>
      </c>
      <c r="O1246" s="2"/>
      <c r="P1246" s="16">
        <v>2400</v>
      </c>
      <c r="Q1246" s="2">
        <f>VLOOKUP(B1246,'Cadastro Produtos'!A:F,5,2)</f>
        <v>15</v>
      </c>
      <c r="R1246" s="14">
        <f t="shared" si="95"/>
        <v>36000</v>
      </c>
    </row>
    <row r="1247" spans="1:18" x14ac:dyDescent="0.25">
      <c r="A1247">
        <v>1246</v>
      </c>
      <c r="B1247">
        <v>10</v>
      </c>
      <c r="C1247" t="str">
        <f>VLOOKUP(B1247,'Cadastro Produtos'!A:E,2,2)</f>
        <v>Limonada Alfa com Hortelã Zero 1 L</v>
      </c>
      <c r="D1247">
        <v>9</v>
      </c>
      <c r="E1247" t="str">
        <f>VLOOKUP(D1247,'Cadatro Clientes'!A:O,2,2)</f>
        <v>Fresh Lemon</v>
      </c>
      <c r="F1247" t="str">
        <f>VLOOKUP(D1247,'Cadatro Clientes'!A:O,9,2)</f>
        <v>Sudeste</v>
      </c>
      <c r="G1247" s="15">
        <v>42103</v>
      </c>
      <c r="H1247">
        <f t="shared" si="96"/>
        <v>5</v>
      </c>
      <c r="I1247">
        <f t="shared" si="97"/>
        <v>9</v>
      </c>
      <c r="J1247">
        <f t="shared" si="98"/>
        <v>4</v>
      </c>
      <c r="K1247">
        <f t="shared" si="99"/>
        <v>2015</v>
      </c>
      <c r="M1247">
        <v>9</v>
      </c>
      <c r="N1247" t="str">
        <f>VLOOKUP(M1247,'Cadastro Vendedores'!A:H,2,2)</f>
        <v>Adriana</v>
      </c>
      <c r="O1247" s="2"/>
      <c r="P1247" s="16">
        <v>2300</v>
      </c>
      <c r="Q1247" s="2">
        <f>VLOOKUP(B1247,'Cadastro Produtos'!A:F,5,2)</f>
        <v>21</v>
      </c>
      <c r="R1247" s="14">
        <f t="shared" si="95"/>
        <v>48300</v>
      </c>
    </row>
    <row r="1248" spans="1:18" x14ac:dyDescent="0.25">
      <c r="A1248">
        <v>1247</v>
      </c>
      <c r="B1248">
        <v>2</v>
      </c>
      <c r="C1248" t="str">
        <f>VLOOKUP(B1248,'Cadastro Produtos'!A:E,2,2)</f>
        <v>Limonada Beta com Açúcar 500 ml</v>
      </c>
      <c r="D1248">
        <v>19</v>
      </c>
      <c r="E1248" t="str">
        <f>VLOOKUP(D1248,'Cadatro Clientes'!A:O,2,2)</f>
        <v>Lima Limão</v>
      </c>
      <c r="F1248" t="str">
        <f>VLOOKUP(D1248,'Cadatro Clientes'!A:O,9,2)</f>
        <v>Sudeste</v>
      </c>
      <c r="G1248" s="15">
        <v>42103</v>
      </c>
      <c r="H1248">
        <f t="shared" si="96"/>
        <v>5</v>
      </c>
      <c r="I1248">
        <f t="shared" si="97"/>
        <v>9</v>
      </c>
      <c r="J1248">
        <f t="shared" si="98"/>
        <v>4</v>
      </c>
      <c r="K1248">
        <f t="shared" si="99"/>
        <v>2015</v>
      </c>
      <c r="M1248">
        <v>9</v>
      </c>
      <c r="N1248" t="str">
        <f>VLOOKUP(M1248,'Cadastro Vendedores'!A:H,2,2)</f>
        <v>Adriana</v>
      </c>
      <c r="O1248" s="2"/>
      <c r="P1248" s="16">
        <v>6700</v>
      </c>
      <c r="Q1248" s="2">
        <f>VLOOKUP(B1248,'Cadastro Produtos'!A:F,5,2)</f>
        <v>6.5</v>
      </c>
      <c r="R1248" s="14">
        <f t="shared" si="95"/>
        <v>43550</v>
      </c>
    </row>
    <row r="1249" spans="1:18" x14ac:dyDescent="0.25">
      <c r="A1249">
        <v>1248</v>
      </c>
      <c r="B1249">
        <v>6</v>
      </c>
      <c r="C1249" t="str">
        <f>VLOOKUP(B1249,'Cadastro Produtos'!A:E,2,2)</f>
        <v>Limonada Beta com Açúcar 1 L</v>
      </c>
      <c r="D1249">
        <v>2</v>
      </c>
      <c r="E1249" t="str">
        <f>VLOOKUP(D1249,'Cadatro Clientes'!A:O,2,2)</f>
        <v>Limão S/A</v>
      </c>
      <c r="F1249" t="str">
        <f>VLOOKUP(D1249,'Cadatro Clientes'!A:O,9,2)</f>
        <v>Centro-Oeste</v>
      </c>
      <c r="G1249" s="15">
        <v>42104</v>
      </c>
      <c r="H1249">
        <f t="shared" si="96"/>
        <v>6</v>
      </c>
      <c r="I1249">
        <f t="shared" si="97"/>
        <v>10</v>
      </c>
      <c r="J1249">
        <f t="shared" si="98"/>
        <v>4</v>
      </c>
      <c r="K1249">
        <f t="shared" si="99"/>
        <v>2015</v>
      </c>
      <c r="M1249">
        <v>12</v>
      </c>
      <c r="N1249" t="str">
        <f>VLOOKUP(M1249,'Cadastro Vendedores'!A:H,2,2)</f>
        <v>Paulo</v>
      </c>
      <c r="O1249" s="2"/>
      <c r="P1249" s="16">
        <v>2500</v>
      </c>
      <c r="Q1249" s="2">
        <f>VLOOKUP(B1249,'Cadastro Produtos'!A:F,5,2)</f>
        <v>12</v>
      </c>
      <c r="R1249" s="14">
        <f t="shared" si="95"/>
        <v>30000</v>
      </c>
    </row>
    <row r="1250" spans="1:18" x14ac:dyDescent="0.25">
      <c r="A1250">
        <v>1249</v>
      </c>
      <c r="B1250">
        <v>4</v>
      </c>
      <c r="C1250" t="str">
        <f>VLOOKUP(B1250,'Cadastro Produtos'!A:E,2,2)</f>
        <v>Limonada Beta Zero 500 ml</v>
      </c>
      <c r="D1250">
        <v>10</v>
      </c>
      <c r="E1250" t="str">
        <f>VLOOKUP(D1250,'Cadatro Clientes'!A:O,2,2)</f>
        <v>Lemon Gator</v>
      </c>
      <c r="F1250" t="str">
        <f>VLOOKUP(D1250,'Cadatro Clientes'!A:O,9,2)</f>
        <v>Nordeste</v>
      </c>
      <c r="G1250" s="15">
        <v>42104</v>
      </c>
      <c r="H1250">
        <f t="shared" si="96"/>
        <v>6</v>
      </c>
      <c r="I1250">
        <f t="shared" si="97"/>
        <v>10</v>
      </c>
      <c r="J1250">
        <f t="shared" si="98"/>
        <v>4</v>
      </c>
      <c r="K1250">
        <f t="shared" si="99"/>
        <v>2015</v>
      </c>
      <c r="M1250">
        <v>2</v>
      </c>
      <c r="N1250" t="str">
        <f>VLOOKUP(M1250,'Cadastro Vendedores'!A:H,2,2)</f>
        <v>Luis</v>
      </c>
      <c r="O1250" s="2"/>
      <c r="P1250" s="16">
        <v>3000</v>
      </c>
      <c r="Q1250" s="2">
        <f>VLOOKUP(B1250,'Cadastro Produtos'!A:F,5,2)</f>
        <v>7</v>
      </c>
      <c r="R1250" s="14">
        <f t="shared" si="95"/>
        <v>21000</v>
      </c>
    </row>
    <row r="1251" spans="1:18" x14ac:dyDescent="0.25">
      <c r="A1251">
        <v>1250</v>
      </c>
      <c r="B1251">
        <v>8</v>
      </c>
      <c r="C1251" t="str">
        <f>VLOOKUP(B1251,'Cadastro Produtos'!A:E,2,2)</f>
        <v>Limonada Beta Zero 1 L</v>
      </c>
      <c r="D1251">
        <v>1</v>
      </c>
      <c r="E1251" t="str">
        <f>VLOOKUP(D1251,'Cadatro Clientes'!A:O,2,2)</f>
        <v>Meu Suco de Limão</v>
      </c>
      <c r="F1251" t="str">
        <f>VLOOKUP(D1251,'Cadatro Clientes'!A:O,9,2)</f>
        <v>Norte</v>
      </c>
      <c r="G1251" s="15">
        <v>42105</v>
      </c>
      <c r="H1251">
        <f t="shared" si="96"/>
        <v>7</v>
      </c>
      <c r="I1251">
        <f t="shared" si="97"/>
        <v>11</v>
      </c>
      <c r="J1251">
        <f t="shared" si="98"/>
        <v>4</v>
      </c>
      <c r="K1251">
        <f t="shared" si="99"/>
        <v>2015</v>
      </c>
      <c r="M1251">
        <v>15</v>
      </c>
      <c r="N1251" t="str">
        <f>VLOOKUP(M1251,'Cadastro Vendedores'!A:H,2,2)</f>
        <v>Luis</v>
      </c>
      <c r="O1251" s="2"/>
      <c r="P1251" s="16">
        <v>3900</v>
      </c>
      <c r="Q1251" s="2">
        <f>VLOOKUP(B1251,'Cadastro Produtos'!A:F,5,2)</f>
        <v>12</v>
      </c>
      <c r="R1251" s="14">
        <f t="shared" si="95"/>
        <v>46800</v>
      </c>
    </row>
    <row r="1252" spans="1:18" x14ac:dyDescent="0.25">
      <c r="A1252">
        <v>1251</v>
      </c>
      <c r="B1252">
        <v>7</v>
      </c>
      <c r="C1252" t="str">
        <f>VLOOKUP(B1252,'Cadastro Produtos'!A:E,2,2)</f>
        <v>Limonada Alfa Zero 1 L</v>
      </c>
      <c r="D1252">
        <v>8</v>
      </c>
      <c r="E1252" t="str">
        <f>VLOOKUP(D1252,'Cadatro Clientes'!A:O,2,2)</f>
        <v>Refresko</v>
      </c>
      <c r="F1252" t="str">
        <f>VLOOKUP(D1252,'Cadatro Clientes'!A:O,9,2)</f>
        <v>Sul</v>
      </c>
      <c r="G1252" s="15">
        <v>42105</v>
      </c>
      <c r="H1252">
        <f t="shared" si="96"/>
        <v>7</v>
      </c>
      <c r="I1252">
        <f t="shared" si="97"/>
        <v>11</v>
      </c>
      <c r="J1252">
        <f t="shared" si="98"/>
        <v>4</v>
      </c>
      <c r="K1252">
        <f t="shared" si="99"/>
        <v>2015</v>
      </c>
      <c r="M1252">
        <v>8</v>
      </c>
      <c r="N1252" t="str">
        <f>VLOOKUP(M1252,'Cadastro Vendedores'!A:H,2,2)</f>
        <v>Sérgio</v>
      </c>
      <c r="O1252" s="2"/>
      <c r="P1252" s="16">
        <v>1300</v>
      </c>
      <c r="Q1252" s="2">
        <f>VLOOKUP(B1252,'Cadastro Produtos'!A:F,5,2)</f>
        <v>15</v>
      </c>
      <c r="R1252" s="14">
        <f t="shared" si="95"/>
        <v>19500</v>
      </c>
    </row>
    <row r="1253" spans="1:18" x14ac:dyDescent="0.25">
      <c r="A1253">
        <v>1252</v>
      </c>
      <c r="B1253">
        <v>6</v>
      </c>
      <c r="C1253" t="str">
        <f>VLOOKUP(B1253,'Cadastro Produtos'!A:E,2,2)</f>
        <v>Limonada Beta com Açúcar 1 L</v>
      </c>
      <c r="D1253">
        <v>6</v>
      </c>
      <c r="E1253" t="str">
        <f>VLOOKUP(D1253,'Cadatro Clientes'!A:O,2,2)</f>
        <v>Lemonade</v>
      </c>
      <c r="F1253" t="str">
        <f>VLOOKUP(D1253,'Cadatro Clientes'!A:O,9,2)</f>
        <v>Norte</v>
      </c>
      <c r="G1253" s="15">
        <v>42105</v>
      </c>
      <c r="H1253">
        <f t="shared" si="96"/>
        <v>7</v>
      </c>
      <c r="I1253">
        <f t="shared" si="97"/>
        <v>11</v>
      </c>
      <c r="J1253">
        <f t="shared" si="98"/>
        <v>4</v>
      </c>
      <c r="K1253">
        <f t="shared" si="99"/>
        <v>2015</v>
      </c>
      <c r="M1253">
        <v>12</v>
      </c>
      <c r="N1253" t="str">
        <f>VLOOKUP(M1253,'Cadastro Vendedores'!A:H,2,2)</f>
        <v>Paulo</v>
      </c>
      <c r="O1253" s="2"/>
      <c r="P1253" s="16">
        <v>1200</v>
      </c>
      <c r="Q1253" s="2">
        <f>VLOOKUP(B1253,'Cadastro Produtos'!A:F,5,2)</f>
        <v>12</v>
      </c>
      <c r="R1253" s="14">
        <f t="shared" si="95"/>
        <v>14400</v>
      </c>
    </row>
    <row r="1254" spans="1:18" x14ac:dyDescent="0.25">
      <c r="A1254">
        <v>1253</v>
      </c>
      <c r="B1254">
        <v>7</v>
      </c>
      <c r="C1254" t="str">
        <f>VLOOKUP(B1254,'Cadastro Produtos'!A:E,2,2)</f>
        <v>Limonada Alfa Zero 1 L</v>
      </c>
      <c r="D1254">
        <v>12</v>
      </c>
      <c r="E1254" t="str">
        <f>VLOOKUP(D1254,'Cadatro Clientes'!A:O,2,2)</f>
        <v>Limão da Ilha</v>
      </c>
      <c r="F1254" t="str">
        <f>VLOOKUP(D1254,'Cadatro Clientes'!A:O,9,2)</f>
        <v>Sul</v>
      </c>
      <c r="G1254" s="15">
        <v>42105</v>
      </c>
      <c r="H1254">
        <f t="shared" si="96"/>
        <v>7</v>
      </c>
      <c r="I1254">
        <f t="shared" si="97"/>
        <v>11</v>
      </c>
      <c r="J1254">
        <f t="shared" si="98"/>
        <v>4</v>
      </c>
      <c r="K1254">
        <f t="shared" si="99"/>
        <v>2015</v>
      </c>
      <c r="M1254">
        <v>16</v>
      </c>
      <c r="N1254" t="str">
        <f>VLOOKUP(M1254,'Cadastro Vendedores'!A:H,2,2)</f>
        <v>Jose</v>
      </c>
      <c r="O1254" s="2"/>
      <c r="P1254" s="16">
        <v>2900</v>
      </c>
      <c r="Q1254" s="2">
        <f>VLOOKUP(B1254,'Cadastro Produtos'!A:F,5,2)</f>
        <v>15</v>
      </c>
      <c r="R1254" s="14">
        <f t="shared" si="95"/>
        <v>43500</v>
      </c>
    </row>
    <row r="1255" spans="1:18" x14ac:dyDescent="0.25">
      <c r="A1255">
        <v>1254</v>
      </c>
      <c r="B1255">
        <v>7</v>
      </c>
      <c r="C1255" t="str">
        <f>VLOOKUP(B1255,'Cadastro Produtos'!A:E,2,2)</f>
        <v>Limonada Alfa Zero 1 L</v>
      </c>
      <c r="D1255">
        <v>4</v>
      </c>
      <c r="E1255" t="str">
        <f>VLOOKUP(D1255,'Cadatro Clientes'!A:O,2,2)</f>
        <v>Limão Carioca e Cia</v>
      </c>
      <c r="F1255" t="str">
        <f>VLOOKUP(D1255,'Cadatro Clientes'!A:O,9,2)</f>
        <v>Sudeste</v>
      </c>
      <c r="G1255" s="15">
        <v>42106</v>
      </c>
      <c r="H1255">
        <f t="shared" si="96"/>
        <v>1</v>
      </c>
      <c r="I1255">
        <f t="shared" si="97"/>
        <v>12</v>
      </c>
      <c r="J1255">
        <f t="shared" si="98"/>
        <v>4</v>
      </c>
      <c r="K1255">
        <f t="shared" si="99"/>
        <v>2015</v>
      </c>
      <c r="M1255">
        <v>6</v>
      </c>
      <c r="N1255" t="str">
        <f>VLOOKUP(M1255,'Cadastro Vendedores'!A:H,2,2)</f>
        <v>Antônia</v>
      </c>
      <c r="O1255" s="2"/>
      <c r="P1255" s="16">
        <v>1600</v>
      </c>
      <c r="Q1255" s="2">
        <f>VLOOKUP(B1255,'Cadastro Produtos'!A:F,5,2)</f>
        <v>15</v>
      </c>
      <c r="R1255" s="14">
        <f t="shared" si="95"/>
        <v>24000</v>
      </c>
    </row>
    <row r="1256" spans="1:18" x14ac:dyDescent="0.25">
      <c r="A1256">
        <v>1255</v>
      </c>
      <c r="B1256">
        <v>5</v>
      </c>
      <c r="C1256" t="str">
        <f>VLOOKUP(B1256,'Cadastro Produtos'!A:E,2,2)</f>
        <v>Limonada Alfa com Açúcar 1 L</v>
      </c>
      <c r="D1256">
        <v>4</v>
      </c>
      <c r="E1256" t="str">
        <f>VLOOKUP(D1256,'Cadatro Clientes'!A:O,2,2)</f>
        <v>Limão Carioca e Cia</v>
      </c>
      <c r="F1256" t="str">
        <f>VLOOKUP(D1256,'Cadatro Clientes'!A:O,9,2)</f>
        <v>Sudeste</v>
      </c>
      <c r="G1256" s="15">
        <v>42106</v>
      </c>
      <c r="H1256">
        <f t="shared" si="96"/>
        <v>1</v>
      </c>
      <c r="I1256">
        <f t="shared" si="97"/>
        <v>12</v>
      </c>
      <c r="J1256">
        <f t="shared" si="98"/>
        <v>4</v>
      </c>
      <c r="K1256">
        <f t="shared" si="99"/>
        <v>2015</v>
      </c>
      <c r="M1256">
        <v>6</v>
      </c>
      <c r="N1256" t="str">
        <f>VLOOKUP(M1256,'Cadastro Vendedores'!A:H,2,2)</f>
        <v>Antônia</v>
      </c>
      <c r="O1256" s="2"/>
      <c r="P1256" s="16">
        <v>3400</v>
      </c>
      <c r="Q1256" s="2">
        <f>VLOOKUP(B1256,'Cadastro Produtos'!A:F,5,2)</f>
        <v>15</v>
      </c>
      <c r="R1256" s="14">
        <f t="shared" si="95"/>
        <v>51000</v>
      </c>
    </row>
    <row r="1257" spans="1:18" x14ac:dyDescent="0.25">
      <c r="A1257">
        <v>1256</v>
      </c>
      <c r="B1257">
        <v>7</v>
      </c>
      <c r="C1257" t="str">
        <f>VLOOKUP(B1257,'Cadastro Produtos'!A:E,2,2)</f>
        <v>Limonada Alfa Zero 1 L</v>
      </c>
      <c r="D1257">
        <v>13</v>
      </c>
      <c r="E1257" t="str">
        <f>VLOOKUP(D1257,'Cadatro Clientes'!A:O,2,2)</f>
        <v>Monster Lemon</v>
      </c>
      <c r="F1257" t="str">
        <f>VLOOKUP(D1257,'Cadatro Clientes'!A:O,9,2)</f>
        <v>Nordeste</v>
      </c>
      <c r="G1257" s="15">
        <v>42106</v>
      </c>
      <c r="H1257">
        <f t="shared" si="96"/>
        <v>1</v>
      </c>
      <c r="I1257">
        <f t="shared" si="97"/>
        <v>12</v>
      </c>
      <c r="J1257">
        <f t="shared" si="98"/>
        <v>4</v>
      </c>
      <c r="K1257">
        <f t="shared" si="99"/>
        <v>2015</v>
      </c>
      <c r="M1257">
        <v>2</v>
      </c>
      <c r="N1257" t="str">
        <f>VLOOKUP(M1257,'Cadastro Vendedores'!A:H,2,2)</f>
        <v>Luis</v>
      </c>
      <c r="O1257" s="2"/>
      <c r="P1257" s="16">
        <v>1700</v>
      </c>
      <c r="Q1257" s="2">
        <f>VLOOKUP(B1257,'Cadastro Produtos'!A:F,5,2)</f>
        <v>15</v>
      </c>
      <c r="R1257" s="14">
        <f t="shared" si="95"/>
        <v>25500</v>
      </c>
    </row>
    <row r="1258" spans="1:18" x14ac:dyDescent="0.25">
      <c r="A1258">
        <v>1257</v>
      </c>
      <c r="B1258">
        <v>7</v>
      </c>
      <c r="C1258" t="str">
        <f>VLOOKUP(B1258,'Cadastro Produtos'!A:E,2,2)</f>
        <v>Limonada Alfa Zero 1 L</v>
      </c>
      <c r="D1258">
        <v>11</v>
      </c>
      <c r="E1258" t="str">
        <f>VLOOKUP(D1258,'Cadatro Clientes'!A:O,2,2)</f>
        <v>Red Lemon</v>
      </c>
      <c r="F1258" t="str">
        <f>VLOOKUP(D1258,'Cadatro Clientes'!A:O,9,2)</f>
        <v>Sul</v>
      </c>
      <c r="G1258" s="15">
        <v>42106</v>
      </c>
      <c r="H1258">
        <f t="shared" si="96"/>
        <v>1</v>
      </c>
      <c r="I1258">
        <f t="shared" si="97"/>
        <v>12</v>
      </c>
      <c r="J1258">
        <f t="shared" si="98"/>
        <v>4</v>
      </c>
      <c r="K1258">
        <f t="shared" si="99"/>
        <v>2015</v>
      </c>
      <c r="M1258">
        <v>15</v>
      </c>
      <c r="N1258" t="str">
        <f>VLOOKUP(M1258,'Cadastro Vendedores'!A:H,2,2)</f>
        <v>Luis</v>
      </c>
      <c r="O1258" s="2"/>
      <c r="P1258" s="16">
        <v>2200</v>
      </c>
      <c r="Q1258" s="2">
        <f>VLOOKUP(B1258,'Cadastro Produtos'!A:F,5,2)</f>
        <v>15</v>
      </c>
      <c r="R1258" s="14">
        <f t="shared" si="95"/>
        <v>33000</v>
      </c>
    </row>
    <row r="1259" spans="1:18" x14ac:dyDescent="0.25">
      <c r="A1259">
        <v>1258</v>
      </c>
      <c r="B1259">
        <v>5</v>
      </c>
      <c r="C1259" t="str">
        <f>VLOOKUP(B1259,'Cadastro Produtos'!A:E,2,2)</f>
        <v>Limonada Alfa com Açúcar 1 L</v>
      </c>
      <c r="D1259">
        <v>1</v>
      </c>
      <c r="E1259" t="str">
        <f>VLOOKUP(D1259,'Cadatro Clientes'!A:O,2,2)</f>
        <v>Meu Suco de Limão</v>
      </c>
      <c r="F1259" t="str">
        <f>VLOOKUP(D1259,'Cadatro Clientes'!A:O,9,2)</f>
        <v>Norte</v>
      </c>
      <c r="G1259" s="15">
        <v>42107</v>
      </c>
      <c r="H1259">
        <f t="shared" si="96"/>
        <v>2</v>
      </c>
      <c r="I1259">
        <f t="shared" si="97"/>
        <v>13</v>
      </c>
      <c r="J1259">
        <f t="shared" si="98"/>
        <v>4</v>
      </c>
      <c r="K1259">
        <f t="shared" si="99"/>
        <v>2015</v>
      </c>
      <c r="M1259">
        <v>13</v>
      </c>
      <c r="N1259" t="str">
        <f>VLOOKUP(M1259,'Cadastro Vendedores'!A:H,2,2)</f>
        <v>Andre</v>
      </c>
      <c r="O1259" s="2"/>
      <c r="P1259" s="16">
        <v>1300</v>
      </c>
      <c r="Q1259" s="2">
        <f>VLOOKUP(B1259,'Cadastro Produtos'!A:F,5,2)</f>
        <v>15</v>
      </c>
      <c r="R1259" s="14">
        <f t="shared" si="95"/>
        <v>19500</v>
      </c>
    </row>
    <row r="1260" spans="1:18" x14ac:dyDescent="0.25">
      <c r="A1260">
        <v>1259</v>
      </c>
      <c r="B1260">
        <v>5</v>
      </c>
      <c r="C1260" t="str">
        <f>VLOOKUP(B1260,'Cadastro Produtos'!A:E,2,2)</f>
        <v>Limonada Alfa com Açúcar 1 L</v>
      </c>
      <c r="D1260">
        <v>8</v>
      </c>
      <c r="E1260" t="str">
        <f>VLOOKUP(D1260,'Cadatro Clientes'!A:O,2,2)</f>
        <v>Refresko</v>
      </c>
      <c r="F1260" t="str">
        <f>VLOOKUP(D1260,'Cadatro Clientes'!A:O,9,2)</f>
        <v>Sul</v>
      </c>
      <c r="G1260" s="15">
        <v>42107</v>
      </c>
      <c r="H1260">
        <f t="shared" si="96"/>
        <v>2</v>
      </c>
      <c r="I1260">
        <f t="shared" si="97"/>
        <v>13</v>
      </c>
      <c r="J1260">
        <f t="shared" si="98"/>
        <v>4</v>
      </c>
      <c r="K1260">
        <f t="shared" si="99"/>
        <v>2015</v>
      </c>
      <c r="M1260">
        <v>6</v>
      </c>
      <c r="N1260" t="str">
        <f>VLOOKUP(M1260,'Cadastro Vendedores'!A:H,2,2)</f>
        <v>Antônia</v>
      </c>
      <c r="O1260" s="2"/>
      <c r="P1260" s="16">
        <v>3300</v>
      </c>
      <c r="Q1260" s="2">
        <f>VLOOKUP(B1260,'Cadastro Produtos'!A:F,5,2)</f>
        <v>15</v>
      </c>
      <c r="R1260" s="14">
        <f t="shared" si="95"/>
        <v>49500</v>
      </c>
    </row>
    <row r="1261" spans="1:18" x14ac:dyDescent="0.25">
      <c r="A1261">
        <v>1260</v>
      </c>
      <c r="B1261">
        <v>9</v>
      </c>
      <c r="C1261" t="str">
        <f>VLOOKUP(B1261,'Cadastro Produtos'!A:E,2,2)</f>
        <v>Limonada Alfa com Hortelã e Açúcar 1 L</v>
      </c>
      <c r="D1261">
        <v>14</v>
      </c>
      <c r="E1261" t="str">
        <f>VLOOKUP(D1261,'Cadatro Clientes'!A:O,2,2)</f>
        <v>Sprite</v>
      </c>
      <c r="F1261" t="str">
        <f>VLOOKUP(D1261,'Cadatro Clientes'!A:O,9,2)</f>
        <v>Norte</v>
      </c>
      <c r="G1261" s="15">
        <v>42107</v>
      </c>
      <c r="H1261">
        <f t="shared" si="96"/>
        <v>2</v>
      </c>
      <c r="I1261">
        <f t="shared" si="97"/>
        <v>13</v>
      </c>
      <c r="J1261">
        <f t="shared" si="98"/>
        <v>4</v>
      </c>
      <c r="K1261">
        <f t="shared" si="99"/>
        <v>2015</v>
      </c>
      <c r="M1261">
        <v>13</v>
      </c>
      <c r="N1261" t="str">
        <f>VLOOKUP(M1261,'Cadastro Vendedores'!A:H,2,2)</f>
        <v>Andre</v>
      </c>
      <c r="O1261" s="2"/>
      <c r="P1261" s="16">
        <v>1400</v>
      </c>
      <c r="Q1261" s="2">
        <f>VLOOKUP(B1261,'Cadastro Produtos'!A:F,5,2)</f>
        <v>17.5</v>
      </c>
      <c r="R1261" s="14">
        <f t="shared" si="95"/>
        <v>24500</v>
      </c>
    </row>
    <row r="1262" spans="1:18" x14ac:dyDescent="0.25">
      <c r="A1262">
        <v>1261</v>
      </c>
      <c r="B1262">
        <v>7</v>
      </c>
      <c r="C1262" t="str">
        <f>VLOOKUP(B1262,'Cadastro Produtos'!A:E,2,2)</f>
        <v>Limonada Alfa Zero 1 L</v>
      </c>
      <c r="D1262">
        <v>2</v>
      </c>
      <c r="E1262" t="str">
        <f>VLOOKUP(D1262,'Cadatro Clientes'!A:O,2,2)</f>
        <v>Limão S/A</v>
      </c>
      <c r="F1262" t="str">
        <f>VLOOKUP(D1262,'Cadatro Clientes'!A:O,9,2)</f>
        <v>Centro-Oeste</v>
      </c>
      <c r="G1262" s="15">
        <v>42107</v>
      </c>
      <c r="H1262">
        <f t="shared" si="96"/>
        <v>2</v>
      </c>
      <c r="I1262">
        <f t="shared" si="97"/>
        <v>13</v>
      </c>
      <c r="J1262">
        <f t="shared" si="98"/>
        <v>4</v>
      </c>
      <c r="K1262">
        <f t="shared" si="99"/>
        <v>2015</v>
      </c>
      <c r="M1262">
        <v>6</v>
      </c>
      <c r="N1262" t="str">
        <f>VLOOKUP(M1262,'Cadastro Vendedores'!A:H,2,2)</f>
        <v>Antônia</v>
      </c>
      <c r="O1262" s="2"/>
      <c r="P1262" s="16">
        <v>3500</v>
      </c>
      <c r="Q1262" s="2">
        <f>VLOOKUP(B1262,'Cadastro Produtos'!A:F,5,2)</f>
        <v>15</v>
      </c>
      <c r="R1262" s="14">
        <f t="shared" si="95"/>
        <v>52500</v>
      </c>
    </row>
    <row r="1263" spans="1:18" x14ac:dyDescent="0.25">
      <c r="A1263">
        <v>1262</v>
      </c>
      <c r="B1263">
        <v>7</v>
      </c>
      <c r="C1263" t="str">
        <f>VLOOKUP(B1263,'Cadastro Produtos'!A:E,2,2)</f>
        <v>Limonada Alfa Zero 1 L</v>
      </c>
      <c r="D1263">
        <v>13</v>
      </c>
      <c r="E1263" t="str">
        <f>VLOOKUP(D1263,'Cadatro Clientes'!A:O,2,2)</f>
        <v>Monster Lemon</v>
      </c>
      <c r="F1263" t="str">
        <f>VLOOKUP(D1263,'Cadatro Clientes'!A:O,9,2)</f>
        <v>Nordeste</v>
      </c>
      <c r="G1263" s="15">
        <v>42109</v>
      </c>
      <c r="H1263">
        <f t="shared" si="96"/>
        <v>4</v>
      </c>
      <c r="I1263">
        <f t="shared" si="97"/>
        <v>15</v>
      </c>
      <c r="J1263">
        <f t="shared" si="98"/>
        <v>4</v>
      </c>
      <c r="K1263">
        <f t="shared" si="99"/>
        <v>2015</v>
      </c>
      <c r="M1263">
        <v>13</v>
      </c>
      <c r="N1263" t="str">
        <f>VLOOKUP(M1263,'Cadastro Vendedores'!A:H,2,2)</f>
        <v>Andre</v>
      </c>
      <c r="O1263" s="2"/>
      <c r="P1263" s="16">
        <v>1900</v>
      </c>
      <c r="Q1263" s="2">
        <f>VLOOKUP(B1263,'Cadastro Produtos'!A:F,5,2)</f>
        <v>15</v>
      </c>
      <c r="R1263" s="14">
        <f t="shared" si="95"/>
        <v>28500</v>
      </c>
    </row>
    <row r="1264" spans="1:18" x14ac:dyDescent="0.25">
      <c r="A1264">
        <v>1263</v>
      </c>
      <c r="B1264">
        <v>7</v>
      </c>
      <c r="C1264" t="str">
        <f>VLOOKUP(B1264,'Cadastro Produtos'!A:E,2,2)</f>
        <v>Limonada Alfa Zero 1 L</v>
      </c>
      <c r="D1264">
        <v>4</v>
      </c>
      <c r="E1264" t="str">
        <f>VLOOKUP(D1264,'Cadatro Clientes'!A:O,2,2)</f>
        <v>Limão Carioca e Cia</v>
      </c>
      <c r="F1264" t="str">
        <f>VLOOKUP(D1264,'Cadatro Clientes'!A:O,9,2)</f>
        <v>Sudeste</v>
      </c>
      <c r="G1264" s="15">
        <v>42110</v>
      </c>
      <c r="H1264">
        <f t="shared" si="96"/>
        <v>5</v>
      </c>
      <c r="I1264">
        <f t="shared" si="97"/>
        <v>16</v>
      </c>
      <c r="J1264">
        <f t="shared" si="98"/>
        <v>4</v>
      </c>
      <c r="K1264">
        <f t="shared" si="99"/>
        <v>2015</v>
      </c>
      <c r="M1264">
        <v>2</v>
      </c>
      <c r="N1264" t="str">
        <f>VLOOKUP(M1264,'Cadastro Vendedores'!A:H,2,2)</f>
        <v>Luis</v>
      </c>
      <c r="O1264" s="2"/>
      <c r="P1264" s="16">
        <v>1300</v>
      </c>
      <c r="Q1264" s="2">
        <f>VLOOKUP(B1264,'Cadastro Produtos'!A:F,5,2)</f>
        <v>15</v>
      </c>
      <c r="R1264" s="14">
        <f t="shared" si="95"/>
        <v>19500</v>
      </c>
    </row>
    <row r="1265" spans="1:18" x14ac:dyDescent="0.25">
      <c r="A1265">
        <v>1264</v>
      </c>
      <c r="B1265">
        <v>10</v>
      </c>
      <c r="C1265" t="str">
        <f>VLOOKUP(B1265,'Cadastro Produtos'!A:E,2,2)</f>
        <v>Limonada Alfa com Hortelã Zero 1 L</v>
      </c>
      <c r="D1265">
        <v>19</v>
      </c>
      <c r="E1265" t="str">
        <f>VLOOKUP(D1265,'Cadatro Clientes'!A:O,2,2)</f>
        <v>Lima Limão</v>
      </c>
      <c r="F1265" t="str">
        <f>VLOOKUP(D1265,'Cadatro Clientes'!A:O,9,2)</f>
        <v>Sudeste</v>
      </c>
      <c r="G1265" s="15">
        <v>42110</v>
      </c>
      <c r="H1265">
        <f t="shared" si="96"/>
        <v>5</v>
      </c>
      <c r="I1265">
        <f t="shared" si="97"/>
        <v>16</v>
      </c>
      <c r="J1265">
        <f t="shared" si="98"/>
        <v>4</v>
      </c>
      <c r="K1265">
        <f t="shared" si="99"/>
        <v>2015</v>
      </c>
      <c r="M1265">
        <v>13</v>
      </c>
      <c r="N1265" t="str">
        <f>VLOOKUP(M1265,'Cadastro Vendedores'!A:H,2,2)</f>
        <v>Andre</v>
      </c>
      <c r="O1265" s="2"/>
      <c r="P1265" s="16">
        <v>800</v>
      </c>
      <c r="Q1265" s="2">
        <f>VLOOKUP(B1265,'Cadastro Produtos'!A:F,5,2)</f>
        <v>21</v>
      </c>
      <c r="R1265" s="14">
        <f t="shared" si="95"/>
        <v>16800</v>
      </c>
    </row>
    <row r="1266" spans="1:18" x14ac:dyDescent="0.25">
      <c r="A1266">
        <v>1265</v>
      </c>
      <c r="B1266">
        <v>5</v>
      </c>
      <c r="C1266" t="str">
        <f>VLOOKUP(B1266,'Cadastro Produtos'!A:E,2,2)</f>
        <v>Limonada Alfa com Açúcar 1 L</v>
      </c>
      <c r="D1266">
        <v>19</v>
      </c>
      <c r="E1266" t="str">
        <f>VLOOKUP(D1266,'Cadatro Clientes'!A:O,2,2)</f>
        <v>Lima Limão</v>
      </c>
      <c r="F1266" t="str">
        <f>VLOOKUP(D1266,'Cadatro Clientes'!A:O,9,2)</f>
        <v>Sudeste</v>
      </c>
      <c r="G1266" s="15">
        <v>42110</v>
      </c>
      <c r="H1266">
        <f t="shared" si="96"/>
        <v>5</v>
      </c>
      <c r="I1266">
        <f t="shared" si="97"/>
        <v>16</v>
      </c>
      <c r="J1266">
        <f t="shared" si="98"/>
        <v>4</v>
      </c>
      <c r="K1266">
        <f t="shared" si="99"/>
        <v>2015</v>
      </c>
      <c r="M1266">
        <v>15</v>
      </c>
      <c r="N1266" t="str">
        <f>VLOOKUP(M1266,'Cadastro Vendedores'!A:H,2,2)</f>
        <v>Luis</v>
      </c>
      <c r="O1266" s="2"/>
      <c r="P1266" s="16">
        <v>1000</v>
      </c>
      <c r="Q1266" s="2">
        <f>VLOOKUP(B1266,'Cadastro Produtos'!A:F,5,2)</f>
        <v>15</v>
      </c>
      <c r="R1266" s="14">
        <f t="shared" si="95"/>
        <v>15000</v>
      </c>
    </row>
    <row r="1267" spans="1:18" x14ac:dyDescent="0.25">
      <c r="A1267">
        <v>1266</v>
      </c>
      <c r="B1267">
        <v>9</v>
      </c>
      <c r="C1267" t="str">
        <f>VLOOKUP(B1267,'Cadastro Produtos'!A:E,2,2)</f>
        <v>Limonada Alfa com Hortelã e Açúcar 1 L</v>
      </c>
      <c r="D1267">
        <v>14</v>
      </c>
      <c r="E1267" t="str">
        <f>VLOOKUP(D1267,'Cadatro Clientes'!A:O,2,2)</f>
        <v>Sprite</v>
      </c>
      <c r="F1267" t="str">
        <f>VLOOKUP(D1267,'Cadatro Clientes'!A:O,9,2)</f>
        <v>Norte</v>
      </c>
      <c r="G1267" s="15">
        <v>42111</v>
      </c>
      <c r="H1267">
        <f t="shared" si="96"/>
        <v>6</v>
      </c>
      <c r="I1267">
        <f t="shared" si="97"/>
        <v>17</v>
      </c>
      <c r="J1267">
        <f t="shared" si="98"/>
        <v>4</v>
      </c>
      <c r="K1267">
        <f t="shared" si="99"/>
        <v>2015</v>
      </c>
      <c r="M1267">
        <v>13</v>
      </c>
      <c r="N1267" t="str">
        <f>VLOOKUP(M1267,'Cadastro Vendedores'!A:H,2,2)</f>
        <v>Andre</v>
      </c>
      <c r="O1267" s="2"/>
      <c r="P1267" s="16">
        <v>900</v>
      </c>
      <c r="Q1267" s="2">
        <f>VLOOKUP(B1267,'Cadastro Produtos'!A:F,5,2)</f>
        <v>17.5</v>
      </c>
      <c r="R1267" s="14">
        <f t="shared" si="95"/>
        <v>15750</v>
      </c>
    </row>
    <row r="1268" spans="1:18" x14ac:dyDescent="0.25">
      <c r="A1268">
        <v>1267</v>
      </c>
      <c r="B1268">
        <v>5</v>
      </c>
      <c r="C1268" t="str">
        <f>VLOOKUP(B1268,'Cadastro Produtos'!A:E,2,2)</f>
        <v>Limonada Alfa com Açúcar 1 L</v>
      </c>
      <c r="D1268">
        <v>4</v>
      </c>
      <c r="E1268" t="str">
        <f>VLOOKUP(D1268,'Cadatro Clientes'!A:O,2,2)</f>
        <v>Limão Carioca e Cia</v>
      </c>
      <c r="F1268" t="str">
        <f>VLOOKUP(D1268,'Cadatro Clientes'!A:O,9,2)</f>
        <v>Sudeste</v>
      </c>
      <c r="G1268" s="15">
        <v>42111</v>
      </c>
      <c r="H1268">
        <f t="shared" si="96"/>
        <v>6</v>
      </c>
      <c r="I1268">
        <f t="shared" si="97"/>
        <v>17</v>
      </c>
      <c r="J1268">
        <f t="shared" si="98"/>
        <v>4</v>
      </c>
      <c r="K1268">
        <f t="shared" si="99"/>
        <v>2015</v>
      </c>
      <c r="M1268">
        <v>6</v>
      </c>
      <c r="N1268" t="str">
        <f>VLOOKUP(M1268,'Cadastro Vendedores'!A:H,2,2)</f>
        <v>Antônia</v>
      </c>
      <c r="O1268" s="2"/>
      <c r="P1268" s="16">
        <v>2600</v>
      </c>
      <c r="Q1268" s="2">
        <f>VLOOKUP(B1268,'Cadastro Produtos'!A:F,5,2)</f>
        <v>15</v>
      </c>
      <c r="R1268" s="14">
        <f t="shared" si="95"/>
        <v>39000</v>
      </c>
    </row>
    <row r="1269" spans="1:18" x14ac:dyDescent="0.25">
      <c r="A1269">
        <v>1268</v>
      </c>
      <c r="B1269">
        <v>2</v>
      </c>
      <c r="C1269" t="str">
        <f>VLOOKUP(B1269,'Cadastro Produtos'!A:E,2,2)</f>
        <v>Limonada Beta com Açúcar 500 ml</v>
      </c>
      <c r="D1269">
        <v>5</v>
      </c>
      <c r="E1269" t="str">
        <f>VLOOKUP(D1269,'Cadatro Clientes'!A:O,2,2)</f>
        <v>Axé com Limão</v>
      </c>
      <c r="F1269" t="str">
        <f>VLOOKUP(D1269,'Cadatro Clientes'!A:O,9,2)</f>
        <v>Nordeste</v>
      </c>
      <c r="G1269" s="15">
        <v>42112</v>
      </c>
      <c r="H1269">
        <f t="shared" si="96"/>
        <v>7</v>
      </c>
      <c r="I1269">
        <f t="shared" si="97"/>
        <v>18</v>
      </c>
      <c r="J1269">
        <f t="shared" si="98"/>
        <v>4</v>
      </c>
      <c r="K1269">
        <f t="shared" si="99"/>
        <v>2015</v>
      </c>
      <c r="M1269">
        <v>16</v>
      </c>
      <c r="N1269" t="str">
        <f>VLOOKUP(M1269,'Cadastro Vendedores'!A:H,2,2)</f>
        <v>Jose</v>
      </c>
      <c r="O1269" s="2"/>
      <c r="P1269" s="16">
        <v>5100</v>
      </c>
      <c r="Q1269" s="2">
        <f>VLOOKUP(B1269,'Cadastro Produtos'!A:F,5,2)</f>
        <v>6.5</v>
      </c>
      <c r="R1269" s="14">
        <f t="shared" si="95"/>
        <v>33150</v>
      </c>
    </row>
    <row r="1270" spans="1:18" x14ac:dyDescent="0.25">
      <c r="A1270">
        <v>1269</v>
      </c>
      <c r="B1270">
        <v>2</v>
      </c>
      <c r="C1270" t="str">
        <f>VLOOKUP(B1270,'Cadastro Produtos'!A:E,2,2)</f>
        <v>Limonada Beta com Açúcar 500 ml</v>
      </c>
      <c r="D1270">
        <v>1</v>
      </c>
      <c r="E1270" t="str">
        <f>VLOOKUP(D1270,'Cadatro Clientes'!A:O,2,2)</f>
        <v>Meu Suco de Limão</v>
      </c>
      <c r="F1270" t="str">
        <f>VLOOKUP(D1270,'Cadatro Clientes'!A:O,9,2)</f>
        <v>Norte</v>
      </c>
      <c r="G1270" s="15">
        <v>42112</v>
      </c>
      <c r="H1270">
        <f t="shared" si="96"/>
        <v>7</v>
      </c>
      <c r="I1270">
        <f t="shared" si="97"/>
        <v>18</v>
      </c>
      <c r="J1270">
        <f t="shared" si="98"/>
        <v>4</v>
      </c>
      <c r="K1270">
        <f t="shared" si="99"/>
        <v>2015</v>
      </c>
      <c r="M1270">
        <v>12</v>
      </c>
      <c r="N1270" t="str">
        <f>VLOOKUP(M1270,'Cadastro Vendedores'!A:H,2,2)</f>
        <v>Paulo</v>
      </c>
      <c r="O1270" s="2"/>
      <c r="P1270" s="16">
        <v>1800</v>
      </c>
      <c r="Q1270" s="2">
        <f>VLOOKUP(B1270,'Cadastro Produtos'!A:F,5,2)</f>
        <v>6.5</v>
      </c>
      <c r="R1270" s="14">
        <f t="shared" si="95"/>
        <v>11700</v>
      </c>
    </row>
    <row r="1271" spans="1:18" x14ac:dyDescent="0.25">
      <c r="A1271">
        <v>1270</v>
      </c>
      <c r="B1271">
        <v>6</v>
      </c>
      <c r="C1271" t="str">
        <f>VLOOKUP(B1271,'Cadastro Produtos'!A:E,2,2)</f>
        <v>Limonada Beta com Açúcar 1 L</v>
      </c>
      <c r="D1271">
        <v>17</v>
      </c>
      <c r="E1271" t="str">
        <f>VLOOKUP(D1271,'Cadatro Clientes'!A:O,2,2)</f>
        <v>Aracasuco</v>
      </c>
      <c r="F1271" t="str">
        <f>VLOOKUP(D1271,'Cadatro Clientes'!A:O,9,2)</f>
        <v>Nordeste</v>
      </c>
      <c r="G1271" s="15">
        <v>42112</v>
      </c>
      <c r="H1271">
        <f t="shared" si="96"/>
        <v>7</v>
      </c>
      <c r="I1271">
        <f t="shared" si="97"/>
        <v>18</v>
      </c>
      <c r="J1271">
        <f t="shared" si="98"/>
        <v>4</v>
      </c>
      <c r="K1271">
        <f t="shared" si="99"/>
        <v>2015</v>
      </c>
      <c r="M1271">
        <v>7</v>
      </c>
      <c r="N1271" t="str">
        <f>VLOOKUP(M1271,'Cadastro Vendedores'!A:H,2,2)</f>
        <v>Benedito</v>
      </c>
      <c r="O1271" s="2"/>
      <c r="P1271" s="16">
        <v>1800</v>
      </c>
      <c r="Q1271" s="2">
        <f>VLOOKUP(B1271,'Cadastro Produtos'!A:F,5,2)</f>
        <v>12</v>
      </c>
      <c r="R1271" s="14">
        <f t="shared" si="95"/>
        <v>21600</v>
      </c>
    </row>
    <row r="1272" spans="1:18" x14ac:dyDescent="0.25">
      <c r="A1272">
        <v>1271</v>
      </c>
      <c r="B1272">
        <v>6</v>
      </c>
      <c r="C1272" t="str">
        <f>VLOOKUP(B1272,'Cadastro Produtos'!A:E,2,2)</f>
        <v>Limonada Beta com Açúcar 1 L</v>
      </c>
      <c r="D1272">
        <v>10</v>
      </c>
      <c r="E1272" t="str">
        <f>VLOOKUP(D1272,'Cadatro Clientes'!A:O,2,2)</f>
        <v>Lemon Gator</v>
      </c>
      <c r="F1272" t="str">
        <f>VLOOKUP(D1272,'Cadatro Clientes'!A:O,9,2)</f>
        <v>Nordeste</v>
      </c>
      <c r="G1272" s="15">
        <v>42112</v>
      </c>
      <c r="H1272">
        <f t="shared" si="96"/>
        <v>7</v>
      </c>
      <c r="I1272">
        <f t="shared" si="97"/>
        <v>18</v>
      </c>
      <c r="J1272">
        <f t="shared" si="98"/>
        <v>4</v>
      </c>
      <c r="K1272">
        <f t="shared" si="99"/>
        <v>2015</v>
      </c>
      <c r="M1272">
        <v>2</v>
      </c>
      <c r="N1272" t="str">
        <f>VLOOKUP(M1272,'Cadastro Vendedores'!A:H,2,2)</f>
        <v>Luis</v>
      </c>
      <c r="O1272" s="2"/>
      <c r="P1272" s="16">
        <v>1900</v>
      </c>
      <c r="Q1272" s="2">
        <f>VLOOKUP(B1272,'Cadastro Produtos'!A:F,5,2)</f>
        <v>12</v>
      </c>
      <c r="R1272" s="14">
        <f t="shared" si="95"/>
        <v>22800</v>
      </c>
    </row>
    <row r="1273" spans="1:18" x14ac:dyDescent="0.25">
      <c r="A1273">
        <v>1272</v>
      </c>
      <c r="B1273">
        <v>10</v>
      </c>
      <c r="C1273" t="str">
        <f>VLOOKUP(B1273,'Cadastro Produtos'!A:E,2,2)</f>
        <v>Limonada Alfa com Hortelã Zero 1 L</v>
      </c>
      <c r="D1273">
        <v>2</v>
      </c>
      <c r="E1273" t="str">
        <f>VLOOKUP(D1273,'Cadatro Clientes'!A:O,2,2)</f>
        <v>Limão S/A</v>
      </c>
      <c r="F1273" t="str">
        <f>VLOOKUP(D1273,'Cadatro Clientes'!A:O,9,2)</f>
        <v>Centro-Oeste</v>
      </c>
      <c r="G1273" s="15">
        <v>42114</v>
      </c>
      <c r="H1273">
        <f t="shared" si="96"/>
        <v>2</v>
      </c>
      <c r="I1273">
        <f t="shared" si="97"/>
        <v>20</v>
      </c>
      <c r="J1273">
        <f t="shared" si="98"/>
        <v>4</v>
      </c>
      <c r="K1273">
        <f t="shared" si="99"/>
        <v>2015</v>
      </c>
      <c r="M1273">
        <v>6</v>
      </c>
      <c r="N1273" t="str">
        <f>VLOOKUP(M1273,'Cadastro Vendedores'!A:H,2,2)</f>
        <v>Antônia</v>
      </c>
      <c r="O1273" s="2"/>
      <c r="P1273" s="16">
        <v>1400</v>
      </c>
      <c r="Q1273" s="2">
        <f>VLOOKUP(B1273,'Cadastro Produtos'!A:F,5,2)</f>
        <v>21</v>
      </c>
      <c r="R1273" s="14">
        <f t="shared" si="95"/>
        <v>29400</v>
      </c>
    </row>
    <row r="1274" spans="1:18" x14ac:dyDescent="0.25">
      <c r="A1274">
        <v>1273</v>
      </c>
      <c r="B1274">
        <v>5</v>
      </c>
      <c r="C1274" t="str">
        <f>VLOOKUP(B1274,'Cadastro Produtos'!A:E,2,2)</f>
        <v>Limonada Alfa com Açúcar 1 L</v>
      </c>
      <c r="D1274">
        <v>15</v>
      </c>
      <c r="E1274" t="str">
        <f>VLOOKUP(D1274,'Cadatro Clientes'!A:O,2,2)</f>
        <v>Limão do Mané</v>
      </c>
      <c r="F1274" t="str">
        <f>VLOOKUP(D1274,'Cadatro Clientes'!A:O,9,2)</f>
        <v>Sul</v>
      </c>
      <c r="G1274" s="15">
        <v>42114</v>
      </c>
      <c r="H1274">
        <f t="shared" si="96"/>
        <v>2</v>
      </c>
      <c r="I1274">
        <f t="shared" si="97"/>
        <v>20</v>
      </c>
      <c r="J1274">
        <f t="shared" si="98"/>
        <v>4</v>
      </c>
      <c r="K1274">
        <f t="shared" si="99"/>
        <v>2015</v>
      </c>
      <c r="M1274">
        <v>13</v>
      </c>
      <c r="N1274" t="str">
        <f>VLOOKUP(M1274,'Cadastro Vendedores'!A:H,2,2)</f>
        <v>Andre</v>
      </c>
      <c r="O1274" s="2"/>
      <c r="P1274" s="16">
        <v>1600</v>
      </c>
      <c r="Q1274" s="2">
        <f>VLOOKUP(B1274,'Cadastro Produtos'!A:F,5,2)</f>
        <v>15</v>
      </c>
      <c r="R1274" s="14">
        <f t="shared" si="95"/>
        <v>24000</v>
      </c>
    </row>
    <row r="1275" spans="1:18" x14ac:dyDescent="0.25">
      <c r="A1275">
        <v>1274</v>
      </c>
      <c r="B1275">
        <v>9</v>
      </c>
      <c r="C1275" t="str">
        <f>VLOOKUP(B1275,'Cadastro Produtos'!A:E,2,2)</f>
        <v>Limonada Alfa com Hortelã e Açúcar 1 L</v>
      </c>
      <c r="D1275">
        <v>10</v>
      </c>
      <c r="E1275" t="str">
        <f>VLOOKUP(D1275,'Cadatro Clientes'!A:O,2,2)</f>
        <v>Lemon Gator</v>
      </c>
      <c r="F1275" t="str">
        <f>VLOOKUP(D1275,'Cadatro Clientes'!A:O,9,2)</f>
        <v>Nordeste</v>
      </c>
      <c r="G1275" s="15">
        <v>42114</v>
      </c>
      <c r="H1275">
        <f t="shared" si="96"/>
        <v>2</v>
      </c>
      <c r="I1275">
        <f t="shared" si="97"/>
        <v>20</v>
      </c>
      <c r="J1275">
        <f t="shared" si="98"/>
        <v>4</v>
      </c>
      <c r="K1275">
        <f t="shared" si="99"/>
        <v>2015</v>
      </c>
      <c r="M1275">
        <v>12</v>
      </c>
      <c r="N1275" t="str">
        <f>VLOOKUP(M1275,'Cadastro Vendedores'!A:H,2,2)</f>
        <v>Paulo</v>
      </c>
      <c r="O1275" s="2"/>
      <c r="P1275" s="16">
        <v>2500</v>
      </c>
      <c r="Q1275" s="2">
        <f>VLOOKUP(B1275,'Cadastro Produtos'!A:F,5,2)</f>
        <v>17.5</v>
      </c>
      <c r="R1275" s="14">
        <f t="shared" si="95"/>
        <v>43750</v>
      </c>
    </row>
    <row r="1276" spans="1:18" x14ac:dyDescent="0.25">
      <c r="A1276">
        <v>1275</v>
      </c>
      <c r="B1276">
        <v>8</v>
      </c>
      <c r="C1276" t="str">
        <f>VLOOKUP(B1276,'Cadastro Produtos'!A:E,2,2)</f>
        <v>Limonada Beta Zero 1 L</v>
      </c>
      <c r="D1276">
        <v>8</v>
      </c>
      <c r="E1276" t="str">
        <f>VLOOKUP(D1276,'Cadatro Clientes'!A:O,2,2)</f>
        <v>Refresko</v>
      </c>
      <c r="F1276" t="str">
        <f>VLOOKUP(D1276,'Cadatro Clientes'!A:O,9,2)</f>
        <v>Sul</v>
      </c>
      <c r="G1276" s="15">
        <v>42115</v>
      </c>
      <c r="H1276">
        <f t="shared" si="96"/>
        <v>3</v>
      </c>
      <c r="I1276">
        <f t="shared" si="97"/>
        <v>21</v>
      </c>
      <c r="J1276">
        <f t="shared" si="98"/>
        <v>4</v>
      </c>
      <c r="K1276">
        <f t="shared" si="99"/>
        <v>2015</v>
      </c>
      <c r="M1276">
        <v>7</v>
      </c>
      <c r="N1276" t="str">
        <f>VLOOKUP(M1276,'Cadastro Vendedores'!A:H,2,2)</f>
        <v>Benedito</v>
      </c>
      <c r="O1276" s="2"/>
      <c r="P1276" s="16">
        <v>1300</v>
      </c>
      <c r="Q1276" s="2">
        <f>VLOOKUP(B1276,'Cadastro Produtos'!A:F,5,2)</f>
        <v>12</v>
      </c>
      <c r="R1276" s="14">
        <f t="shared" si="95"/>
        <v>15600</v>
      </c>
    </row>
    <row r="1277" spans="1:18" x14ac:dyDescent="0.25">
      <c r="A1277">
        <v>1276</v>
      </c>
      <c r="B1277">
        <v>3</v>
      </c>
      <c r="C1277" t="str">
        <f>VLOOKUP(B1277,'Cadastro Produtos'!A:E,2,2)</f>
        <v>Limonada Alfa Zero 500 ml</v>
      </c>
      <c r="D1277">
        <v>19</v>
      </c>
      <c r="E1277" t="str">
        <f>VLOOKUP(D1277,'Cadatro Clientes'!A:O,2,2)</f>
        <v>Lima Limão</v>
      </c>
      <c r="F1277" t="str">
        <f>VLOOKUP(D1277,'Cadatro Clientes'!A:O,9,2)</f>
        <v>Sudeste</v>
      </c>
      <c r="G1277" s="15">
        <v>42116</v>
      </c>
      <c r="H1277">
        <f t="shared" si="96"/>
        <v>4</v>
      </c>
      <c r="I1277">
        <f t="shared" si="97"/>
        <v>22</v>
      </c>
      <c r="J1277">
        <f t="shared" si="98"/>
        <v>4</v>
      </c>
      <c r="K1277">
        <f t="shared" si="99"/>
        <v>2015</v>
      </c>
      <c r="M1277">
        <v>9</v>
      </c>
      <c r="N1277" t="str">
        <f>VLOOKUP(M1277,'Cadastro Vendedores'!A:H,2,2)</f>
        <v>Adriana</v>
      </c>
      <c r="O1277" s="2"/>
      <c r="P1277" s="16">
        <v>2100</v>
      </c>
      <c r="Q1277" s="2">
        <f>VLOOKUP(B1277,'Cadastro Produtos'!A:F,5,2)</f>
        <v>9</v>
      </c>
      <c r="R1277" s="14">
        <f t="shared" si="95"/>
        <v>18900</v>
      </c>
    </row>
    <row r="1278" spans="1:18" x14ac:dyDescent="0.25">
      <c r="A1278">
        <v>1277</v>
      </c>
      <c r="B1278">
        <v>8</v>
      </c>
      <c r="C1278" t="str">
        <f>VLOOKUP(B1278,'Cadastro Produtos'!A:E,2,2)</f>
        <v>Limonada Beta Zero 1 L</v>
      </c>
      <c r="D1278">
        <v>17</v>
      </c>
      <c r="E1278" t="str">
        <f>VLOOKUP(D1278,'Cadatro Clientes'!A:O,2,2)</f>
        <v>Aracasuco</v>
      </c>
      <c r="F1278" t="str">
        <f>VLOOKUP(D1278,'Cadatro Clientes'!A:O,9,2)</f>
        <v>Nordeste</v>
      </c>
      <c r="G1278" s="15">
        <v>42116</v>
      </c>
      <c r="H1278">
        <f t="shared" si="96"/>
        <v>4</v>
      </c>
      <c r="I1278">
        <f t="shared" si="97"/>
        <v>22</v>
      </c>
      <c r="J1278">
        <f t="shared" si="98"/>
        <v>4</v>
      </c>
      <c r="K1278">
        <f t="shared" si="99"/>
        <v>2015</v>
      </c>
      <c r="M1278">
        <v>7</v>
      </c>
      <c r="N1278" t="str">
        <f>VLOOKUP(M1278,'Cadastro Vendedores'!A:H,2,2)</f>
        <v>Benedito</v>
      </c>
      <c r="O1278" s="2"/>
      <c r="P1278" s="16">
        <v>3100</v>
      </c>
      <c r="Q1278" s="2">
        <f>VLOOKUP(B1278,'Cadastro Produtos'!A:F,5,2)</f>
        <v>12</v>
      </c>
      <c r="R1278" s="14">
        <f t="shared" si="95"/>
        <v>37200</v>
      </c>
    </row>
    <row r="1279" spans="1:18" x14ac:dyDescent="0.25">
      <c r="A1279">
        <v>1278</v>
      </c>
      <c r="B1279">
        <v>6</v>
      </c>
      <c r="C1279" t="str">
        <f>VLOOKUP(B1279,'Cadastro Produtos'!A:E,2,2)</f>
        <v>Limonada Beta com Açúcar 1 L</v>
      </c>
      <c r="D1279">
        <v>2</v>
      </c>
      <c r="E1279" t="str">
        <f>VLOOKUP(D1279,'Cadatro Clientes'!A:O,2,2)</f>
        <v>Limão S/A</v>
      </c>
      <c r="F1279" t="str">
        <f>VLOOKUP(D1279,'Cadatro Clientes'!A:O,9,2)</f>
        <v>Centro-Oeste</v>
      </c>
      <c r="G1279" s="15">
        <v>42116</v>
      </c>
      <c r="H1279">
        <f t="shared" si="96"/>
        <v>4</v>
      </c>
      <c r="I1279">
        <f t="shared" si="97"/>
        <v>22</v>
      </c>
      <c r="J1279">
        <f t="shared" si="98"/>
        <v>4</v>
      </c>
      <c r="K1279">
        <f t="shared" si="99"/>
        <v>2015</v>
      </c>
      <c r="M1279">
        <v>13</v>
      </c>
      <c r="N1279" t="str">
        <f>VLOOKUP(M1279,'Cadastro Vendedores'!A:H,2,2)</f>
        <v>Andre</v>
      </c>
      <c r="O1279" s="2"/>
      <c r="P1279" s="16">
        <v>3700</v>
      </c>
      <c r="Q1279" s="2">
        <f>VLOOKUP(B1279,'Cadastro Produtos'!A:F,5,2)</f>
        <v>12</v>
      </c>
      <c r="R1279" s="14">
        <f t="shared" si="95"/>
        <v>44400</v>
      </c>
    </row>
    <row r="1280" spans="1:18" x14ac:dyDescent="0.25">
      <c r="A1280">
        <v>1279</v>
      </c>
      <c r="B1280">
        <v>9</v>
      </c>
      <c r="C1280" t="str">
        <f>VLOOKUP(B1280,'Cadastro Produtos'!A:E,2,2)</f>
        <v>Limonada Alfa com Hortelã e Açúcar 1 L</v>
      </c>
      <c r="D1280">
        <v>4</v>
      </c>
      <c r="E1280" t="str">
        <f>VLOOKUP(D1280,'Cadatro Clientes'!A:O,2,2)</f>
        <v>Limão Carioca e Cia</v>
      </c>
      <c r="F1280" t="str">
        <f>VLOOKUP(D1280,'Cadatro Clientes'!A:O,9,2)</f>
        <v>Sudeste</v>
      </c>
      <c r="G1280" s="15">
        <v>42116</v>
      </c>
      <c r="H1280">
        <f t="shared" si="96"/>
        <v>4</v>
      </c>
      <c r="I1280">
        <f t="shared" si="97"/>
        <v>22</v>
      </c>
      <c r="J1280">
        <f t="shared" si="98"/>
        <v>4</v>
      </c>
      <c r="K1280">
        <f t="shared" si="99"/>
        <v>2015</v>
      </c>
      <c r="M1280">
        <v>6</v>
      </c>
      <c r="N1280" t="str">
        <f>VLOOKUP(M1280,'Cadastro Vendedores'!A:H,2,2)</f>
        <v>Antônia</v>
      </c>
      <c r="O1280" s="2"/>
      <c r="P1280" s="16">
        <v>700</v>
      </c>
      <c r="Q1280" s="2">
        <f>VLOOKUP(B1280,'Cadastro Produtos'!A:F,5,2)</f>
        <v>17.5</v>
      </c>
      <c r="R1280" s="14">
        <f t="shared" si="95"/>
        <v>12250</v>
      </c>
    </row>
    <row r="1281" spans="1:18" x14ac:dyDescent="0.25">
      <c r="A1281">
        <v>1280</v>
      </c>
      <c r="B1281">
        <v>4</v>
      </c>
      <c r="C1281" t="str">
        <f>VLOOKUP(B1281,'Cadastro Produtos'!A:E,2,2)</f>
        <v>Limonada Beta Zero 500 ml</v>
      </c>
      <c r="D1281">
        <v>19</v>
      </c>
      <c r="E1281" t="str">
        <f>VLOOKUP(D1281,'Cadatro Clientes'!A:O,2,2)</f>
        <v>Lima Limão</v>
      </c>
      <c r="F1281" t="str">
        <f>VLOOKUP(D1281,'Cadatro Clientes'!A:O,9,2)</f>
        <v>Sudeste</v>
      </c>
      <c r="G1281" s="15">
        <v>42116</v>
      </c>
      <c r="H1281">
        <f t="shared" si="96"/>
        <v>4</v>
      </c>
      <c r="I1281">
        <f t="shared" si="97"/>
        <v>22</v>
      </c>
      <c r="J1281">
        <f t="shared" si="98"/>
        <v>4</v>
      </c>
      <c r="K1281">
        <f t="shared" si="99"/>
        <v>2015</v>
      </c>
      <c r="M1281">
        <v>12</v>
      </c>
      <c r="N1281" t="str">
        <f>VLOOKUP(M1281,'Cadastro Vendedores'!A:H,2,2)</f>
        <v>Paulo</v>
      </c>
      <c r="O1281" s="2"/>
      <c r="P1281" s="16">
        <v>4900</v>
      </c>
      <c r="Q1281" s="2">
        <f>VLOOKUP(B1281,'Cadastro Produtos'!A:F,5,2)</f>
        <v>7</v>
      </c>
      <c r="R1281" s="14">
        <f t="shared" si="95"/>
        <v>34300</v>
      </c>
    </row>
    <row r="1282" spans="1:18" x14ac:dyDescent="0.25">
      <c r="A1282">
        <v>1281</v>
      </c>
      <c r="B1282">
        <v>7</v>
      </c>
      <c r="C1282" t="str">
        <f>VLOOKUP(B1282,'Cadastro Produtos'!A:E,2,2)</f>
        <v>Limonada Alfa Zero 1 L</v>
      </c>
      <c r="D1282">
        <v>11</v>
      </c>
      <c r="E1282" t="str">
        <f>VLOOKUP(D1282,'Cadatro Clientes'!A:O,2,2)</f>
        <v>Red Lemon</v>
      </c>
      <c r="F1282" t="str">
        <f>VLOOKUP(D1282,'Cadatro Clientes'!A:O,9,2)</f>
        <v>Sul</v>
      </c>
      <c r="G1282" s="15">
        <v>42116</v>
      </c>
      <c r="H1282">
        <f t="shared" si="96"/>
        <v>4</v>
      </c>
      <c r="I1282">
        <f t="shared" si="97"/>
        <v>22</v>
      </c>
      <c r="J1282">
        <f t="shared" si="98"/>
        <v>4</v>
      </c>
      <c r="K1282">
        <f t="shared" si="99"/>
        <v>2015</v>
      </c>
      <c r="M1282">
        <v>6</v>
      </c>
      <c r="N1282" t="str">
        <f>VLOOKUP(M1282,'Cadastro Vendedores'!A:H,2,2)</f>
        <v>Antônia</v>
      </c>
      <c r="O1282" s="2"/>
      <c r="P1282" s="16">
        <v>1800</v>
      </c>
      <c r="Q1282" s="2">
        <f>VLOOKUP(B1282,'Cadastro Produtos'!A:F,5,2)</f>
        <v>15</v>
      </c>
      <c r="R1282" s="14">
        <f t="shared" ref="R1282:R1345" si="100">Q1282*P1282</f>
        <v>27000</v>
      </c>
    </row>
    <row r="1283" spans="1:18" x14ac:dyDescent="0.25">
      <c r="A1283">
        <v>1282</v>
      </c>
      <c r="B1283">
        <v>5</v>
      </c>
      <c r="C1283" t="str">
        <f>VLOOKUP(B1283,'Cadastro Produtos'!A:E,2,2)</f>
        <v>Limonada Alfa com Açúcar 1 L</v>
      </c>
      <c r="D1283">
        <v>10</v>
      </c>
      <c r="E1283" t="str">
        <f>VLOOKUP(D1283,'Cadatro Clientes'!A:O,2,2)</f>
        <v>Lemon Gator</v>
      </c>
      <c r="F1283" t="str">
        <f>VLOOKUP(D1283,'Cadatro Clientes'!A:O,9,2)</f>
        <v>Nordeste</v>
      </c>
      <c r="G1283" s="15">
        <v>42116</v>
      </c>
      <c r="H1283">
        <f t="shared" ref="H1283:H1346" si="101">WEEKDAY(G1283)</f>
        <v>4</v>
      </c>
      <c r="I1283">
        <f t="shared" ref="I1283:I1346" si="102">DAY(G1283)</f>
        <v>22</v>
      </c>
      <c r="J1283">
        <f t="shared" ref="J1283:J1346" si="103">MONTH(G1283)</f>
        <v>4</v>
      </c>
      <c r="K1283">
        <f t="shared" ref="K1283:K1346" si="104">YEAR(G1283)</f>
        <v>2015</v>
      </c>
      <c r="M1283">
        <v>7</v>
      </c>
      <c r="N1283" t="str">
        <f>VLOOKUP(M1283,'Cadastro Vendedores'!A:H,2,2)</f>
        <v>Benedito</v>
      </c>
      <c r="O1283" s="2"/>
      <c r="P1283" s="16">
        <v>3500</v>
      </c>
      <c r="Q1283" s="2">
        <f>VLOOKUP(B1283,'Cadastro Produtos'!A:F,5,2)</f>
        <v>15</v>
      </c>
      <c r="R1283" s="14">
        <f t="shared" si="100"/>
        <v>52500</v>
      </c>
    </row>
    <row r="1284" spans="1:18" x14ac:dyDescent="0.25">
      <c r="A1284">
        <v>1283</v>
      </c>
      <c r="B1284">
        <v>1</v>
      </c>
      <c r="C1284" t="str">
        <f>VLOOKUP(B1284,'Cadastro Produtos'!A:E,2,2)</f>
        <v>Limonada Alfa com Açúcar 500 ml</v>
      </c>
      <c r="D1284">
        <v>16</v>
      </c>
      <c r="E1284" t="str">
        <f>VLOOKUP(D1284,'Cadatro Clientes'!A:O,2,2)</f>
        <v>Norte Suco</v>
      </c>
      <c r="F1284" t="str">
        <f>VLOOKUP(D1284,'Cadatro Clientes'!A:O,9,2)</f>
        <v>Nordeste</v>
      </c>
      <c r="G1284" s="15">
        <v>42117</v>
      </c>
      <c r="H1284">
        <f t="shared" si="101"/>
        <v>5</v>
      </c>
      <c r="I1284">
        <f t="shared" si="102"/>
        <v>23</v>
      </c>
      <c r="J1284">
        <f t="shared" si="103"/>
        <v>4</v>
      </c>
      <c r="K1284">
        <f t="shared" si="104"/>
        <v>2015</v>
      </c>
      <c r="M1284">
        <v>12</v>
      </c>
      <c r="N1284" t="str">
        <f>VLOOKUP(M1284,'Cadastro Vendedores'!A:H,2,2)</f>
        <v>Paulo</v>
      </c>
      <c r="O1284" s="2"/>
      <c r="P1284" s="16">
        <v>5400</v>
      </c>
      <c r="Q1284" s="2">
        <f>VLOOKUP(B1284,'Cadastro Produtos'!A:F,5,2)</f>
        <v>8.5</v>
      </c>
      <c r="R1284" s="14">
        <f t="shared" si="100"/>
        <v>45900</v>
      </c>
    </row>
    <row r="1285" spans="1:18" x14ac:dyDescent="0.25">
      <c r="A1285">
        <v>1284</v>
      </c>
      <c r="B1285">
        <v>3</v>
      </c>
      <c r="C1285" t="str">
        <f>VLOOKUP(B1285,'Cadastro Produtos'!A:E,2,2)</f>
        <v>Limonada Alfa Zero 500 ml</v>
      </c>
      <c r="D1285">
        <v>2</v>
      </c>
      <c r="E1285" t="str">
        <f>VLOOKUP(D1285,'Cadatro Clientes'!A:O,2,2)</f>
        <v>Limão S/A</v>
      </c>
      <c r="F1285" t="str">
        <f>VLOOKUP(D1285,'Cadatro Clientes'!A:O,9,2)</f>
        <v>Centro-Oeste</v>
      </c>
      <c r="G1285" s="15">
        <v>42117</v>
      </c>
      <c r="H1285">
        <f t="shared" si="101"/>
        <v>5</v>
      </c>
      <c r="I1285">
        <f t="shared" si="102"/>
        <v>23</v>
      </c>
      <c r="J1285">
        <f t="shared" si="103"/>
        <v>4</v>
      </c>
      <c r="K1285">
        <f t="shared" si="104"/>
        <v>2015</v>
      </c>
      <c r="M1285">
        <v>8</v>
      </c>
      <c r="N1285" t="str">
        <f>VLOOKUP(M1285,'Cadastro Vendedores'!A:H,2,2)</f>
        <v>Sérgio</v>
      </c>
      <c r="O1285" s="2"/>
      <c r="P1285" s="16">
        <v>3900</v>
      </c>
      <c r="Q1285" s="2">
        <f>VLOOKUP(B1285,'Cadastro Produtos'!A:F,5,2)</f>
        <v>9</v>
      </c>
      <c r="R1285" s="14">
        <f t="shared" si="100"/>
        <v>35100</v>
      </c>
    </row>
    <row r="1286" spans="1:18" x14ac:dyDescent="0.25">
      <c r="A1286">
        <v>1285</v>
      </c>
      <c r="B1286">
        <v>5</v>
      </c>
      <c r="C1286" t="str">
        <f>VLOOKUP(B1286,'Cadastro Produtos'!A:E,2,2)</f>
        <v>Limonada Alfa com Açúcar 1 L</v>
      </c>
      <c r="D1286">
        <v>14</v>
      </c>
      <c r="E1286" t="str">
        <f>VLOOKUP(D1286,'Cadatro Clientes'!A:O,2,2)</f>
        <v>Sprite</v>
      </c>
      <c r="F1286" t="str">
        <f>VLOOKUP(D1286,'Cadatro Clientes'!A:O,9,2)</f>
        <v>Norte</v>
      </c>
      <c r="G1286" s="15">
        <v>42118</v>
      </c>
      <c r="H1286">
        <f t="shared" si="101"/>
        <v>6</v>
      </c>
      <c r="I1286">
        <f t="shared" si="102"/>
        <v>24</v>
      </c>
      <c r="J1286">
        <f t="shared" si="103"/>
        <v>4</v>
      </c>
      <c r="K1286">
        <f t="shared" si="104"/>
        <v>2015</v>
      </c>
      <c r="M1286">
        <v>6</v>
      </c>
      <c r="N1286" t="str">
        <f>VLOOKUP(M1286,'Cadastro Vendedores'!A:H,2,2)</f>
        <v>Antônia</v>
      </c>
      <c r="O1286" s="2"/>
      <c r="P1286" s="16">
        <v>3000</v>
      </c>
      <c r="Q1286" s="2">
        <f>VLOOKUP(B1286,'Cadastro Produtos'!A:F,5,2)</f>
        <v>15</v>
      </c>
      <c r="R1286" s="14">
        <f t="shared" si="100"/>
        <v>45000</v>
      </c>
    </row>
    <row r="1287" spans="1:18" x14ac:dyDescent="0.25">
      <c r="A1287">
        <v>1286</v>
      </c>
      <c r="B1287">
        <v>2</v>
      </c>
      <c r="C1287" t="str">
        <f>VLOOKUP(B1287,'Cadastro Produtos'!A:E,2,2)</f>
        <v>Limonada Beta com Açúcar 500 ml</v>
      </c>
      <c r="D1287">
        <v>5</v>
      </c>
      <c r="E1287" t="str">
        <f>VLOOKUP(D1287,'Cadatro Clientes'!A:O,2,2)</f>
        <v>Axé com Limão</v>
      </c>
      <c r="F1287" t="str">
        <f>VLOOKUP(D1287,'Cadatro Clientes'!A:O,9,2)</f>
        <v>Nordeste</v>
      </c>
      <c r="G1287" s="15">
        <v>42119</v>
      </c>
      <c r="H1287">
        <f t="shared" si="101"/>
        <v>7</v>
      </c>
      <c r="I1287">
        <f t="shared" si="102"/>
        <v>25</v>
      </c>
      <c r="J1287">
        <f t="shared" si="103"/>
        <v>4</v>
      </c>
      <c r="K1287">
        <f t="shared" si="104"/>
        <v>2015</v>
      </c>
      <c r="M1287">
        <v>15</v>
      </c>
      <c r="N1287" t="str">
        <f>VLOOKUP(M1287,'Cadastro Vendedores'!A:H,2,2)</f>
        <v>Luis</v>
      </c>
      <c r="O1287" s="2"/>
      <c r="P1287" s="16">
        <v>8500</v>
      </c>
      <c r="Q1287" s="2">
        <f>VLOOKUP(B1287,'Cadastro Produtos'!A:F,5,2)</f>
        <v>6.5</v>
      </c>
      <c r="R1287" s="14">
        <f t="shared" si="100"/>
        <v>55250</v>
      </c>
    </row>
    <row r="1288" spans="1:18" x14ac:dyDescent="0.25">
      <c r="A1288">
        <v>1287</v>
      </c>
      <c r="B1288">
        <v>8</v>
      </c>
      <c r="C1288" t="str">
        <f>VLOOKUP(B1288,'Cadastro Produtos'!A:E,2,2)</f>
        <v>Limonada Beta Zero 1 L</v>
      </c>
      <c r="D1288">
        <v>6</v>
      </c>
      <c r="E1288" t="str">
        <f>VLOOKUP(D1288,'Cadatro Clientes'!A:O,2,2)</f>
        <v>Lemonade</v>
      </c>
      <c r="F1288" t="str">
        <f>VLOOKUP(D1288,'Cadatro Clientes'!A:O,9,2)</f>
        <v>Norte</v>
      </c>
      <c r="G1288" s="15">
        <v>42119</v>
      </c>
      <c r="H1288">
        <f t="shared" si="101"/>
        <v>7</v>
      </c>
      <c r="I1288">
        <f t="shared" si="102"/>
        <v>25</v>
      </c>
      <c r="J1288">
        <f t="shared" si="103"/>
        <v>4</v>
      </c>
      <c r="K1288">
        <f t="shared" si="104"/>
        <v>2015</v>
      </c>
      <c r="M1288">
        <v>4</v>
      </c>
      <c r="N1288" t="str">
        <f>VLOOKUP(M1288,'Cadastro Vendedores'!A:H,2,2)</f>
        <v>José</v>
      </c>
      <c r="O1288" s="2"/>
      <c r="P1288" s="16">
        <v>2900</v>
      </c>
      <c r="Q1288" s="2">
        <f>VLOOKUP(B1288,'Cadastro Produtos'!A:F,5,2)</f>
        <v>12</v>
      </c>
      <c r="R1288" s="14">
        <f t="shared" si="100"/>
        <v>34800</v>
      </c>
    </row>
    <row r="1289" spans="1:18" x14ac:dyDescent="0.25">
      <c r="A1289">
        <v>1288</v>
      </c>
      <c r="B1289">
        <v>5</v>
      </c>
      <c r="C1289" t="str">
        <f>VLOOKUP(B1289,'Cadastro Produtos'!A:E,2,2)</f>
        <v>Limonada Alfa com Açúcar 1 L</v>
      </c>
      <c r="D1289">
        <v>4</v>
      </c>
      <c r="E1289" t="str">
        <f>VLOOKUP(D1289,'Cadatro Clientes'!A:O,2,2)</f>
        <v>Limão Carioca e Cia</v>
      </c>
      <c r="F1289" t="str">
        <f>VLOOKUP(D1289,'Cadatro Clientes'!A:O,9,2)</f>
        <v>Sudeste</v>
      </c>
      <c r="G1289" s="15">
        <v>42119</v>
      </c>
      <c r="H1289">
        <f t="shared" si="101"/>
        <v>7</v>
      </c>
      <c r="I1289">
        <f t="shared" si="102"/>
        <v>25</v>
      </c>
      <c r="J1289">
        <f t="shared" si="103"/>
        <v>4</v>
      </c>
      <c r="K1289">
        <f t="shared" si="104"/>
        <v>2015</v>
      </c>
      <c r="M1289">
        <v>15</v>
      </c>
      <c r="N1289" t="str">
        <f>VLOOKUP(M1289,'Cadastro Vendedores'!A:H,2,2)</f>
        <v>Luis</v>
      </c>
      <c r="O1289" s="2"/>
      <c r="P1289" s="16">
        <v>1500</v>
      </c>
      <c r="Q1289" s="2">
        <f>VLOOKUP(B1289,'Cadastro Produtos'!A:F,5,2)</f>
        <v>15</v>
      </c>
      <c r="R1289" s="14">
        <f t="shared" si="100"/>
        <v>22500</v>
      </c>
    </row>
    <row r="1290" spans="1:18" x14ac:dyDescent="0.25">
      <c r="A1290">
        <v>1289</v>
      </c>
      <c r="B1290">
        <v>7</v>
      </c>
      <c r="C1290" t="str">
        <f>VLOOKUP(B1290,'Cadastro Produtos'!A:E,2,2)</f>
        <v>Limonada Alfa Zero 1 L</v>
      </c>
      <c r="D1290">
        <v>8</v>
      </c>
      <c r="E1290" t="str">
        <f>VLOOKUP(D1290,'Cadatro Clientes'!A:O,2,2)</f>
        <v>Refresko</v>
      </c>
      <c r="F1290" t="str">
        <f>VLOOKUP(D1290,'Cadatro Clientes'!A:O,9,2)</f>
        <v>Sul</v>
      </c>
      <c r="G1290" s="15">
        <v>42120</v>
      </c>
      <c r="H1290">
        <f t="shared" si="101"/>
        <v>1</v>
      </c>
      <c r="I1290">
        <f t="shared" si="102"/>
        <v>26</v>
      </c>
      <c r="J1290">
        <f t="shared" si="103"/>
        <v>4</v>
      </c>
      <c r="K1290">
        <f t="shared" si="104"/>
        <v>2015</v>
      </c>
      <c r="M1290">
        <v>2</v>
      </c>
      <c r="N1290" t="str">
        <f>VLOOKUP(M1290,'Cadastro Vendedores'!A:H,2,2)</f>
        <v>Luis</v>
      </c>
      <c r="O1290" s="2"/>
      <c r="P1290" s="16">
        <v>2200</v>
      </c>
      <c r="Q1290" s="2">
        <f>VLOOKUP(B1290,'Cadastro Produtos'!A:F,5,2)</f>
        <v>15</v>
      </c>
      <c r="R1290" s="14">
        <f t="shared" si="100"/>
        <v>33000</v>
      </c>
    </row>
    <row r="1291" spans="1:18" x14ac:dyDescent="0.25">
      <c r="A1291">
        <v>1290</v>
      </c>
      <c r="B1291">
        <v>9</v>
      </c>
      <c r="C1291" t="str">
        <f>VLOOKUP(B1291,'Cadastro Produtos'!A:E,2,2)</f>
        <v>Limonada Alfa com Hortelã e Açúcar 1 L</v>
      </c>
      <c r="D1291">
        <v>1</v>
      </c>
      <c r="E1291" t="str">
        <f>VLOOKUP(D1291,'Cadatro Clientes'!A:O,2,2)</f>
        <v>Meu Suco de Limão</v>
      </c>
      <c r="F1291" t="str">
        <f>VLOOKUP(D1291,'Cadatro Clientes'!A:O,9,2)</f>
        <v>Norte</v>
      </c>
      <c r="G1291" s="15">
        <v>42121</v>
      </c>
      <c r="H1291">
        <f t="shared" si="101"/>
        <v>2</v>
      </c>
      <c r="I1291">
        <f t="shared" si="102"/>
        <v>27</v>
      </c>
      <c r="J1291">
        <f t="shared" si="103"/>
        <v>4</v>
      </c>
      <c r="K1291">
        <f t="shared" si="104"/>
        <v>2015</v>
      </c>
      <c r="M1291">
        <v>4</v>
      </c>
      <c r="N1291" t="str">
        <f>VLOOKUP(M1291,'Cadastro Vendedores'!A:H,2,2)</f>
        <v>José</v>
      </c>
      <c r="O1291" s="2"/>
      <c r="P1291" s="16">
        <v>2900</v>
      </c>
      <c r="Q1291" s="2">
        <f>VLOOKUP(B1291,'Cadastro Produtos'!A:F,5,2)</f>
        <v>17.5</v>
      </c>
      <c r="R1291" s="14">
        <f t="shared" si="100"/>
        <v>50750</v>
      </c>
    </row>
    <row r="1292" spans="1:18" x14ac:dyDescent="0.25">
      <c r="A1292">
        <v>1291</v>
      </c>
      <c r="B1292">
        <v>9</v>
      </c>
      <c r="C1292" t="str">
        <f>VLOOKUP(B1292,'Cadastro Produtos'!A:E,2,2)</f>
        <v>Limonada Alfa com Hortelã e Açúcar 1 L</v>
      </c>
      <c r="D1292">
        <v>6</v>
      </c>
      <c r="E1292" t="str">
        <f>VLOOKUP(D1292,'Cadatro Clientes'!A:O,2,2)</f>
        <v>Lemonade</v>
      </c>
      <c r="F1292" t="str">
        <f>VLOOKUP(D1292,'Cadatro Clientes'!A:O,9,2)</f>
        <v>Norte</v>
      </c>
      <c r="G1292" s="15">
        <v>42121</v>
      </c>
      <c r="H1292">
        <f t="shared" si="101"/>
        <v>2</v>
      </c>
      <c r="I1292">
        <f t="shared" si="102"/>
        <v>27</v>
      </c>
      <c r="J1292">
        <f t="shared" si="103"/>
        <v>4</v>
      </c>
      <c r="K1292">
        <f t="shared" si="104"/>
        <v>2015</v>
      </c>
      <c r="M1292">
        <v>6</v>
      </c>
      <c r="N1292" t="str">
        <f>VLOOKUP(M1292,'Cadastro Vendedores'!A:H,2,2)</f>
        <v>Antônia</v>
      </c>
      <c r="O1292" s="2"/>
      <c r="P1292" s="16">
        <v>1100</v>
      </c>
      <c r="Q1292" s="2">
        <f>VLOOKUP(B1292,'Cadastro Produtos'!A:F,5,2)</f>
        <v>17.5</v>
      </c>
      <c r="R1292" s="14">
        <f t="shared" si="100"/>
        <v>19250</v>
      </c>
    </row>
    <row r="1293" spans="1:18" x14ac:dyDescent="0.25">
      <c r="A1293">
        <v>1292</v>
      </c>
      <c r="B1293">
        <v>3</v>
      </c>
      <c r="C1293" t="str">
        <f>VLOOKUP(B1293,'Cadastro Produtos'!A:E,2,2)</f>
        <v>Limonada Alfa Zero 500 ml</v>
      </c>
      <c r="D1293">
        <v>20</v>
      </c>
      <c r="E1293" t="str">
        <f>VLOOKUP(D1293,'Cadatro Clientes'!A:O,2,2)</f>
        <v>Brasil Saúde</v>
      </c>
      <c r="F1293" t="str">
        <f>VLOOKUP(D1293,'Cadatro Clientes'!A:O,9,2)</f>
        <v>Nordeste</v>
      </c>
      <c r="G1293" s="15">
        <v>42122</v>
      </c>
      <c r="H1293">
        <f t="shared" si="101"/>
        <v>3</v>
      </c>
      <c r="I1293">
        <f t="shared" si="102"/>
        <v>28</v>
      </c>
      <c r="J1293">
        <f t="shared" si="103"/>
        <v>4</v>
      </c>
      <c r="K1293">
        <f t="shared" si="104"/>
        <v>2015</v>
      </c>
      <c r="M1293">
        <v>6</v>
      </c>
      <c r="N1293" t="str">
        <f>VLOOKUP(M1293,'Cadastro Vendedores'!A:H,2,2)</f>
        <v>Antônia</v>
      </c>
      <c r="O1293" s="2"/>
      <c r="P1293" s="16">
        <v>2300</v>
      </c>
      <c r="Q1293" s="2">
        <f>VLOOKUP(B1293,'Cadastro Produtos'!A:F,5,2)</f>
        <v>9</v>
      </c>
      <c r="R1293" s="14">
        <f t="shared" si="100"/>
        <v>20700</v>
      </c>
    </row>
    <row r="1294" spans="1:18" x14ac:dyDescent="0.25">
      <c r="A1294">
        <v>1293</v>
      </c>
      <c r="B1294">
        <v>3</v>
      </c>
      <c r="C1294" t="str">
        <f>VLOOKUP(B1294,'Cadastro Produtos'!A:E,2,2)</f>
        <v>Limonada Alfa Zero 500 ml</v>
      </c>
      <c r="D1294">
        <v>9</v>
      </c>
      <c r="E1294" t="str">
        <f>VLOOKUP(D1294,'Cadatro Clientes'!A:O,2,2)</f>
        <v>Fresh Lemon</v>
      </c>
      <c r="F1294" t="str">
        <f>VLOOKUP(D1294,'Cadatro Clientes'!A:O,9,2)</f>
        <v>Sudeste</v>
      </c>
      <c r="G1294" s="15">
        <v>42122</v>
      </c>
      <c r="H1294">
        <f t="shared" si="101"/>
        <v>3</v>
      </c>
      <c r="I1294">
        <f t="shared" si="102"/>
        <v>28</v>
      </c>
      <c r="J1294">
        <f t="shared" si="103"/>
        <v>4</v>
      </c>
      <c r="K1294">
        <f t="shared" si="104"/>
        <v>2015</v>
      </c>
      <c r="M1294">
        <v>9</v>
      </c>
      <c r="N1294" t="str">
        <f>VLOOKUP(M1294,'Cadastro Vendedores'!A:H,2,2)</f>
        <v>Adriana</v>
      </c>
      <c r="O1294" s="2"/>
      <c r="P1294" s="16">
        <v>4800</v>
      </c>
      <c r="Q1294" s="2">
        <f>VLOOKUP(B1294,'Cadastro Produtos'!A:F,5,2)</f>
        <v>9</v>
      </c>
      <c r="R1294" s="14">
        <f t="shared" si="100"/>
        <v>43200</v>
      </c>
    </row>
    <row r="1295" spans="1:18" x14ac:dyDescent="0.25">
      <c r="A1295">
        <v>1294</v>
      </c>
      <c r="B1295">
        <v>8</v>
      </c>
      <c r="C1295" t="str">
        <f>VLOOKUP(B1295,'Cadastro Produtos'!A:E,2,2)</f>
        <v>Limonada Beta Zero 1 L</v>
      </c>
      <c r="D1295">
        <v>4</v>
      </c>
      <c r="E1295" t="str">
        <f>VLOOKUP(D1295,'Cadatro Clientes'!A:O,2,2)</f>
        <v>Limão Carioca e Cia</v>
      </c>
      <c r="F1295" t="str">
        <f>VLOOKUP(D1295,'Cadatro Clientes'!A:O,9,2)</f>
        <v>Sudeste</v>
      </c>
      <c r="G1295" s="15">
        <v>42122</v>
      </c>
      <c r="H1295">
        <f t="shared" si="101"/>
        <v>3</v>
      </c>
      <c r="I1295">
        <f t="shared" si="102"/>
        <v>28</v>
      </c>
      <c r="J1295">
        <f t="shared" si="103"/>
        <v>4</v>
      </c>
      <c r="K1295">
        <f t="shared" si="104"/>
        <v>2015</v>
      </c>
      <c r="M1295">
        <v>7</v>
      </c>
      <c r="N1295" t="str">
        <f>VLOOKUP(M1295,'Cadastro Vendedores'!A:H,2,2)</f>
        <v>Benedito</v>
      </c>
      <c r="O1295" s="2"/>
      <c r="P1295" s="16">
        <v>3600</v>
      </c>
      <c r="Q1295" s="2">
        <f>VLOOKUP(B1295,'Cadastro Produtos'!A:F,5,2)</f>
        <v>12</v>
      </c>
      <c r="R1295" s="14">
        <f t="shared" si="100"/>
        <v>43200</v>
      </c>
    </row>
    <row r="1296" spans="1:18" x14ac:dyDescent="0.25">
      <c r="A1296">
        <v>1295</v>
      </c>
      <c r="B1296">
        <v>8</v>
      </c>
      <c r="C1296" t="str">
        <f>VLOOKUP(B1296,'Cadastro Produtos'!A:E,2,2)</f>
        <v>Limonada Beta Zero 1 L</v>
      </c>
      <c r="D1296">
        <v>5</v>
      </c>
      <c r="E1296" t="str">
        <f>VLOOKUP(D1296,'Cadatro Clientes'!A:O,2,2)</f>
        <v>Axé com Limão</v>
      </c>
      <c r="F1296" t="str">
        <f>VLOOKUP(D1296,'Cadatro Clientes'!A:O,9,2)</f>
        <v>Nordeste</v>
      </c>
      <c r="G1296" s="15">
        <v>42123</v>
      </c>
      <c r="H1296">
        <f t="shared" si="101"/>
        <v>4</v>
      </c>
      <c r="I1296">
        <f t="shared" si="102"/>
        <v>29</v>
      </c>
      <c r="J1296">
        <f t="shared" si="103"/>
        <v>4</v>
      </c>
      <c r="K1296">
        <f t="shared" si="104"/>
        <v>2015</v>
      </c>
      <c r="M1296">
        <v>3</v>
      </c>
      <c r="N1296" t="str">
        <f>VLOOKUP(M1296,'Cadastro Vendedores'!A:H,2,2)</f>
        <v>Antônia</v>
      </c>
      <c r="O1296" s="2"/>
      <c r="P1296" s="16">
        <v>1700</v>
      </c>
      <c r="Q1296" s="2">
        <f>VLOOKUP(B1296,'Cadastro Produtos'!A:F,5,2)</f>
        <v>12</v>
      </c>
      <c r="R1296" s="14">
        <f t="shared" si="100"/>
        <v>20400</v>
      </c>
    </row>
    <row r="1297" spans="1:18" x14ac:dyDescent="0.25">
      <c r="A1297">
        <v>1296</v>
      </c>
      <c r="B1297">
        <v>7</v>
      </c>
      <c r="C1297" t="str">
        <f>VLOOKUP(B1297,'Cadastro Produtos'!A:E,2,2)</f>
        <v>Limonada Alfa Zero 1 L</v>
      </c>
      <c r="D1297">
        <v>18</v>
      </c>
      <c r="E1297" t="str">
        <f>VLOOKUP(D1297,'Cadatro Clientes'!A:O,2,2)</f>
        <v>Rio Branco Limonada Ltda</v>
      </c>
      <c r="F1297" t="str">
        <f>VLOOKUP(D1297,'Cadatro Clientes'!A:O,9,2)</f>
        <v>Norte</v>
      </c>
      <c r="G1297" s="15">
        <v>42123</v>
      </c>
      <c r="H1297">
        <f t="shared" si="101"/>
        <v>4</v>
      </c>
      <c r="I1297">
        <f t="shared" si="102"/>
        <v>29</v>
      </c>
      <c r="J1297">
        <f t="shared" si="103"/>
        <v>4</v>
      </c>
      <c r="K1297">
        <f t="shared" si="104"/>
        <v>2015</v>
      </c>
      <c r="M1297">
        <v>8</v>
      </c>
      <c r="N1297" t="str">
        <f>VLOOKUP(M1297,'Cadastro Vendedores'!A:H,2,2)</f>
        <v>Sérgio</v>
      </c>
      <c r="O1297" s="2"/>
      <c r="P1297" s="16">
        <v>3600</v>
      </c>
      <c r="Q1297" s="2">
        <f>VLOOKUP(B1297,'Cadastro Produtos'!A:F,5,2)</f>
        <v>15</v>
      </c>
      <c r="R1297" s="14">
        <f t="shared" si="100"/>
        <v>54000</v>
      </c>
    </row>
    <row r="1298" spans="1:18" x14ac:dyDescent="0.25">
      <c r="A1298">
        <v>1297</v>
      </c>
      <c r="B1298">
        <v>8</v>
      </c>
      <c r="C1298" t="str">
        <f>VLOOKUP(B1298,'Cadastro Produtos'!A:E,2,2)</f>
        <v>Limonada Beta Zero 1 L</v>
      </c>
      <c r="D1298">
        <v>6</v>
      </c>
      <c r="E1298" t="str">
        <f>VLOOKUP(D1298,'Cadatro Clientes'!A:O,2,2)</f>
        <v>Lemonade</v>
      </c>
      <c r="F1298" t="str">
        <f>VLOOKUP(D1298,'Cadatro Clientes'!A:O,9,2)</f>
        <v>Norte</v>
      </c>
      <c r="G1298" s="15">
        <v>42124</v>
      </c>
      <c r="H1298">
        <f t="shared" si="101"/>
        <v>5</v>
      </c>
      <c r="I1298">
        <f t="shared" si="102"/>
        <v>30</v>
      </c>
      <c r="J1298">
        <f t="shared" si="103"/>
        <v>4</v>
      </c>
      <c r="K1298">
        <f t="shared" si="104"/>
        <v>2015</v>
      </c>
      <c r="M1298">
        <v>7</v>
      </c>
      <c r="N1298" t="str">
        <f>VLOOKUP(M1298,'Cadastro Vendedores'!A:H,2,2)</f>
        <v>Benedito</v>
      </c>
      <c r="O1298" s="2"/>
      <c r="P1298" s="16">
        <v>900</v>
      </c>
      <c r="Q1298" s="2">
        <f>VLOOKUP(B1298,'Cadastro Produtos'!A:F,5,2)</f>
        <v>12</v>
      </c>
      <c r="R1298" s="14">
        <f t="shared" si="100"/>
        <v>10800</v>
      </c>
    </row>
    <row r="1299" spans="1:18" x14ac:dyDescent="0.25">
      <c r="A1299">
        <v>1298</v>
      </c>
      <c r="B1299">
        <v>3</v>
      </c>
      <c r="C1299" t="str">
        <f>VLOOKUP(B1299,'Cadastro Produtos'!A:E,2,2)</f>
        <v>Limonada Alfa Zero 500 ml</v>
      </c>
      <c r="D1299">
        <v>20</v>
      </c>
      <c r="E1299" t="str">
        <f>VLOOKUP(D1299,'Cadatro Clientes'!A:O,2,2)</f>
        <v>Brasil Saúde</v>
      </c>
      <c r="F1299" t="str">
        <f>VLOOKUP(D1299,'Cadatro Clientes'!A:O,9,2)</f>
        <v>Nordeste</v>
      </c>
      <c r="G1299" s="15">
        <v>42124</v>
      </c>
      <c r="H1299">
        <f t="shared" si="101"/>
        <v>5</v>
      </c>
      <c r="I1299">
        <f t="shared" si="102"/>
        <v>30</v>
      </c>
      <c r="J1299">
        <f t="shared" si="103"/>
        <v>4</v>
      </c>
      <c r="K1299">
        <f t="shared" si="104"/>
        <v>2015</v>
      </c>
      <c r="M1299">
        <v>7</v>
      </c>
      <c r="N1299" t="str">
        <f>VLOOKUP(M1299,'Cadastro Vendedores'!A:H,2,2)</f>
        <v>Benedito</v>
      </c>
      <c r="O1299" s="2"/>
      <c r="P1299" s="16">
        <v>3900</v>
      </c>
      <c r="Q1299" s="2">
        <f>VLOOKUP(B1299,'Cadastro Produtos'!A:F,5,2)</f>
        <v>9</v>
      </c>
      <c r="R1299" s="14">
        <f t="shared" si="100"/>
        <v>35100</v>
      </c>
    </row>
    <row r="1300" spans="1:18" x14ac:dyDescent="0.25">
      <c r="A1300">
        <v>1299</v>
      </c>
      <c r="B1300">
        <v>9</v>
      </c>
      <c r="C1300" t="str">
        <f>VLOOKUP(B1300,'Cadastro Produtos'!A:E,2,2)</f>
        <v>Limonada Alfa com Hortelã e Açúcar 1 L</v>
      </c>
      <c r="D1300">
        <v>16</v>
      </c>
      <c r="E1300" t="str">
        <f>VLOOKUP(D1300,'Cadatro Clientes'!A:O,2,2)</f>
        <v>Norte Suco</v>
      </c>
      <c r="F1300" t="str">
        <f>VLOOKUP(D1300,'Cadatro Clientes'!A:O,9,2)</f>
        <v>Nordeste</v>
      </c>
      <c r="G1300" s="15">
        <v>42124</v>
      </c>
      <c r="H1300">
        <f t="shared" si="101"/>
        <v>5</v>
      </c>
      <c r="I1300">
        <f t="shared" si="102"/>
        <v>30</v>
      </c>
      <c r="J1300">
        <f t="shared" si="103"/>
        <v>4</v>
      </c>
      <c r="K1300">
        <f t="shared" si="104"/>
        <v>2015</v>
      </c>
      <c r="M1300">
        <v>6</v>
      </c>
      <c r="N1300" t="str">
        <f>VLOOKUP(M1300,'Cadastro Vendedores'!A:H,2,2)</f>
        <v>Antônia</v>
      </c>
      <c r="O1300" s="2"/>
      <c r="P1300" s="16">
        <v>2000</v>
      </c>
      <c r="Q1300" s="2">
        <f>VLOOKUP(B1300,'Cadastro Produtos'!A:F,5,2)</f>
        <v>17.5</v>
      </c>
      <c r="R1300" s="14">
        <f t="shared" si="100"/>
        <v>35000</v>
      </c>
    </row>
    <row r="1301" spans="1:18" x14ac:dyDescent="0.25">
      <c r="A1301">
        <v>1300</v>
      </c>
      <c r="B1301">
        <v>4</v>
      </c>
      <c r="C1301" t="str">
        <f>VLOOKUP(B1301,'Cadastro Produtos'!A:E,2,2)</f>
        <v>Limonada Beta Zero 500 ml</v>
      </c>
      <c r="D1301">
        <v>7</v>
      </c>
      <c r="E1301" t="str">
        <f>VLOOKUP(D1301,'Cadatro Clientes'!A:O,2,2)</f>
        <v>Limo</v>
      </c>
      <c r="F1301" t="str">
        <f>VLOOKUP(D1301,'Cadatro Clientes'!A:O,9,2)</f>
        <v>Centro-Oeste</v>
      </c>
      <c r="G1301" s="15">
        <v>42124</v>
      </c>
      <c r="H1301">
        <f t="shared" si="101"/>
        <v>5</v>
      </c>
      <c r="I1301">
        <f t="shared" si="102"/>
        <v>30</v>
      </c>
      <c r="J1301">
        <f t="shared" si="103"/>
        <v>4</v>
      </c>
      <c r="K1301">
        <f t="shared" si="104"/>
        <v>2015</v>
      </c>
      <c r="M1301">
        <v>6</v>
      </c>
      <c r="N1301" t="str">
        <f>VLOOKUP(M1301,'Cadastro Vendedores'!A:H,2,2)</f>
        <v>Antônia</v>
      </c>
      <c r="O1301" s="2"/>
      <c r="P1301" s="16">
        <v>6100</v>
      </c>
      <c r="Q1301" s="2">
        <f>VLOOKUP(B1301,'Cadastro Produtos'!A:F,5,2)</f>
        <v>7</v>
      </c>
      <c r="R1301" s="14">
        <f t="shared" si="100"/>
        <v>42700</v>
      </c>
    </row>
    <row r="1302" spans="1:18" x14ac:dyDescent="0.25">
      <c r="A1302">
        <v>1301</v>
      </c>
      <c r="B1302">
        <v>8</v>
      </c>
      <c r="C1302" t="str">
        <f>VLOOKUP(B1302,'Cadastro Produtos'!A:E,2,2)</f>
        <v>Limonada Beta Zero 1 L</v>
      </c>
      <c r="D1302">
        <v>4</v>
      </c>
      <c r="E1302" t="str">
        <f>VLOOKUP(D1302,'Cadatro Clientes'!A:O,2,2)</f>
        <v>Limão Carioca e Cia</v>
      </c>
      <c r="F1302" t="str">
        <f>VLOOKUP(D1302,'Cadatro Clientes'!A:O,9,2)</f>
        <v>Sudeste</v>
      </c>
      <c r="G1302" s="15">
        <v>42124</v>
      </c>
      <c r="H1302">
        <f t="shared" si="101"/>
        <v>5</v>
      </c>
      <c r="I1302">
        <f t="shared" si="102"/>
        <v>30</v>
      </c>
      <c r="J1302">
        <f t="shared" si="103"/>
        <v>4</v>
      </c>
      <c r="K1302">
        <f t="shared" si="104"/>
        <v>2015</v>
      </c>
      <c r="M1302">
        <v>8</v>
      </c>
      <c r="N1302" t="str">
        <f>VLOOKUP(M1302,'Cadastro Vendedores'!A:H,2,2)</f>
        <v>Sérgio</v>
      </c>
      <c r="O1302" s="2"/>
      <c r="P1302" s="16">
        <v>2500</v>
      </c>
      <c r="Q1302" s="2">
        <f>VLOOKUP(B1302,'Cadastro Produtos'!A:F,5,2)</f>
        <v>12</v>
      </c>
      <c r="R1302" s="14">
        <f t="shared" si="100"/>
        <v>30000</v>
      </c>
    </row>
    <row r="1303" spans="1:18" x14ac:dyDescent="0.25">
      <c r="A1303">
        <v>1302</v>
      </c>
      <c r="B1303">
        <v>5</v>
      </c>
      <c r="C1303" t="str">
        <f>VLOOKUP(B1303,'Cadastro Produtos'!A:E,2,2)</f>
        <v>Limonada Alfa com Açúcar 1 L</v>
      </c>
      <c r="D1303">
        <v>15</v>
      </c>
      <c r="E1303" t="str">
        <f>VLOOKUP(D1303,'Cadatro Clientes'!A:O,2,2)</f>
        <v>Limão do Mané</v>
      </c>
      <c r="F1303" t="str">
        <f>VLOOKUP(D1303,'Cadatro Clientes'!A:O,9,2)</f>
        <v>Sul</v>
      </c>
      <c r="G1303" s="15">
        <v>42124</v>
      </c>
      <c r="H1303">
        <f t="shared" si="101"/>
        <v>5</v>
      </c>
      <c r="I1303">
        <f t="shared" si="102"/>
        <v>30</v>
      </c>
      <c r="J1303">
        <f t="shared" si="103"/>
        <v>4</v>
      </c>
      <c r="K1303">
        <f t="shared" si="104"/>
        <v>2015</v>
      </c>
      <c r="M1303">
        <v>15</v>
      </c>
      <c r="N1303" t="str">
        <f>VLOOKUP(M1303,'Cadastro Vendedores'!A:H,2,2)</f>
        <v>Luis</v>
      </c>
      <c r="O1303" s="2"/>
      <c r="P1303" s="16">
        <v>2500</v>
      </c>
      <c r="Q1303" s="2">
        <f>VLOOKUP(B1303,'Cadastro Produtos'!A:F,5,2)</f>
        <v>15</v>
      </c>
      <c r="R1303" s="14">
        <f t="shared" si="100"/>
        <v>37500</v>
      </c>
    </row>
    <row r="1304" spans="1:18" x14ac:dyDescent="0.25">
      <c r="A1304">
        <v>1303</v>
      </c>
      <c r="B1304">
        <v>1</v>
      </c>
      <c r="C1304" t="str">
        <f>VLOOKUP(B1304,'Cadastro Produtos'!A:E,2,2)</f>
        <v>Limonada Alfa com Açúcar 500 ml</v>
      </c>
      <c r="D1304">
        <v>9</v>
      </c>
      <c r="E1304" t="str">
        <f>VLOOKUP(D1304,'Cadatro Clientes'!A:O,2,2)</f>
        <v>Fresh Lemon</v>
      </c>
      <c r="F1304" t="str">
        <f>VLOOKUP(D1304,'Cadatro Clientes'!A:O,9,2)</f>
        <v>Sudeste</v>
      </c>
      <c r="G1304" s="15">
        <v>42125</v>
      </c>
      <c r="H1304">
        <f t="shared" si="101"/>
        <v>6</v>
      </c>
      <c r="I1304">
        <f t="shared" si="102"/>
        <v>1</v>
      </c>
      <c r="J1304">
        <f t="shared" si="103"/>
        <v>5</v>
      </c>
      <c r="K1304">
        <f t="shared" si="104"/>
        <v>2015</v>
      </c>
      <c r="M1304">
        <v>8</v>
      </c>
      <c r="N1304" t="str">
        <f>VLOOKUP(M1304,'Cadastro Vendedores'!A:H,2,2)</f>
        <v>Sérgio</v>
      </c>
      <c r="O1304" s="2"/>
      <c r="P1304" s="16">
        <v>2100</v>
      </c>
      <c r="Q1304" s="2">
        <f>VLOOKUP(B1304,'Cadastro Produtos'!A:F,5,2)</f>
        <v>8.5</v>
      </c>
      <c r="R1304" s="14">
        <f t="shared" si="100"/>
        <v>17850</v>
      </c>
    </row>
    <row r="1305" spans="1:18" x14ac:dyDescent="0.25">
      <c r="A1305">
        <v>1304</v>
      </c>
      <c r="B1305">
        <v>5</v>
      </c>
      <c r="C1305" t="str">
        <f>VLOOKUP(B1305,'Cadastro Produtos'!A:E,2,2)</f>
        <v>Limonada Alfa com Açúcar 1 L</v>
      </c>
      <c r="D1305">
        <v>18</v>
      </c>
      <c r="E1305" t="str">
        <f>VLOOKUP(D1305,'Cadatro Clientes'!A:O,2,2)</f>
        <v>Rio Branco Limonada Ltda</v>
      </c>
      <c r="F1305" t="str">
        <f>VLOOKUP(D1305,'Cadatro Clientes'!A:O,9,2)</f>
        <v>Norte</v>
      </c>
      <c r="G1305" s="15">
        <v>42125</v>
      </c>
      <c r="H1305">
        <f t="shared" si="101"/>
        <v>6</v>
      </c>
      <c r="I1305">
        <f t="shared" si="102"/>
        <v>1</v>
      </c>
      <c r="J1305">
        <f t="shared" si="103"/>
        <v>5</v>
      </c>
      <c r="K1305">
        <f t="shared" si="104"/>
        <v>2015</v>
      </c>
      <c r="M1305">
        <v>13</v>
      </c>
      <c r="N1305" t="str">
        <f>VLOOKUP(M1305,'Cadastro Vendedores'!A:H,2,2)</f>
        <v>Andre</v>
      </c>
      <c r="O1305" s="2"/>
      <c r="P1305" s="16">
        <v>2600</v>
      </c>
      <c r="Q1305" s="2">
        <f>VLOOKUP(B1305,'Cadastro Produtos'!A:F,5,2)</f>
        <v>15</v>
      </c>
      <c r="R1305" s="14">
        <f t="shared" si="100"/>
        <v>39000</v>
      </c>
    </row>
    <row r="1306" spans="1:18" x14ac:dyDescent="0.25">
      <c r="A1306">
        <v>1305</v>
      </c>
      <c r="B1306">
        <v>6</v>
      </c>
      <c r="C1306" t="str">
        <f>VLOOKUP(B1306,'Cadastro Produtos'!A:E,2,2)</f>
        <v>Limonada Beta com Açúcar 1 L</v>
      </c>
      <c r="D1306">
        <v>15</v>
      </c>
      <c r="E1306" t="str">
        <f>VLOOKUP(D1306,'Cadatro Clientes'!A:O,2,2)</f>
        <v>Limão do Mané</v>
      </c>
      <c r="F1306" t="str">
        <f>VLOOKUP(D1306,'Cadatro Clientes'!A:O,9,2)</f>
        <v>Sul</v>
      </c>
      <c r="G1306" s="15">
        <v>42125</v>
      </c>
      <c r="H1306">
        <f t="shared" si="101"/>
        <v>6</v>
      </c>
      <c r="I1306">
        <f t="shared" si="102"/>
        <v>1</v>
      </c>
      <c r="J1306">
        <f t="shared" si="103"/>
        <v>5</v>
      </c>
      <c r="K1306">
        <f t="shared" si="104"/>
        <v>2015</v>
      </c>
      <c r="M1306">
        <v>12</v>
      </c>
      <c r="N1306" t="str">
        <f>VLOOKUP(M1306,'Cadastro Vendedores'!A:H,2,2)</f>
        <v>Paulo</v>
      </c>
      <c r="O1306" s="2"/>
      <c r="P1306" s="16">
        <v>2400</v>
      </c>
      <c r="Q1306" s="2">
        <f>VLOOKUP(B1306,'Cadastro Produtos'!A:F,5,2)</f>
        <v>12</v>
      </c>
      <c r="R1306" s="14">
        <f t="shared" si="100"/>
        <v>28800</v>
      </c>
    </row>
    <row r="1307" spans="1:18" x14ac:dyDescent="0.25">
      <c r="A1307">
        <v>1306</v>
      </c>
      <c r="B1307">
        <v>8</v>
      </c>
      <c r="C1307" t="str">
        <f>VLOOKUP(B1307,'Cadastro Produtos'!A:E,2,2)</f>
        <v>Limonada Beta Zero 1 L</v>
      </c>
      <c r="D1307">
        <v>16</v>
      </c>
      <c r="E1307" t="str">
        <f>VLOOKUP(D1307,'Cadatro Clientes'!A:O,2,2)</f>
        <v>Norte Suco</v>
      </c>
      <c r="F1307" t="str">
        <f>VLOOKUP(D1307,'Cadatro Clientes'!A:O,9,2)</f>
        <v>Nordeste</v>
      </c>
      <c r="G1307" s="15">
        <v>42126</v>
      </c>
      <c r="H1307">
        <f t="shared" si="101"/>
        <v>7</v>
      </c>
      <c r="I1307">
        <f t="shared" si="102"/>
        <v>2</v>
      </c>
      <c r="J1307">
        <f t="shared" si="103"/>
        <v>5</v>
      </c>
      <c r="K1307">
        <f t="shared" si="104"/>
        <v>2015</v>
      </c>
      <c r="M1307">
        <v>13</v>
      </c>
      <c r="N1307" t="str">
        <f>VLOOKUP(M1307,'Cadastro Vendedores'!A:H,2,2)</f>
        <v>Andre</v>
      </c>
      <c r="O1307" s="2"/>
      <c r="P1307" s="16">
        <v>1300</v>
      </c>
      <c r="Q1307" s="2">
        <f>VLOOKUP(B1307,'Cadastro Produtos'!A:F,5,2)</f>
        <v>12</v>
      </c>
      <c r="R1307" s="14">
        <f t="shared" si="100"/>
        <v>15600</v>
      </c>
    </row>
    <row r="1308" spans="1:18" x14ac:dyDescent="0.25">
      <c r="A1308">
        <v>1307</v>
      </c>
      <c r="B1308">
        <v>6</v>
      </c>
      <c r="C1308" t="str">
        <f>VLOOKUP(B1308,'Cadastro Produtos'!A:E,2,2)</f>
        <v>Limonada Beta com Açúcar 1 L</v>
      </c>
      <c r="D1308">
        <v>13</v>
      </c>
      <c r="E1308" t="str">
        <f>VLOOKUP(D1308,'Cadatro Clientes'!A:O,2,2)</f>
        <v>Monster Lemon</v>
      </c>
      <c r="F1308" t="str">
        <f>VLOOKUP(D1308,'Cadatro Clientes'!A:O,9,2)</f>
        <v>Nordeste</v>
      </c>
      <c r="G1308" s="15">
        <v>42126</v>
      </c>
      <c r="H1308">
        <f t="shared" si="101"/>
        <v>7</v>
      </c>
      <c r="I1308">
        <f t="shared" si="102"/>
        <v>2</v>
      </c>
      <c r="J1308">
        <f t="shared" si="103"/>
        <v>5</v>
      </c>
      <c r="K1308">
        <f t="shared" si="104"/>
        <v>2015</v>
      </c>
      <c r="M1308">
        <v>6</v>
      </c>
      <c r="N1308" t="str">
        <f>VLOOKUP(M1308,'Cadastro Vendedores'!A:H,2,2)</f>
        <v>Antônia</v>
      </c>
      <c r="O1308" s="2"/>
      <c r="P1308" s="16">
        <v>3700</v>
      </c>
      <c r="Q1308" s="2">
        <f>VLOOKUP(B1308,'Cadastro Produtos'!A:F,5,2)</f>
        <v>12</v>
      </c>
      <c r="R1308" s="14">
        <f t="shared" si="100"/>
        <v>44400</v>
      </c>
    </row>
    <row r="1309" spans="1:18" x14ac:dyDescent="0.25">
      <c r="A1309">
        <v>1308</v>
      </c>
      <c r="B1309">
        <v>6</v>
      </c>
      <c r="C1309" t="str">
        <f>VLOOKUP(B1309,'Cadastro Produtos'!A:E,2,2)</f>
        <v>Limonada Beta com Açúcar 1 L</v>
      </c>
      <c r="D1309">
        <v>8</v>
      </c>
      <c r="E1309" t="str">
        <f>VLOOKUP(D1309,'Cadatro Clientes'!A:O,2,2)</f>
        <v>Refresko</v>
      </c>
      <c r="F1309" t="str">
        <f>VLOOKUP(D1309,'Cadatro Clientes'!A:O,9,2)</f>
        <v>Sul</v>
      </c>
      <c r="G1309" s="15">
        <v>42127</v>
      </c>
      <c r="H1309">
        <f t="shared" si="101"/>
        <v>1</v>
      </c>
      <c r="I1309">
        <f t="shared" si="102"/>
        <v>3</v>
      </c>
      <c r="J1309">
        <f t="shared" si="103"/>
        <v>5</v>
      </c>
      <c r="K1309">
        <f t="shared" si="104"/>
        <v>2015</v>
      </c>
      <c r="M1309">
        <v>8</v>
      </c>
      <c r="N1309" t="str">
        <f>VLOOKUP(M1309,'Cadastro Vendedores'!A:H,2,2)</f>
        <v>Sérgio</v>
      </c>
      <c r="O1309" s="2"/>
      <c r="P1309" s="16">
        <v>3700</v>
      </c>
      <c r="Q1309" s="2">
        <f>VLOOKUP(B1309,'Cadastro Produtos'!A:F,5,2)</f>
        <v>12</v>
      </c>
      <c r="R1309" s="14">
        <f t="shared" si="100"/>
        <v>44400</v>
      </c>
    </row>
    <row r="1310" spans="1:18" x14ac:dyDescent="0.25">
      <c r="A1310">
        <v>1309</v>
      </c>
      <c r="B1310">
        <v>3</v>
      </c>
      <c r="C1310" t="str">
        <f>VLOOKUP(B1310,'Cadastro Produtos'!A:E,2,2)</f>
        <v>Limonada Alfa Zero 500 ml</v>
      </c>
      <c r="D1310">
        <v>7</v>
      </c>
      <c r="E1310" t="str">
        <f>VLOOKUP(D1310,'Cadatro Clientes'!A:O,2,2)</f>
        <v>Limo</v>
      </c>
      <c r="F1310" t="str">
        <f>VLOOKUP(D1310,'Cadatro Clientes'!A:O,9,2)</f>
        <v>Centro-Oeste</v>
      </c>
      <c r="G1310" s="15">
        <v>42127</v>
      </c>
      <c r="H1310">
        <f t="shared" si="101"/>
        <v>1</v>
      </c>
      <c r="I1310">
        <f t="shared" si="102"/>
        <v>3</v>
      </c>
      <c r="J1310">
        <f t="shared" si="103"/>
        <v>5</v>
      </c>
      <c r="K1310">
        <f t="shared" si="104"/>
        <v>2015</v>
      </c>
      <c r="M1310">
        <v>9</v>
      </c>
      <c r="N1310" t="str">
        <f>VLOOKUP(M1310,'Cadastro Vendedores'!A:H,2,2)</f>
        <v>Adriana</v>
      </c>
      <c r="O1310" s="2"/>
      <c r="P1310" s="16">
        <v>3900</v>
      </c>
      <c r="Q1310" s="2">
        <f>VLOOKUP(B1310,'Cadastro Produtos'!A:F,5,2)</f>
        <v>9</v>
      </c>
      <c r="R1310" s="14">
        <f t="shared" si="100"/>
        <v>35100</v>
      </c>
    </row>
    <row r="1311" spans="1:18" x14ac:dyDescent="0.25">
      <c r="A1311">
        <v>1310</v>
      </c>
      <c r="B1311">
        <v>9</v>
      </c>
      <c r="C1311" t="str">
        <f>VLOOKUP(B1311,'Cadastro Produtos'!A:E,2,2)</f>
        <v>Limonada Alfa com Hortelã e Açúcar 1 L</v>
      </c>
      <c r="D1311">
        <v>11</v>
      </c>
      <c r="E1311" t="str">
        <f>VLOOKUP(D1311,'Cadatro Clientes'!A:O,2,2)</f>
        <v>Red Lemon</v>
      </c>
      <c r="F1311" t="str">
        <f>VLOOKUP(D1311,'Cadatro Clientes'!A:O,9,2)</f>
        <v>Sul</v>
      </c>
      <c r="G1311" s="15">
        <v>42128</v>
      </c>
      <c r="H1311">
        <f t="shared" si="101"/>
        <v>2</v>
      </c>
      <c r="I1311">
        <f t="shared" si="102"/>
        <v>4</v>
      </c>
      <c r="J1311">
        <f t="shared" si="103"/>
        <v>5</v>
      </c>
      <c r="K1311">
        <f t="shared" si="104"/>
        <v>2015</v>
      </c>
      <c r="M1311">
        <v>12</v>
      </c>
      <c r="N1311" t="str">
        <f>VLOOKUP(M1311,'Cadastro Vendedores'!A:H,2,2)</f>
        <v>Paulo</v>
      </c>
      <c r="O1311" s="2"/>
      <c r="P1311" s="16">
        <v>2500</v>
      </c>
      <c r="Q1311" s="2">
        <f>VLOOKUP(B1311,'Cadastro Produtos'!A:F,5,2)</f>
        <v>17.5</v>
      </c>
      <c r="R1311" s="14">
        <f t="shared" si="100"/>
        <v>43750</v>
      </c>
    </row>
    <row r="1312" spans="1:18" x14ac:dyDescent="0.25">
      <c r="A1312">
        <v>1311</v>
      </c>
      <c r="B1312">
        <v>3</v>
      </c>
      <c r="C1312" t="str">
        <f>VLOOKUP(B1312,'Cadastro Produtos'!A:E,2,2)</f>
        <v>Limonada Alfa Zero 500 ml</v>
      </c>
      <c r="D1312">
        <v>15</v>
      </c>
      <c r="E1312" t="str">
        <f>VLOOKUP(D1312,'Cadatro Clientes'!A:O,2,2)</f>
        <v>Limão do Mané</v>
      </c>
      <c r="F1312" t="str">
        <f>VLOOKUP(D1312,'Cadatro Clientes'!A:O,9,2)</f>
        <v>Sul</v>
      </c>
      <c r="G1312" s="15">
        <v>42128</v>
      </c>
      <c r="H1312">
        <f t="shared" si="101"/>
        <v>2</v>
      </c>
      <c r="I1312">
        <f t="shared" si="102"/>
        <v>4</v>
      </c>
      <c r="J1312">
        <f t="shared" si="103"/>
        <v>5</v>
      </c>
      <c r="K1312">
        <f t="shared" si="104"/>
        <v>2015</v>
      </c>
      <c r="M1312">
        <v>15</v>
      </c>
      <c r="N1312" t="str">
        <f>VLOOKUP(M1312,'Cadastro Vendedores'!A:H,2,2)</f>
        <v>Luis</v>
      </c>
      <c r="O1312" s="2"/>
      <c r="P1312" s="16">
        <v>1700</v>
      </c>
      <c r="Q1312" s="2">
        <f>VLOOKUP(B1312,'Cadastro Produtos'!A:F,5,2)</f>
        <v>9</v>
      </c>
      <c r="R1312" s="14">
        <f t="shared" si="100"/>
        <v>15300</v>
      </c>
    </row>
    <row r="1313" spans="1:18" x14ac:dyDescent="0.25">
      <c r="A1313">
        <v>1312</v>
      </c>
      <c r="B1313">
        <v>4</v>
      </c>
      <c r="C1313" t="str">
        <f>VLOOKUP(B1313,'Cadastro Produtos'!A:E,2,2)</f>
        <v>Limonada Beta Zero 500 ml</v>
      </c>
      <c r="D1313">
        <v>7</v>
      </c>
      <c r="E1313" t="str">
        <f>VLOOKUP(D1313,'Cadatro Clientes'!A:O,2,2)</f>
        <v>Limo</v>
      </c>
      <c r="F1313" t="str">
        <f>VLOOKUP(D1313,'Cadatro Clientes'!A:O,9,2)</f>
        <v>Centro-Oeste</v>
      </c>
      <c r="G1313" s="15">
        <v>42129</v>
      </c>
      <c r="H1313">
        <f t="shared" si="101"/>
        <v>3</v>
      </c>
      <c r="I1313">
        <f t="shared" si="102"/>
        <v>5</v>
      </c>
      <c r="J1313">
        <f t="shared" si="103"/>
        <v>5</v>
      </c>
      <c r="K1313">
        <f t="shared" si="104"/>
        <v>2015</v>
      </c>
      <c r="M1313">
        <v>16</v>
      </c>
      <c r="N1313" t="str">
        <f>VLOOKUP(M1313,'Cadastro Vendedores'!A:H,2,2)</f>
        <v>Jose</v>
      </c>
      <c r="O1313" s="2"/>
      <c r="P1313" s="16">
        <v>4400</v>
      </c>
      <c r="Q1313" s="2">
        <f>VLOOKUP(B1313,'Cadastro Produtos'!A:F,5,2)</f>
        <v>7</v>
      </c>
      <c r="R1313" s="14">
        <f t="shared" si="100"/>
        <v>30800</v>
      </c>
    </row>
    <row r="1314" spans="1:18" x14ac:dyDescent="0.25">
      <c r="A1314">
        <v>1313</v>
      </c>
      <c r="B1314">
        <v>9</v>
      </c>
      <c r="C1314" t="str">
        <f>VLOOKUP(B1314,'Cadastro Produtos'!A:E,2,2)</f>
        <v>Limonada Alfa com Hortelã e Açúcar 1 L</v>
      </c>
      <c r="D1314">
        <v>20</v>
      </c>
      <c r="E1314" t="str">
        <f>VLOOKUP(D1314,'Cadatro Clientes'!A:O,2,2)</f>
        <v>Brasil Saúde</v>
      </c>
      <c r="F1314" t="str">
        <f>VLOOKUP(D1314,'Cadatro Clientes'!A:O,9,2)</f>
        <v>Nordeste</v>
      </c>
      <c r="G1314" s="15">
        <v>42129</v>
      </c>
      <c r="H1314">
        <f t="shared" si="101"/>
        <v>3</v>
      </c>
      <c r="I1314">
        <f t="shared" si="102"/>
        <v>5</v>
      </c>
      <c r="J1314">
        <f t="shared" si="103"/>
        <v>5</v>
      </c>
      <c r="K1314">
        <f t="shared" si="104"/>
        <v>2015</v>
      </c>
      <c r="M1314">
        <v>12</v>
      </c>
      <c r="N1314" t="str">
        <f>VLOOKUP(M1314,'Cadastro Vendedores'!A:H,2,2)</f>
        <v>Paulo</v>
      </c>
      <c r="O1314" s="2"/>
      <c r="P1314" s="16">
        <v>3000</v>
      </c>
      <c r="Q1314" s="2">
        <f>VLOOKUP(B1314,'Cadastro Produtos'!A:F,5,2)</f>
        <v>17.5</v>
      </c>
      <c r="R1314" s="14">
        <f t="shared" si="100"/>
        <v>52500</v>
      </c>
    </row>
    <row r="1315" spans="1:18" x14ac:dyDescent="0.25">
      <c r="A1315">
        <v>1314</v>
      </c>
      <c r="B1315">
        <v>3</v>
      </c>
      <c r="C1315" t="str">
        <f>VLOOKUP(B1315,'Cadastro Produtos'!A:E,2,2)</f>
        <v>Limonada Alfa Zero 500 ml</v>
      </c>
      <c r="D1315">
        <v>11</v>
      </c>
      <c r="E1315" t="str">
        <f>VLOOKUP(D1315,'Cadatro Clientes'!A:O,2,2)</f>
        <v>Red Lemon</v>
      </c>
      <c r="F1315" t="str">
        <f>VLOOKUP(D1315,'Cadatro Clientes'!A:O,9,2)</f>
        <v>Sul</v>
      </c>
      <c r="G1315" s="15">
        <v>42129</v>
      </c>
      <c r="H1315">
        <f t="shared" si="101"/>
        <v>3</v>
      </c>
      <c r="I1315">
        <f t="shared" si="102"/>
        <v>5</v>
      </c>
      <c r="J1315">
        <f t="shared" si="103"/>
        <v>5</v>
      </c>
      <c r="K1315">
        <f t="shared" si="104"/>
        <v>2015</v>
      </c>
      <c r="M1315">
        <v>3</v>
      </c>
      <c r="N1315" t="str">
        <f>VLOOKUP(M1315,'Cadastro Vendedores'!A:H,2,2)</f>
        <v>Antônia</v>
      </c>
      <c r="O1315" s="2"/>
      <c r="P1315" s="16">
        <v>1700</v>
      </c>
      <c r="Q1315" s="2">
        <f>VLOOKUP(B1315,'Cadastro Produtos'!A:F,5,2)</f>
        <v>9</v>
      </c>
      <c r="R1315" s="14">
        <f t="shared" si="100"/>
        <v>15300</v>
      </c>
    </row>
    <row r="1316" spans="1:18" x14ac:dyDescent="0.25">
      <c r="A1316">
        <v>1315</v>
      </c>
      <c r="B1316">
        <v>3</v>
      </c>
      <c r="C1316" t="str">
        <f>VLOOKUP(B1316,'Cadastro Produtos'!A:E,2,2)</f>
        <v>Limonada Alfa Zero 500 ml</v>
      </c>
      <c r="D1316">
        <v>8</v>
      </c>
      <c r="E1316" t="str">
        <f>VLOOKUP(D1316,'Cadatro Clientes'!A:O,2,2)</f>
        <v>Refresko</v>
      </c>
      <c r="F1316" t="str">
        <f>VLOOKUP(D1316,'Cadatro Clientes'!A:O,9,2)</f>
        <v>Sul</v>
      </c>
      <c r="G1316" s="15">
        <v>42130</v>
      </c>
      <c r="H1316">
        <f t="shared" si="101"/>
        <v>4</v>
      </c>
      <c r="I1316">
        <f t="shared" si="102"/>
        <v>6</v>
      </c>
      <c r="J1316">
        <f t="shared" si="103"/>
        <v>5</v>
      </c>
      <c r="K1316">
        <f t="shared" si="104"/>
        <v>2015</v>
      </c>
      <c r="M1316">
        <v>8</v>
      </c>
      <c r="N1316" t="str">
        <f>VLOOKUP(M1316,'Cadastro Vendedores'!A:H,2,2)</f>
        <v>Sérgio</v>
      </c>
      <c r="O1316" s="2"/>
      <c r="P1316" s="16">
        <v>3000</v>
      </c>
      <c r="Q1316" s="2">
        <f>VLOOKUP(B1316,'Cadastro Produtos'!A:F,5,2)</f>
        <v>9</v>
      </c>
      <c r="R1316" s="14">
        <f t="shared" si="100"/>
        <v>27000</v>
      </c>
    </row>
    <row r="1317" spans="1:18" x14ac:dyDescent="0.25">
      <c r="A1317">
        <v>1316</v>
      </c>
      <c r="B1317">
        <v>2</v>
      </c>
      <c r="C1317" t="str">
        <f>VLOOKUP(B1317,'Cadastro Produtos'!A:E,2,2)</f>
        <v>Limonada Beta com Açúcar 500 ml</v>
      </c>
      <c r="D1317">
        <v>11</v>
      </c>
      <c r="E1317" t="str">
        <f>VLOOKUP(D1317,'Cadatro Clientes'!A:O,2,2)</f>
        <v>Red Lemon</v>
      </c>
      <c r="F1317" t="str">
        <f>VLOOKUP(D1317,'Cadatro Clientes'!A:O,9,2)</f>
        <v>Sul</v>
      </c>
      <c r="G1317" s="15">
        <v>42130</v>
      </c>
      <c r="H1317">
        <f t="shared" si="101"/>
        <v>4</v>
      </c>
      <c r="I1317">
        <f t="shared" si="102"/>
        <v>6</v>
      </c>
      <c r="J1317">
        <f t="shared" si="103"/>
        <v>5</v>
      </c>
      <c r="K1317">
        <f t="shared" si="104"/>
        <v>2015</v>
      </c>
      <c r="M1317">
        <v>13</v>
      </c>
      <c r="N1317" t="str">
        <f>VLOOKUP(M1317,'Cadastro Vendedores'!A:H,2,2)</f>
        <v>Andre</v>
      </c>
      <c r="O1317" s="2"/>
      <c r="P1317" s="16">
        <v>4100</v>
      </c>
      <c r="Q1317" s="2">
        <f>VLOOKUP(B1317,'Cadastro Produtos'!A:F,5,2)</f>
        <v>6.5</v>
      </c>
      <c r="R1317" s="14">
        <f t="shared" si="100"/>
        <v>26650</v>
      </c>
    </row>
    <row r="1318" spans="1:18" x14ac:dyDescent="0.25">
      <c r="A1318">
        <v>1317</v>
      </c>
      <c r="B1318">
        <v>10</v>
      </c>
      <c r="C1318" t="str">
        <f>VLOOKUP(B1318,'Cadastro Produtos'!A:E,2,2)</f>
        <v>Limonada Alfa com Hortelã Zero 1 L</v>
      </c>
      <c r="D1318">
        <v>15</v>
      </c>
      <c r="E1318" t="str">
        <f>VLOOKUP(D1318,'Cadatro Clientes'!A:O,2,2)</f>
        <v>Limão do Mané</v>
      </c>
      <c r="F1318" t="str">
        <f>VLOOKUP(D1318,'Cadatro Clientes'!A:O,9,2)</f>
        <v>Sul</v>
      </c>
      <c r="G1318" s="15">
        <v>42130</v>
      </c>
      <c r="H1318">
        <f t="shared" si="101"/>
        <v>4</v>
      </c>
      <c r="I1318">
        <f t="shared" si="102"/>
        <v>6</v>
      </c>
      <c r="J1318">
        <f t="shared" si="103"/>
        <v>5</v>
      </c>
      <c r="K1318">
        <f t="shared" si="104"/>
        <v>2015</v>
      </c>
      <c r="M1318">
        <v>15</v>
      </c>
      <c r="N1318" t="str">
        <f>VLOOKUP(M1318,'Cadastro Vendedores'!A:H,2,2)</f>
        <v>Luis</v>
      </c>
      <c r="O1318" s="2"/>
      <c r="P1318" s="16">
        <v>1900</v>
      </c>
      <c r="Q1318" s="2">
        <f>VLOOKUP(B1318,'Cadastro Produtos'!A:F,5,2)</f>
        <v>21</v>
      </c>
      <c r="R1318" s="14">
        <f t="shared" si="100"/>
        <v>39900</v>
      </c>
    </row>
    <row r="1319" spans="1:18" x14ac:dyDescent="0.25">
      <c r="A1319">
        <v>1318</v>
      </c>
      <c r="B1319">
        <v>4</v>
      </c>
      <c r="C1319" t="str">
        <f>VLOOKUP(B1319,'Cadastro Produtos'!A:E,2,2)</f>
        <v>Limonada Beta Zero 500 ml</v>
      </c>
      <c r="D1319">
        <v>12</v>
      </c>
      <c r="E1319" t="str">
        <f>VLOOKUP(D1319,'Cadatro Clientes'!A:O,2,2)</f>
        <v>Limão da Ilha</v>
      </c>
      <c r="F1319" t="str">
        <f>VLOOKUP(D1319,'Cadatro Clientes'!A:O,9,2)</f>
        <v>Sul</v>
      </c>
      <c r="G1319" s="15">
        <v>42130</v>
      </c>
      <c r="H1319">
        <f t="shared" si="101"/>
        <v>4</v>
      </c>
      <c r="I1319">
        <f t="shared" si="102"/>
        <v>6</v>
      </c>
      <c r="J1319">
        <f t="shared" si="103"/>
        <v>5</v>
      </c>
      <c r="K1319">
        <f t="shared" si="104"/>
        <v>2015</v>
      </c>
      <c r="M1319">
        <v>15</v>
      </c>
      <c r="N1319" t="str">
        <f>VLOOKUP(M1319,'Cadastro Vendedores'!A:H,2,2)</f>
        <v>Luis</v>
      </c>
      <c r="O1319" s="2"/>
      <c r="P1319" s="16">
        <v>5200</v>
      </c>
      <c r="Q1319" s="2">
        <f>VLOOKUP(B1319,'Cadastro Produtos'!A:F,5,2)</f>
        <v>7</v>
      </c>
      <c r="R1319" s="14">
        <f t="shared" si="100"/>
        <v>36400</v>
      </c>
    </row>
    <row r="1320" spans="1:18" x14ac:dyDescent="0.25">
      <c r="A1320">
        <v>1319</v>
      </c>
      <c r="B1320">
        <v>2</v>
      </c>
      <c r="C1320" t="str">
        <f>VLOOKUP(B1320,'Cadastro Produtos'!A:E,2,2)</f>
        <v>Limonada Beta com Açúcar 500 ml</v>
      </c>
      <c r="D1320">
        <v>16</v>
      </c>
      <c r="E1320" t="str">
        <f>VLOOKUP(D1320,'Cadatro Clientes'!A:O,2,2)</f>
        <v>Norte Suco</v>
      </c>
      <c r="F1320" t="str">
        <f>VLOOKUP(D1320,'Cadatro Clientes'!A:O,9,2)</f>
        <v>Nordeste</v>
      </c>
      <c r="G1320" s="15">
        <v>42131</v>
      </c>
      <c r="H1320">
        <f t="shared" si="101"/>
        <v>5</v>
      </c>
      <c r="I1320">
        <f t="shared" si="102"/>
        <v>7</v>
      </c>
      <c r="J1320">
        <f t="shared" si="103"/>
        <v>5</v>
      </c>
      <c r="K1320">
        <f t="shared" si="104"/>
        <v>2015</v>
      </c>
      <c r="M1320">
        <v>15</v>
      </c>
      <c r="N1320" t="str">
        <f>VLOOKUP(M1320,'Cadastro Vendedores'!A:H,2,2)</f>
        <v>Luis</v>
      </c>
      <c r="O1320" s="2"/>
      <c r="P1320" s="16">
        <v>6900</v>
      </c>
      <c r="Q1320" s="2">
        <f>VLOOKUP(B1320,'Cadastro Produtos'!A:F,5,2)</f>
        <v>6.5</v>
      </c>
      <c r="R1320" s="14">
        <f t="shared" si="100"/>
        <v>44850</v>
      </c>
    </row>
    <row r="1321" spans="1:18" x14ac:dyDescent="0.25">
      <c r="A1321">
        <v>1320</v>
      </c>
      <c r="B1321">
        <v>2</v>
      </c>
      <c r="C1321" t="str">
        <f>VLOOKUP(B1321,'Cadastro Produtos'!A:E,2,2)</f>
        <v>Limonada Beta com Açúcar 500 ml</v>
      </c>
      <c r="D1321">
        <v>6</v>
      </c>
      <c r="E1321" t="str">
        <f>VLOOKUP(D1321,'Cadatro Clientes'!A:O,2,2)</f>
        <v>Lemonade</v>
      </c>
      <c r="F1321" t="str">
        <f>VLOOKUP(D1321,'Cadatro Clientes'!A:O,9,2)</f>
        <v>Norte</v>
      </c>
      <c r="G1321" s="15">
        <v>42132</v>
      </c>
      <c r="H1321">
        <f t="shared" si="101"/>
        <v>6</v>
      </c>
      <c r="I1321">
        <f t="shared" si="102"/>
        <v>8</v>
      </c>
      <c r="J1321">
        <f t="shared" si="103"/>
        <v>5</v>
      </c>
      <c r="K1321">
        <f t="shared" si="104"/>
        <v>2015</v>
      </c>
      <c r="M1321">
        <v>4</v>
      </c>
      <c r="N1321" t="str">
        <f>VLOOKUP(M1321,'Cadastro Vendedores'!A:H,2,2)</f>
        <v>José</v>
      </c>
      <c r="O1321" s="2"/>
      <c r="P1321" s="16">
        <v>4200</v>
      </c>
      <c r="Q1321" s="2">
        <f>VLOOKUP(B1321,'Cadastro Produtos'!A:F,5,2)</f>
        <v>6.5</v>
      </c>
      <c r="R1321" s="14">
        <f t="shared" si="100"/>
        <v>27300</v>
      </c>
    </row>
    <row r="1322" spans="1:18" x14ac:dyDescent="0.25">
      <c r="A1322">
        <v>1321</v>
      </c>
      <c r="B1322">
        <v>9</v>
      </c>
      <c r="C1322" t="str">
        <f>VLOOKUP(B1322,'Cadastro Produtos'!A:E,2,2)</f>
        <v>Limonada Alfa com Hortelã e Açúcar 1 L</v>
      </c>
      <c r="D1322">
        <v>1</v>
      </c>
      <c r="E1322" t="str">
        <f>VLOOKUP(D1322,'Cadatro Clientes'!A:O,2,2)</f>
        <v>Meu Suco de Limão</v>
      </c>
      <c r="F1322" t="str">
        <f>VLOOKUP(D1322,'Cadatro Clientes'!A:O,9,2)</f>
        <v>Norte</v>
      </c>
      <c r="G1322" s="15">
        <v>42133</v>
      </c>
      <c r="H1322">
        <f t="shared" si="101"/>
        <v>7</v>
      </c>
      <c r="I1322">
        <f t="shared" si="102"/>
        <v>9</v>
      </c>
      <c r="J1322">
        <f t="shared" si="103"/>
        <v>5</v>
      </c>
      <c r="K1322">
        <f t="shared" si="104"/>
        <v>2015</v>
      </c>
      <c r="M1322">
        <v>3</v>
      </c>
      <c r="N1322" t="str">
        <f>VLOOKUP(M1322,'Cadastro Vendedores'!A:H,2,2)</f>
        <v>Antônia</v>
      </c>
      <c r="O1322" s="2"/>
      <c r="P1322" s="16">
        <v>1000</v>
      </c>
      <c r="Q1322" s="2">
        <f>VLOOKUP(B1322,'Cadastro Produtos'!A:F,5,2)</f>
        <v>17.5</v>
      </c>
      <c r="R1322" s="14">
        <f t="shared" si="100"/>
        <v>17500</v>
      </c>
    </row>
    <row r="1323" spans="1:18" x14ac:dyDescent="0.25">
      <c r="A1323">
        <v>1322</v>
      </c>
      <c r="B1323">
        <v>10</v>
      </c>
      <c r="C1323" t="str">
        <f>VLOOKUP(B1323,'Cadastro Produtos'!A:E,2,2)</f>
        <v>Limonada Alfa com Hortelã Zero 1 L</v>
      </c>
      <c r="D1323">
        <v>9</v>
      </c>
      <c r="E1323" t="str">
        <f>VLOOKUP(D1323,'Cadatro Clientes'!A:O,2,2)</f>
        <v>Fresh Lemon</v>
      </c>
      <c r="F1323" t="str">
        <f>VLOOKUP(D1323,'Cadatro Clientes'!A:O,9,2)</f>
        <v>Sudeste</v>
      </c>
      <c r="G1323" s="15">
        <v>42133</v>
      </c>
      <c r="H1323">
        <f t="shared" si="101"/>
        <v>7</v>
      </c>
      <c r="I1323">
        <f t="shared" si="102"/>
        <v>9</v>
      </c>
      <c r="J1323">
        <f t="shared" si="103"/>
        <v>5</v>
      </c>
      <c r="K1323">
        <f t="shared" si="104"/>
        <v>2015</v>
      </c>
      <c r="M1323">
        <v>12</v>
      </c>
      <c r="N1323" t="str">
        <f>VLOOKUP(M1323,'Cadastro Vendedores'!A:H,2,2)</f>
        <v>Paulo</v>
      </c>
      <c r="O1323" s="2"/>
      <c r="P1323" s="16">
        <v>1600</v>
      </c>
      <c r="Q1323" s="2">
        <f>VLOOKUP(B1323,'Cadastro Produtos'!A:F,5,2)</f>
        <v>21</v>
      </c>
      <c r="R1323" s="14">
        <f t="shared" si="100"/>
        <v>33600</v>
      </c>
    </row>
    <row r="1324" spans="1:18" x14ac:dyDescent="0.25">
      <c r="A1324">
        <v>1323</v>
      </c>
      <c r="B1324">
        <v>5</v>
      </c>
      <c r="C1324" t="str">
        <f>VLOOKUP(B1324,'Cadastro Produtos'!A:E,2,2)</f>
        <v>Limonada Alfa com Açúcar 1 L</v>
      </c>
      <c r="D1324">
        <v>10</v>
      </c>
      <c r="E1324" t="str">
        <f>VLOOKUP(D1324,'Cadatro Clientes'!A:O,2,2)</f>
        <v>Lemon Gator</v>
      </c>
      <c r="F1324" t="str">
        <f>VLOOKUP(D1324,'Cadatro Clientes'!A:O,9,2)</f>
        <v>Nordeste</v>
      </c>
      <c r="G1324" s="15">
        <v>42133</v>
      </c>
      <c r="H1324">
        <f t="shared" si="101"/>
        <v>7</v>
      </c>
      <c r="I1324">
        <f t="shared" si="102"/>
        <v>9</v>
      </c>
      <c r="J1324">
        <f t="shared" si="103"/>
        <v>5</v>
      </c>
      <c r="K1324">
        <f t="shared" si="104"/>
        <v>2015</v>
      </c>
      <c r="M1324">
        <v>6</v>
      </c>
      <c r="N1324" t="str">
        <f>VLOOKUP(M1324,'Cadastro Vendedores'!A:H,2,2)</f>
        <v>Antônia</v>
      </c>
      <c r="O1324" s="2"/>
      <c r="P1324" s="16">
        <v>3200</v>
      </c>
      <c r="Q1324" s="2">
        <f>VLOOKUP(B1324,'Cadastro Produtos'!A:F,5,2)</f>
        <v>15</v>
      </c>
      <c r="R1324" s="14">
        <f t="shared" si="100"/>
        <v>48000</v>
      </c>
    </row>
    <row r="1325" spans="1:18" x14ac:dyDescent="0.25">
      <c r="A1325">
        <v>1324</v>
      </c>
      <c r="B1325">
        <v>8</v>
      </c>
      <c r="C1325" t="str">
        <f>VLOOKUP(B1325,'Cadastro Produtos'!A:E,2,2)</f>
        <v>Limonada Beta Zero 1 L</v>
      </c>
      <c r="D1325">
        <v>1</v>
      </c>
      <c r="E1325" t="str">
        <f>VLOOKUP(D1325,'Cadatro Clientes'!A:O,2,2)</f>
        <v>Meu Suco de Limão</v>
      </c>
      <c r="F1325" t="str">
        <f>VLOOKUP(D1325,'Cadatro Clientes'!A:O,9,2)</f>
        <v>Norte</v>
      </c>
      <c r="G1325" s="15">
        <v>42135</v>
      </c>
      <c r="H1325">
        <f t="shared" si="101"/>
        <v>2</v>
      </c>
      <c r="I1325">
        <f t="shared" si="102"/>
        <v>11</v>
      </c>
      <c r="J1325">
        <f t="shared" si="103"/>
        <v>5</v>
      </c>
      <c r="K1325">
        <f t="shared" si="104"/>
        <v>2015</v>
      </c>
      <c r="M1325">
        <v>12</v>
      </c>
      <c r="N1325" t="str">
        <f>VLOOKUP(M1325,'Cadastro Vendedores'!A:H,2,2)</f>
        <v>Paulo</v>
      </c>
      <c r="O1325" s="2"/>
      <c r="P1325" s="16">
        <v>4000</v>
      </c>
      <c r="Q1325" s="2">
        <f>VLOOKUP(B1325,'Cadastro Produtos'!A:F,5,2)</f>
        <v>12</v>
      </c>
      <c r="R1325" s="14">
        <f t="shared" si="100"/>
        <v>48000</v>
      </c>
    </row>
    <row r="1326" spans="1:18" x14ac:dyDescent="0.25">
      <c r="A1326">
        <v>1325</v>
      </c>
      <c r="B1326">
        <v>10</v>
      </c>
      <c r="C1326" t="str">
        <f>VLOOKUP(B1326,'Cadastro Produtos'!A:E,2,2)</f>
        <v>Limonada Alfa com Hortelã Zero 1 L</v>
      </c>
      <c r="D1326">
        <v>2</v>
      </c>
      <c r="E1326" t="str">
        <f>VLOOKUP(D1326,'Cadatro Clientes'!A:O,2,2)</f>
        <v>Limão S/A</v>
      </c>
      <c r="F1326" t="str">
        <f>VLOOKUP(D1326,'Cadatro Clientes'!A:O,9,2)</f>
        <v>Centro-Oeste</v>
      </c>
      <c r="G1326" s="15">
        <v>42135</v>
      </c>
      <c r="H1326">
        <f t="shared" si="101"/>
        <v>2</v>
      </c>
      <c r="I1326">
        <f t="shared" si="102"/>
        <v>11</v>
      </c>
      <c r="J1326">
        <f t="shared" si="103"/>
        <v>5</v>
      </c>
      <c r="K1326">
        <f t="shared" si="104"/>
        <v>2015</v>
      </c>
      <c r="M1326">
        <v>3</v>
      </c>
      <c r="N1326" t="str">
        <f>VLOOKUP(M1326,'Cadastro Vendedores'!A:H,2,2)</f>
        <v>Antônia</v>
      </c>
      <c r="O1326" s="2"/>
      <c r="P1326" s="16">
        <v>2200</v>
      </c>
      <c r="Q1326" s="2">
        <f>VLOOKUP(B1326,'Cadastro Produtos'!A:F,5,2)</f>
        <v>21</v>
      </c>
      <c r="R1326" s="14">
        <f t="shared" si="100"/>
        <v>46200</v>
      </c>
    </row>
    <row r="1327" spans="1:18" x14ac:dyDescent="0.25">
      <c r="A1327">
        <v>1326</v>
      </c>
      <c r="B1327">
        <v>6</v>
      </c>
      <c r="C1327" t="str">
        <f>VLOOKUP(B1327,'Cadastro Produtos'!A:E,2,2)</f>
        <v>Limonada Beta com Açúcar 1 L</v>
      </c>
      <c r="D1327">
        <v>11</v>
      </c>
      <c r="E1327" t="str">
        <f>VLOOKUP(D1327,'Cadatro Clientes'!A:O,2,2)</f>
        <v>Red Lemon</v>
      </c>
      <c r="F1327" t="str">
        <f>VLOOKUP(D1327,'Cadatro Clientes'!A:O,9,2)</f>
        <v>Sul</v>
      </c>
      <c r="G1327" s="15">
        <v>42135</v>
      </c>
      <c r="H1327">
        <f t="shared" si="101"/>
        <v>2</v>
      </c>
      <c r="I1327">
        <f t="shared" si="102"/>
        <v>11</v>
      </c>
      <c r="J1327">
        <f t="shared" si="103"/>
        <v>5</v>
      </c>
      <c r="K1327">
        <f t="shared" si="104"/>
        <v>2015</v>
      </c>
      <c r="M1327">
        <v>16</v>
      </c>
      <c r="N1327" t="str">
        <f>VLOOKUP(M1327,'Cadastro Vendedores'!A:H,2,2)</f>
        <v>Jose</v>
      </c>
      <c r="O1327" s="2"/>
      <c r="P1327" s="16">
        <v>2200</v>
      </c>
      <c r="Q1327" s="2">
        <f>VLOOKUP(B1327,'Cadastro Produtos'!A:F,5,2)</f>
        <v>12</v>
      </c>
      <c r="R1327" s="14">
        <f t="shared" si="100"/>
        <v>26400</v>
      </c>
    </row>
    <row r="1328" spans="1:18" x14ac:dyDescent="0.25">
      <c r="A1328">
        <v>1327</v>
      </c>
      <c r="B1328">
        <v>10</v>
      </c>
      <c r="C1328" t="str">
        <f>VLOOKUP(B1328,'Cadastro Produtos'!A:E,2,2)</f>
        <v>Limonada Alfa com Hortelã Zero 1 L</v>
      </c>
      <c r="D1328">
        <v>14</v>
      </c>
      <c r="E1328" t="str">
        <f>VLOOKUP(D1328,'Cadatro Clientes'!A:O,2,2)</f>
        <v>Sprite</v>
      </c>
      <c r="F1328" t="str">
        <f>VLOOKUP(D1328,'Cadatro Clientes'!A:O,9,2)</f>
        <v>Norte</v>
      </c>
      <c r="G1328" s="15">
        <v>42136</v>
      </c>
      <c r="H1328">
        <f t="shared" si="101"/>
        <v>3</v>
      </c>
      <c r="I1328">
        <f t="shared" si="102"/>
        <v>12</v>
      </c>
      <c r="J1328">
        <f t="shared" si="103"/>
        <v>5</v>
      </c>
      <c r="K1328">
        <f t="shared" si="104"/>
        <v>2015</v>
      </c>
      <c r="M1328">
        <v>13</v>
      </c>
      <c r="N1328" t="str">
        <f>VLOOKUP(M1328,'Cadastro Vendedores'!A:H,2,2)</f>
        <v>Andre</v>
      </c>
      <c r="O1328" s="2"/>
      <c r="P1328" s="16">
        <v>1100</v>
      </c>
      <c r="Q1328" s="2">
        <f>VLOOKUP(B1328,'Cadastro Produtos'!A:F,5,2)</f>
        <v>21</v>
      </c>
      <c r="R1328" s="14">
        <f t="shared" si="100"/>
        <v>23100</v>
      </c>
    </row>
    <row r="1329" spans="1:18" x14ac:dyDescent="0.25">
      <c r="A1329">
        <v>1328</v>
      </c>
      <c r="B1329">
        <v>10</v>
      </c>
      <c r="C1329" t="str">
        <f>VLOOKUP(B1329,'Cadastro Produtos'!A:E,2,2)</f>
        <v>Limonada Alfa com Hortelã Zero 1 L</v>
      </c>
      <c r="D1329">
        <v>11</v>
      </c>
      <c r="E1329" t="str">
        <f>VLOOKUP(D1329,'Cadatro Clientes'!A:O,2,2)</f>
        <v>Red Lemon</v>
      </c>
      <c r="F1329" t="str">
        <f>VLOOKUP(D1329,'Cadatro Clientes'!A:O,9,2)</f>
        <v>Sul</v>
      </c>
      <c r="G1329" s="15">
        <v>42136</v>
      </c>
      <c r="H1329">
        <f t="shared" si="101"/>
        <v>3</v>
      </c>
      <c r="I1329">
        <f t="shared" si="102"/>
        <v>12</v>
      </c>
      <c r="J1329">
        <f t="shared" si="103"/>
        <v>5</v>
      </c>
      <c r="K1329">
        <f t="shared" si="104"/>
        <v>2015</v>
      </c>
      <c r="M1329">
        <v>4</v>
      </c>
      <c r="N1329" t="str">
        <f>VLOOKUP(M1329,'Cadastro Vendedores'!A:H,2,2)</f>
        <v>José</v>
      </c>
      <c r="O1329" s="2"/>
      <c r="P1329" s="16">
        <v>2300</v>
      </c>
      <c r="Q1329" s="2">
        <f>VLOOKUP(B1329,'Cadastro Produtos'!A:F,5,2)</f>
        <v>21</v>
      </c>
      <c r="R1329" s="14">
        <f t="shared" si="100"/>
        <v>48300</v>
      </c>
    </row>
    <row r="1330" spans="1:18" x14ac:dyDescent="0.25">
      <c r="A1330">
        <v>1329</v>
      </c>
      <c r="B1330">
        <v>8</v>
      </c>
      <c r="C1330" t="str">
        <f>VLOOKUP(B1330,'Cadastro Produtos'!A:E,2,2)</f>
        <v>Limonada Beta Zero 1 L</v>
      </c>
      <c r="D1330">
        <v>20</v>
      </c>
      <c r="E1330" t="str">
        <f>VLOOKUP(D1330,'Cadatro Clientes'!A:O,2,2)</f>
        <v>Brasil Saúde</v>
      </c>
      <c r="F1330" t="str">
        <f>VLOOKUP(D1330,'Cadatro Clientes'!A:O,9,2)</f>
        <v>Nordeste</v>
      </c>
      <c r="G1330" s="15">
        <v>42137</v>
      </c>
      <c r="H1330">
        <f t="shared" si="101"/>
        <v>4</v>
      </c>
      <c r="I1330">
        <f t="shared" si="102"/>
        <v>13</v>
      </c>
      <c r="J1330">
        <f t="shared" si="103"/>
        <v>5</v>
      </c>
      <c r="K1330">
        <f t="shared" si="104"/>
        <v>2015</v>
      </c>
      <c r="M1330">
        <v>8</v>
      </c>
      <c r="N1330" t="str">
        <f>VLOOKUP(M1330,'Cadastro Vendedores'!A:H,2,2)</f>
        <v>Sérgio</v>
      </c>
      <c r="O1330" s="2"/>
      <c r="P1330" s="16">
        <v>1400</v>
      </c>
      <c r="Q1330" s="2">
        <f>VLOOKUP(B1330,'Cadastro Produtos'!A:F,5,2)</f>
        <v>12</v>
      </c>
      <c r="R1330" s="14">
        <f t="shared" si="100"/>
        <v>16800</v>
      </c>
    </row>
    <row r="1331" spans="1:18" x14ac:dyDescent="0.25">
      <c r="A1331">
        <v>1330</v>
      </c>
      <c r="B1331">
        <v>9</v>
      </c>
      <c r="C1331" t="str">
        <f>VLOOKUP(B1331,'Cadastro Produtos'!A:E,2,2)</f>
        <v>Limonada Alfa com Hortelã e Açúcar 1 L</v>
      </c>
      <c r="D1331">
        <v>20</v>
      </c>
      <c r="E1331" t="str">
        <f>VLOOKUP(D1331,'Cadatro Clientes'!A:O,2,2)</f>
        <v>Brasil Saúde</v>
      </c>
      <c r="F1331" t="str">
        <f>VLOOKUP(D1331,'Cadatro Clientes'!A:O,9,2)</f>
        <v>Nordeste</v>
      </c>
      <c r="G1331" s="15">
        <v>42137</v>
      </c>
      <c r="H1331">
        <f t="shared" si="101"/>
        <v>4</v>
      </c>
      <c r="I1331">
        <f t="shared" si="102"/>
        <v>13</v>
      </c>
      <c r="J1331">
        <f t="shared" si="103"/>
        <v>5</v>
      </c>
      <c r="K1331">
        <f t="shared" si="104"/>
        <v>2015</v>
      </c>
      <c r="M1331">
        <v>12</v>
      </c>
      <c r="N1331" t="str">
        <f>VLOOKUP(M1331,'Cadastro Vendedores'!A:H,2,2)</f>
        <v>Paulo</v>
      </c>
      <c r="O1331" s="2"/>
      <c r="P1331" s="16">
        <v>1500</v>
      </c>
      <c r="Q1331" s="2">
        <f>VLOOKUP(B1331,'Cadastro Produtos'!A:F,5,2)</f>
        <v>17.5</v>
      </c>
      <c r="R1331" s="14">
        <f t="shared" si="100"/>
        <v>26250</v>
      </c>
    </row>
    <row r="1332" spans="1:18" x14ac:dyDescent="0.25">
      <c r="A1332">
        <v>1331</v>
      </c>
      <c r="B1332">
        <v>2</v>
      </c>
      <c r="C1332" t="str">
        <f>VLOOKUP(B1332,'Cadastro Produtos'!A:E,2,2)</f>
        <v>Limonada Beta com Açúcar 500 ml</v>
      </c>
      <c r="D1332">
        <v>16</v>
      </c>
      <c r="E1332" t="str">
        <f>VLOOKUP(D1332,'Cadatro Clientes'!A:O,2,2)</f>
        <v>Norte Suco</v>
      </c>
      <c r="F1332" t="str">
        <f>VLOOKUP(D1332,'Cadatro Clientes'!A:O,9,2)</f>
        <v>Nordeste</v>
      </c>
      <c r="G1332" s="15">
        <v>42137</v>
      </c>
      <c r="H1332">
        <f t="shared" si="101"/>
        <v>4</v>
      </c>
      <c r="I1332">
        <f t="shared" si="102"/>
        <v>13</v>
      </c>
      <c r="J1332">
        <f t="shared" si="103"/>
        <v>5</v>
      </c>
      <c r="K1332">
        <f t="shared" si="104"/>
        <v>2015</v>
      </c>
      <c r="M1332">
        <v>2</v>
      </c>
      <c r="N1332" t="str">
        <f>VLOOKUP(M1332,'Cadastro Vendedores'!A:H,2,2)</f>
        <v>Luis</v>
      </c>
      <c r="O1332" s="2"/>
      <c r="P1332" s="16">
        <v>5100</v>
      </c>
      <c r="Q1332" s="2">
        <f>VLOOKUP(B1332,'Cadastro Produtos'!A:F,5,2)</f>
        <v>6.5</v>
      </c>
      <c r="R1332" s="14">
        <f t="shared" si="100"/>
        <v>33150</v>
      </c>
    </row>
    <row r="1333" spans="1:18" x14ac:dyDescent="0.25">
      <c r="A1333">
        <v>1332</v>
      </c>
      <c r="B1333">
        <v>7</v>
      </c>
      <c r="C1333" t="str">
        <f>VLOOKUP(B1333,'Cadastro Produtos'!A:E,2,2)</f>
        <v>Limonada Alfa Zero 1 L</v>
      </c>
      <c r="D1333">
        <v>15</v>
      </c>
      <c r="E1333" t="str">
        <f>VLOOKUP(D1333,'Cadatro Clientes'!A:O,2,2)</f>
        <v>Limão do Mané</v>
      </c>
      <c r="F1333" t="str">
        <f>VLOOKUP(D1333,'Cadatro Clientes'!A:O,9,2)</f>
        <v>Sul</v>
      </c>
      <c r="G1333" s="15">
        <v>42137</v>
      </c>
      <c r="H1333">
        <f t="shared" si="101"/>
        <v>4</v>
      </c>
      <c r="I1333">
        <f t="shared" si="102"/>
        <v>13</v>
      </c>
      <c r="J1333">
        <f t="shared" si="103"/>
        <v>5</v>
      </c>
      <c r="K1333">
        <f t="shared" si="104"/>
        <v>2015</v>
      </c>
      <c r="M1333">
        <v>6</v>
      </c>
      <c r="N1333" t="str">
        <f>VLOOKUP(M1333,'Cadastro Vendedores'!A:H,2,2)</f>
        <v>Antônia</v>
      </c>
      <c r="O1333" s="2"/>
      <c r="P1333" s="16">
        <v>1100</v>
      </c>
      <c r="Q1333" s="2">
        <f>VLOOKUP(B1333,'Cadastro Produtos'!A:F,5,2)</f>
        <v>15</v>
      </c>
      <c r="R1333" s="14">
        <f t="shared" si="100"/>
        <v>16500</v>
      </c>
    </row>
    <row r="1334" spans="1:18" x14ac:dyDescent="0.25">
      <c r="A1334">
        <v>1333</v>
      </c>
      <c r="B1334">
        <v>7</v>
      </c>
      <c r="C1334" t="str">
        <f>VLOOKUP(B1334,'Cadastro Produtos'!A:E,2,2)</f>
        <v>Limonada Alfa Zero 1 L</v>
      </c>
      <c r="D1334">
        <v>20</v>
      </c>
      <c r="E1334" t="str">
        <f>VLOOKUP(D1334,'Cadatro Clientes'!A:O,2,2)</f>
        <v>Brasil Saúde</v>
      </c>
      <c r="F1334" t="str">
        <f>VLOOKUP(D1334,'Cadatro Clientes'!A:O,9,2)</f>
        <v>Nordeste</v>
      </c>
      <c r="G1334" s="15">
        <v>42138</v>
      </c>
      <c r="H1334">
        <f t="shared" si="101"/>
        <v>5</v>
      </c>
      <c r="I1334">
        <f t="shared" si="102"/>
        <v>14</v>
      </c>
      <c r="J1334">
        <f t="shared" si="103"/>
        <v>5</v>
      </c>
      <c r="K1334">
        <f t="shared" si="104"/>
        <v>2015</v>
      </c>
      <c r="M1334">
        <v>7</v>
      </c>
      <c r="N1334" t="str">
        <f>VLOOKUP(M1334,'Cadastro Vendedores'!A:H,2,2)</f>
        <v>Benedito</v>
      </c>
      <c r="O1334" s="2"/>
      <c r="P1334" s="16">
        <v>3500</v>
      </c>
      <c r="Q1334" s="2">
        <f>VLOOKUP(B1334,'Cadastro Produtos'!A:F,5,2)</f>
        <v>15</v>
      </c>
      <c r="R1334" s="14">
        <f t="shared" si="100"/>
        <v>52500</v>
      </c>
    </row>
    <row r="1335" spans="1:18" x14ac:dyDescent="0.25">
      <c r="A1335">
        <v>1334</v>
      </c>
      <c r="B1335">
        <v>10</v>
      </c>
      <c r="C1335" t="str">
        <f>VLOOKUP(B1335,'Cadastro Produtos'!A:E,2,2)</f>
        <v>Limonada Alfa com Hortelã Zero 1 L</v>
      </c>
      <c r="D1335">
        <v>9</v>
      </c>
      <c r="E1335" t="str">
        <f>VLOOKUP(D1335,'Cadatro Clientes'!A:O,2,2)</f>
        <v>Fresh Lemon</v>
      </c>
      <c r="F1335" t="str">
        <f>VLOOKUP(D1335,'Cadatro Clientes'!A:O,9,2)</f>
        <v>Sudeste</v>
      </c>
      <c r="G1335" s="15">
        <v>42138</v>
      </c>
      <c r="H1335">
        <f t="shared" si="101"/>
        <v>5</v>
      </c>
      <c r="I1335">
        <f t="shared" si="102"/>
        <v>14</v>
      </c>
      <c r="J1335">
        <f t="shared" si="103"/>
        <v>5</v>
      </c>
      <c r="K1335">
        <f t="shared" si="104"/>
        <v>2015</v>
      </c>
      <c r="M1335">
        <v>2</v>
      </c>
      <c r="N1335" t="str">
        <f>VLOOKUP(M1335,'Cadastro Vendedores'!A:H,2,2)</f>
        <v>Luis</v>
      </c>
      <c r="O1335" s="2"/>
      <c r="P1335" s="16">
        <v>1300</v>
      </c>
      <c r="Q1335" s="2">
        <f>VLOOKUP(B1335,'Cadastro Produtos'!A:F,5,2)</f>
        <v>21</v>
      </c>
      <c r="R1335" s="14">
        <f t="shared" si="100"/>
        <v>27300</v>
      </c>
    </row>
    <row r="1336" spans="1:18" x14ac:dyDescent="0.25">
      <c r="A1336">
        <v>1335</v>
      </c>
      <c r="B1336">
        <v>1</v>
      </c>
      <c r="C1336" t="str">
        <f>VLOOKUP(B1336,'Cadastro Produtos'!A:E,2,2)</f>
        <v>Limonada Alfa com Açúcar 500 ml</v>
      </c>
      <c r="D1336">
        <v>18</v>
      </c>
      <c r="E1336" t="str">
        <f>VLOOKUP(D1336,'Cadatro Clientes'!A:O,2,2)</f>
        <v>Rio Branco Limonada Ltda</v>
      </c>
      <c r="F1336" t="str">
        <f>VLOOKUP(D1336,'Cadatro Clientes'!A:O,9,2)</f>
        <v>Norte</v>
      </c>
      <c r="G1336" s="15">
        <v>42138</v>
      </c>
      <c r="H1336">
        <f t="shared" si="101"/>
        <v>5</v>
      </c>
      <c r="I1336">
        <f t="shared" si="102"/>
        <v>14</v>
      </c>
      <c r="J1336">
        <f t="shared" si="103"/>
        <v>5</v>
      </c>
      <c r="K1336">
        <f t="shared" si="104"/>
        <v>2015</v>
      </c>
      <c r="M1336">
        <v>6</v>
      </c>
      <c r="N1336" t="str">
        <f>VLOOKUP(M1336,'Cadastro Vendedores'!A:H,2,2)</f>
        <v>Antônia</v>
      </c>
      <c r="O1336" s="2"/>
      <c r="P1336" s="16">
        <v>4000</v>
      </c>
      <c r="Q1336" s="2">
        <f>VLOOKUP(B1336,'Cadastro Produtos'!A:F,5,2)</f>
        <v>8.5</v>
      </c>
      <c r="R1336" s="14">
        <f t="shared" si="100"/>
        <v>34000</v>
      </c>
    </row>
    <row r="1337" spans="1:18" x14ac:dyDescent="0.25">
      <c r="A1337">
        <v>1336</v>
      </c>
      <c r="B1337">
        <v>4</v>
      </c>
      <c r="C1337" t="str">
        <f>VLOOKUP(B1337,'Cadastro Produtos'!A:E,2,2)</f>
        <v>Limonada Beta Zero 500 ml</v>
      </c>
      <c r="D1337">
        <v>7</v>
      </c>
      <c r="E1337" t="str">
        <f>VLOOKUP(D1337,'Cadatro Clientes'!A:O,2,2)</f>
        <v>Limo</v>
      </c>
      <c r="F1337" t="str">
        <f>VLOOKUP(D1337,'Cadatro Clientes'!A:O,9,2)</f>
        <v>Centro-Oeste</v>
      </c>
      <c r="G1337" s="15">
        <v>42138</v>
      </c>
      <c r="H1337">
        <f t="shared" si="101"/>
        <v>5</v>
      </c>
      <c r="I1337">
        <f t="shared" si="102"/>
        <v>14</v>
      </c>
      <c r="J1337">
        <f t="shared" si="103"/>
        <v>5</v>
      </c>
      <c r="K1337">
        <f t="shared" si="104"/>
        <v>2015</v>
      </c>
      <c r="M1337">
        <v>4</v>
      </c>
      <c r="N1337" t="str">
        <f>VLOOKUP(M1337,'Cadastro Vendedores'!A:H,2,2)</f>
        <v>José</v>
      </c>
      <c r="O1337" s="2"/>
      <c r="P1337" s="16">
        <v>4400</v>
      </c>
      <c r="Q1337" s="2">
        <f>VLOOKUP(B1337,'Cadastro Produtos'!A:F,5,2)</f>
        <v>7</v>
      </c>
      <c r="R1337" s="14">
        <f t="shared" si="100"/>
        <v>30800</v>
      </c>
    </row>
    <row r="1338" spans="1:18" x14ac:dyDescent="0.25">
      <c r="A1338">
        <v>1337</v>
      </c>
      <c r="B1338">
        <v>6</v>
      </c>
      <c r="C1338" t="str">
        <f>VLOOKUP(B1338,'Cadastro Produtos'!A:E,2,2)</f>
        <v>Limonada Beta com Açúcar 1 L</v>
      </c>
      <c r="D1338">
        <v>15</v>
      </c>
      <c r="E1338" t="str">
        <f>VLOOKUP(D1338,'Cadatro Clientes'!A:O,2,2)</f>
        <v>Limão do Mané</v>
      </c>
      <c r="F1338" t="str">
        <f>VLOOKUP(D1338,'Cadatro Clientes'!A:O,9,2)</f>
        <v>Sul</v>
      </c>
      <c r="G1338" s="15">
        <v>42138</v>
      </c>
      <c r="H1338">
        <f t="shared" si="101"/>
        <v>5</v>
      </c>
      <c r="I1338">
        <f t="shared" si="102"/>
        <v>14</v>
      </c>
      <c r="J1338">
        <f t="shared" si="103"/>
        <v>5</v>
      </c>
      <c r="K1338">
        <f t="shared" si="104"/>
        <v>2015</v>
      </c>
      <c r="M1338">
        <v>16</v>
      </c>
      <c r="N1338" t="str">
        <f>VLOOKUP(M1338,'Cadastro Vendedores'!A:H,2,2)</f>
        <v>Jose</v>
      </c>
      <c r="O1338" s="2"/>
      <c r="P1338" s="16">
        <v>3100</v>
      </c>
      <c r="Q1338" s="2">
        <f>VLOOKUP(B1338,'Cadastro Produtos'!A:F,5,2)</f>
        <v>12</v>
      </c>
      <c r="R1338" s="14">
        <f t="shared" si="100"/>
        <v>37200</v>
      </c>
    </row>
    <row r="1339" spans="1:18" x14ac:dyDescent="0.25">
      <c r="A1339">
        <v>1338</v>
      </c>
      <c r="B1339">
        <v>4</v>
      </c>
      <c r="C1339" t="str">
        <f>VLOOKUP(B1339,'Cadastro Produtos'!A:E,2,2)</f>
        <v>Limonada Beta Zero 500 ml</v>
      </c>
      <c r="D1339">
        <v>10</v>
      </c>
      <c r="E1339" t="str">
        <f>VLOOKUP(D1339,'Cadatro Clientes'!A:O,2,2)</f>
        <v>Lemon Gator</v>
      </c>
      <c r="F1339" t="str">
        <f>VLOOKUP(D1339,'Cadatro Clientes'!A:O,9,2)</f>
        <v>Nordeste</v>
      </c>
      <c r="G1339" s="15">
        <v>42138</v>
      </c>
      <c r="H1339">
        <f t="shared" si="101"/>
        <v>5</v>
      </c>
      <c r="I1339">
        <f t="shared" si="102"/>
        <v>14</v>
      </c>
      <c r="J1339">
        <f t="shared" si="103"/>
        <v>5</v>
      </c>
      <c r="K1339">
        <f t="shared" si="104"/>
        <v>2015</v>
      </c>
      <c r="M1339">
        <v>8</v>
      </c>
      <c r="N1339" t="str">
        <f>VLOOKUP(M1339,'Cadastro Vendedores'!A:H,2,2)</f>
        <v>Sérgio</v>
      </c>
      <c r="O1339" s="2"/>
      <c r="P1339" s="16">
        <v>5500</v>
      </c>
      <c r="Q1339" s="2">
        <f>VLOOKUP(B1339,'Cadastro Produtos'!A:F,5,2)</f>
        <v>7</v>
      </c>
      <c r="R1339" s="14">
        <f t="shared" si="100"/>
        <v>38500</v>
      </c>
    </row>
    <row r="1340" spans="1:18" x14ac:dyDescent="0.25">
      <c r="A1340">
        <v>1339</v>
      </c>
      <c r="B1340">
        <v>1</v>
      </c>
      <c r="C1340" t="str">
        <f>VLOOKUP(B1340,'Cadastro Produtos'!A:E,2,2)</f>
        <v>Limonada Alfa com Açúcar 500 ml</v>
      </c>
      <c r="D1340">
        <v>8</v>
      </c>
      <c r="E1340" t="str">
        <f>VLOOKUP(D1340,'Cadatro Clientes'!A:O,2,2)</f>
        <v>Refresko</v>
      </c>
      <c r="F1340" t="str">
        <f>VLOOKUP(D1340,'Cadatro Clientes'!A:O,9,2)</f>
        <v>Sul</v>
      </c>
      <c r="G1340" s="15">
        <v>42139</v>
      </c>
      <c r="H1340">
        <f t="shared" si="101"/>
        <v>6</v>
      </c>
      <c r="I1340">
        <f t="shared" si="102"/>
        <v>15</v>
      </c>
      <c r="J1340">
        <f t="shared" si="103"/>
        <v>5</v>
      </c>
      <c r="K1340">
        <f t="shared" si="104"/>
        <v>2015</v>
      </c>
      <c r="M1340">
        <v>8</v>
      </c>
      <c r="N1340" t="str">
        <f>VLOOKUP(M1340,'Cadastro Vendedores'!A:H,2,2)</f>
        <v>Sérgio</v>
      </c>
      <c r="O1340" s="2"/>
      <c r="P1340" s="16">
        <v>1700</v>
      </c>
      <c r="Q1340" s="2">
        <f>VLOOKUP(B1340,'Cadastro Produtos'!A:F,5,2)</f>
        <v>8.5</v>
      </c>
      <c r="R1340" s="14">
        <f t="shared" si="100"/>
        <v>14450</v>
      </c>
    </row>
    <row r="1341" spans="1:18" x14ac:dyDescent="0.25">
      <c r="A1341">
        <v>1340</v>
      </c>
      <c r="B1341">
        <v>8</v>
      </c>
      <c r="C1341" t="str">
        <f>VLOOKUP(B1341,'Cadastro Produtos'!A:E,2,2)</f>
        <v>Limonada Beta Zero 1 L</v>
      </c>
      <c r="D1341">
        <v>4</v>
      </c>
      <c r="E1341" t="str">
        <f>VLOOKUP(D1341,'Cadatro Clientes'!A:O,2,2)</f>
        <v>Limão Carioca e Cia</v>
      </c>
      <c r="F1341" t="str">
        <f>VLOOKUP(D1341,'Cadatro Clientes'!A:O,9,2)</f>
        <v>Sudeste</v>
      </c>
      <c r="G1341" s="15">
        <v>42139</v>
      </c>
      <c r="H1341">
        <f t="shared" si="101"/>
        <v>6</v>
      </c>
      <c r="I1341">
        <f t="shared" si="102"/>
        <v>15</v>
      </c>
      <c r="J1341">
        <f t="shared" si="103"/>
        <v>5</v>
      </c>
      <c r="K1341">
        <f t="shared" si="104"/>
        <v>2015</v>
      </c>
      <c r="M1341">
        <v>6</v>
      </c>
      <c r="N1341" t="str">
        <f>VLOOKUP(M1341,'Cadastro Vendedores'!A:H,2,2)</f>
        <v>Antônia</v>
      </c>
      <c r="O1341" s="2"/>
      <c r="P1341" s="16">
        <v>3600</v>
      </c>
      <c r="Q1341" s="2">
        <f>VLOOKUP(B1341,'Cadastro Produtos'!A:F,5,2)</f>
        <v>12</v>
      </c>
      <c r="R1341" s="14">
        <f t="shared" si="100"/>
        <v>43200</v>
      </c>
    </row>
    <row r="1342" spans="1:18" x14ac:dyDescent="0.25">
      <c r="A1342">
        <v>1341</v>
      </c>
      <c r="B1342">
        <v>9</v>
      </c>
      <c r="C1342" t="str">
        <f>VLOOKUP(B1342,'Cadastro Produtos'!A:E,2,2)</f>
        <v>Limonada Alfa com Hortelã e Açúcar 1 L</v>
      </c>
      <c r="D1342">
        <v>7</v>
      </c>
      <c r="E1342" t="str">
        <f>VLOOKUP(D1342,'Cadatro Clientes'!A:O,2,2)</f>
        <v>Limo</v>
      </c>
      <c r="F1342" t="str">
        <f>VLOOKUP(D1342,'Cadatro Clientes'!A:O,9,2)</f>
        <v>Centro-Oeste</v>
      </c>
      <c r="G1342" s="15">
        <v>42139</v>
      </c>
      <c r="H1342">
        <f t="shared" si="101"/>
        <v>6</v>
      </c>
      <c r="I1342">
        <f t="shared" si="102"/>
        <v>15</v>
      </c>
      <c r="J1342">
        <f t="shared" si="103"/>
        <v>5</v>
      </c>
      <c r="K1342">
        <f t="shared" si="104"/>
        <v>2015</v>
      </c>
      <c r="M1342">
        <v>16</v>
      </c>
      <c r="N1342" t="str">
        <f>VLOOKUP(M1342,'Cadastro Vendedores'!A:H,2,2)</f>
        <v>Jose</v>
      </c>
      <c r="O1342" s="2"/>
      <c r="P1342" s="16">
        <v>800</v>
      </c>
      <c r="Q1342" s="2">
        <f>VLOOKUP(B1342,'Cadastro Produtos'!A:F,5,2)</f>
        <v>17.5</v>
      </c>
      <c r="R1342" s="14">
        <f t="shared" si="100"/>
        <v>14000</v>
      </c>
    </row>
    <row r="1343" spans="1:18" x14ac:dyDescent="0.25">
      <c r="A1343">
        <v>1342</v>
      </c>
      <c r="B1343">
        <v>4</v>
      </c>
      <c r="C1343" t="str">
        <f>VLOOKUP(B1343,'Cadastro Produtos'!A:E,2,2)</f>
        <v>Limonada Beta Zero 500 ml</v>
      </c>
      <c r="D1343">
        <v>17</v>
      </c>
      <c r="E1343" t="str">
        <f>VLOOKUP(D1343,'Cadatro Clientes'!A:O,2,2)</f>
        <v>Aracasuco</v>
      </c>
      <c r="F1343" t="str">
        <f>VLOOKUP(D1343,'Cadatro Clientes'!A:O,9,2)</f>
        <v>Nordeste</v>
      </c>
      <c r="G1343" s="15">
        <v>42139</v>
      </c>
      <c r="H1343">
        <f t="shared" si="101"/>
        <v>6</v>
      </c>
      <c r="I1343">
        <f t="shared" si="102"/>
        <v>15</v>
      </c>
      <c r="J1343">
        <f t="shared" si="103"/>
        <v>5</v>
      </c>
      <c r="K1343">
        <f t="shared" si="104"/>
        <v>2015</v>
      </c>
      <c r="M1343">
        <v>7</v>
      </c>
      <c r="N1343" t="str">
        <f>VLOOKUP(M1343,'Cadastro Vendedores'!A:H,2,2)</f>
        <v>Benedito</v>
      </c>
      <c r="O1343" s="2"/>
      <c r="P1343" s="16">
        <v>4800</v>
      </c>
      <c r="Q1343" s="2">
        <f>VLOOKUP(B1343,'Cadastro Produtos'!A:F,5,2)</f>
        <v>7</v>
      </c>
      <c r="R1343" s="14">
        <f t="shared" si="100"/>
        <v>33600</v>
      </c>
    </row>
    <row r="1344" spans="1:18" x14ac:dyDescent="0.25">
      <c r="A1344">
        <v>1343</v>
      </c>
      <c r="B1344">
        <v>7</v>
      </c>
      <c r="C1344" t="str">
        <f>VLOOKUP(B1344,'Cadastro Produtos'!A:E,2,2)</f>
        <v>Limonada Alfa Zero 1 L</v>
      </c>
      <c r="D1344">
        <v>4</v>
      </c>
      <c r="E1344" t="str">
        <f>VLOOKUP(D1344,'Cadatro Clientes'!A:O,2,2)</f>
        <v>Limão Carioca e Cia</v>
      </c>
      <c r="F1344" t="str">
        <f>VLOOKUP(D1344,'Cadatro Clientes'!A:O,9,2)</f>
        <v>Sudeste</v>
      </c>
      <c r="G1344" s="15">
        <v>42139</v>
      </c>
      <c r="H1344">
        <f t="shared" si="101"/>
        <v>6</v>
      </c>
      <c r="I1344">
        <f t="shared" si="102"/>
        <v>15</v>
      </c>
      <c r="J1344">
        <f t="shared" si="103"/>
        <v>5</v>
      </c>
      <c r="K1344">
        <f t="shared" si="104"/>
        <v>2015</v>
      </c>
      <c r="M1344">
        <v>13</v>
      </c>
      <c r="N1344" t="str">
        <f>VLOOKUP(M1344,'Cadastro Vendedores'!A:H,2,2)</f>
        <v>Andre</v>
      </c>
      <c r="O1344" s="2"/>
      <c r="P1344" s="16">
        <v>1700</v>
      </c>
      <c r="Q1344" s="2">
        <f>VLOOKUP(B1344,'Cadastro Produtos'!A:F,5,2)</f>
        <v>15</v>
      </c>
      <c r="R1344" s="14">
        <f t="shared" si="100"/>
        <v>25500</v>
      </c>
    </row>
    <row r="1345" spans="1:18" x14ac:dyDescent="0.25">
      <c r="A1345">
        <v>1344</v>
      </c>
      <c r="B1345">
        <v>2</v>
      </c>
      <c r="C1345" t="str">
        <f>VLOOKUP(B1345,'Cadastro Produtos'!A:E,2,2)</f>
        <v>Limonada Beta com Açúcar 500 ml</v>
      </c>
      <c r="D1345">
        <v>1</v>
      </c>
      <c r="E1345" t="str">
        <f>VLOOKUP(D1345,'Cadatro Clientes'!A:O,2,2)</f>
        <v>Meu Suco de Limão</v>
      </c>
      <c r="F1345" t="str">
        <f>VLOOKUP(D1345,'Cadatro Clientes'!A:O,9,2)</f>
        <v>Norte</v>
      </c>
      <c r="G1345" s="15">
        <v>42140</v>
      </c>
      <c r="H1345">
        <f t="shared" si="101"/>
        <v>7</v>
      </c>
      <c r="I1345">
        <f t="shared" si="102"/>
        <v>16</v>
      </c>
      <c r="J1345">
        <f t="shared" si="103"/>
        <v>5</v>
      </c>
      <c r="K1345">
        <f t="shared" si="104"/>
        <v>2015</v>
      </c>
      <c r="M1345">
        <v>6</v>
      </c>
      <c r="N1345" t="str">
        <f>VLOOKUP(M1345,'Cadastro Vendedores'!A:H,2,2)</f>
        <v>Antônia</v>
      </c>
      <c r="O1345" s="2"/>
      <c r="P1345" s="16">
        <v>2800</v>
      </c>
      <c r="Q1345" s="2">
        <f>VLOOKUP(B1345,'Cadastro Produtos'!A:F,5,2)</f>
        <v>6.5</v>
      </c>
      <c r="R1345" s="14">
        <f t="shared" si="100"/>
        <v>18200</v>
      </c>
    </row>
    <row r="1346" spans="1:18" x14ac:dyDescent="0.25">
      <c r="A1346">
        <v>1345</v>
      </c>
      <c r="B1346">
        <v>5</v>
      </c>
      <c r="C1346" t="str">
        <f>VLOOKUP(B1346,'Cadastro Produtos'!A:E,2,2)</f>
        <v>Limonada Alfa com Açúcar 1 L</v>
      </c>
      <c r="D1346">
        <v>20</v>
      </c>
      <c r="E1346" t="str">
        <f>VLOOKUP(D1346,'Cadatro Clientes'!A:O,2,2)</f>
        <v>Brasil Saúde</v>
      </c>
      <c r="F1346" t="str">
        <f>VLOOKUP(D1346,'Cadatro Clientes'!A:O,9,2)</f>
        <v>Nordeste</v>
      </c>
      <c r="G1346" s="15">
        <v>42140</v>
      </c>
      <c r="H1346">
        <f t="shared" si="101"/>
        <v>7</v>
      </c>
      <c r="I1346">
        <f t="shared" si="102"/>
        <v>16</v>
      </c>
      <c r="J1346">
        <f t="shared" si="103"/>
        <v>5</v>
      </c>
      <c r="K1346">
        <f t="shared" si="104"/>
        <v>2015</v>
      </c>
      <c r="M1346">
        <v>6</v>
      </c>
      <c r="N1346" t="str">
        <f>VLOOKUP(M1346,'Cadastro Vendedores'!A:H,2,2)</f>
        <v>Antônia</v>
      </c>
      <c r="O1346" s="2"/>
      <c r="P1346" s="16">
        <v>2300</v>
      </c>
      <c r="Q1346" s="2">
        <f>VLOOKUP(B1346,'Cadastro Produtos'!A:F,5,2)</f>
        <v>15</v>
      </c>
      <c r="R1346" s="14">
        <f t="shared" ref="R1346:R1409" si="105">Q1346*P1346</f>
        <v>34500</v>
      </c>
    </row>
    <row r="1347" spans="1:18" x14ac:dyDescent="0.25">
      <c r="A1347">
        <v>1346</v>
      </c>
      <c r="B1347">
        <v>9</v>
      </c>
      <c r="C1347" t="str">
        <f>VLOOKUP(B1347,'Cadastro Produtos'!A:E,2,2)</f>
        <v>Limonada Alfa com Hortelã e Açúcar 1 L</v>
      </c>
      <c r="D1347">
        <v>20</v>
      </c>
      <c r="E1347" t="str">
        <f>VLOOKUP(D1347,'Cadatro Clientes'!A:O,2,2)</f>
        <v>Brasil Saúde</v>
      </c>
      <c r="F1347" t="str">
        <f>VLOOKUP(D1347,'Cadatro Clientes'!A:O,9,2)</f>
        <v>Nordeste</v>
      </c>
      <c r="G1347" s="15">
        <v>42140</v>
      </c>
      <c r="H1347">
        <f t="shared" ref="H1347:H1410" si="106">WEEKDAY(G1347)</f>
        <v>7</v>
      </c>
      <c r="I1347">
        <f t="shared" ref="I1347:I1410" si="107">DAY(G1347)</f>
        <v>16</v>
      </c>
      <c r="J1347">
        <f t="shared" ref="J1347:J1410" si="108">MONTH(G1347)</f>
        <v>5</v>
      </c>
      <c r="K1347">
        <f t="shared" ref="K1347:K1410" si="109">YEAR(G1347)</f>
        <v>2015</v>
      </c>
      <c r="M1347">
        <v>6</v>
      </c>
      <c r="N1347" t="str">
        <f>VLOOKUP(M1347,'Cadastro Vendedores'!A:H,2,2)</f>
        <v>Antônia</v>
      </c>
      <c r="O1347" s="2"/>
      <c r="P1347" s="16">
        <v>800</v>
      </c>
      <c r="Q1347" s="2">
        <f>VLOOKUP(B1347,'Cadastro Produtos'!A:F,5,2)</f>
        <v>17.5</v>
      </c>
      <c r="R1347" s="14">
        <f t="shared" si="105"/>
        <v>14000</v>
      </c>
    </row>
    <row r="1348" spans="1:18" x14ac:dyDescent="0.25">
      <c r="A1348">
        <v>1347</v>
      </c>
      <c r="B1348">
        <v>6</v>
      </c>
      <c r="C1348" t="str">
        <f>VLOOKUP(B1348,'Cadastro Produtos'!A:E,2,2)</f>
        <v>Limonada Beta com Açúcar 1 L</v>
      </c>
      <c r="D1348">
        <v>13</v>
      </c>
      <c r="E1348" t="str">
        <f>VLOOKUP(D1348,'Cadatro Clientes'!A:O,2,2)</f>
        <v>Monster Lemon</v>
      </c>
      <c r="F1348" t="str">
        <f>VLOOKUP(D1348,'Cadatro Clientes'!A:O,9,2)</f>
        <v>Nordeste</v>
      </c>
      <c r="G1348" s="15">
        <v>42140</v>
      </c>
      <c r="H1348">
        <f t="shared" si="106"/>
        <v>7</v>
      </c>
      <c r="I1348">
        <f t="shared" si="107"/>
        <v>16</v>
      </c>
      <c r="J1348">
        <f t="shared" si="108"/>
        <v>5</v>
      </c>
      <c r="K1348">
        <f t="shared" si="109"/>
        <v>2015</v>
      </c>
      <c r="M1348">
        <v>12</v>
      </c>
      <c r="N1348" t="str">
        <f>VLOOKUP(M1348,'Cadastro Vendedores'!A:H,2,2)</f>
        <v>Paulo</v>
      </c>
      <c r="O1348" s="2"/>
      <c r="P1348" s="16">
        <v>3500</v>
      </c>
      <c r="Q1348" s="2">
        <f>VLOOKUP(B1348,'Cadastro Produtos'!A:F,5,2)</f>
        <v>12</v>
      </c>
      <c r="R1348" s="14">
        <f t="shared" si="105"/>
        <v>42000</v>
      </c>
    </row>
    <row r="1349" spans="1:18" x14ac:dyDescent="0.25">
      <c r="A1349">
        <v>1348</v>
      </c>
      <c r="B1349">
        <v>7</v>
      </c>
      <c r="C1349" t="str">
        <f>VLOOKUP(B1349,'Cadastro Produtos'!A:E,2,2)</f>
        <v>Limonada Alfa Zero 1 L</v>
      </c>
      <c r="D1349">
        <v>11</v>
      </c>
      <c r="E1349" t="str">
        <f>VLOOKUP(D1349,'Cadatro Clientes'!A:O,2,2)</f>
        <v>Red Lemon</v>
      </c>
      <c r="F1349" t="str">
        <f>VLOOKUP(D1349,'Cadatro Clientes'!A:O,9,2)</f>
        <v>Sul</v>
      </c>
      <c r="G1349" s="15">
        <v>42140</v>
      </c>
      <c r="H1349">
        <f t="shared" si="106"/>
        <v>7</v>
      </c>
      <c r="I1349">
        <f t="shared" si="107"/>
        <v>16</v>
      </c>
      <c r="J1349">
        <f t="shared" si="108"/>
        <v>5</v>
      </c>
      <c r="K1349">
        <f t="shared" si="109"/>
        <v>2015</v>
      </c>
      <c r="M1349">
        <v>4</v>
      </c>
      <c r="N1349" t="str">
        <f>VLOOKUP(M1349,'Cadastro Vendedores'!A:H,2,2)</f>
        <v>José</v>
      </c>
      <c r="O1349" s="2"/>
      <c r="P1349" s="16">
        <v>900</v>
      </c>
      <c r="Q1349" s="2">
        <f>VLOOKUP(B1349,'Cadastro Produtos'!A:F,5,2)</f>
        <v>15</v>
      </c>
      <c r="R1349" s="14">
        <f t="shared" si="105"/>
        <v>13500</v>
      </c>
    </row>
    <row r="1350" spans="1:18" x14ac:dyDescent="0.25">
      <c r="A1350">
        <v>1349</v>
      </c>
      <c r="B1350">
        <v>8</v>
      </c>
      <c r="C1350" t="str">
        <f>VLOOKUP(B1350,'Cadastro Produtos'!A:E,2,2)</f>
        <v>Limonada Beta Zero 1 L</v>
      </c>
      <c r="D1350">
        <v>8</v>
      </c>
      <c r="E1350" t="str">
        <f>VLOOKUP(D1350,'Cadatro Clientes'!A:O,2,2)</f>
        <v>Refresko</v>
      </c>
      <c r="F1350" t="str">
        <f>VLOOKUP(D1350,'Cadatro Clientes'!A:O,9,2)</f>
        <v>Sul</v>
      </c>
      <c r="G1350" s="15">
        <v>42141</v>
      </c>
      <c r="H1350">
        <f t="shared" si="106"/>
        <v>1</v>
      </c>
      <c r="I1350">
        <f t="shared" si="107"/>
        <v>17</v>
      </c>
      <c r="J1350">
        <f t="shared" si="108"/>
        <v>5</v>
      </c>
      <c r="K1350">
        <f t="shared" si="109"/>
        <v>2015</v>
      </c>
      <c r="M1350">
        <v>13</v>
      </c>
      <c r="N1350" t="str">
        <f>VLOOKUP(M1350,'Cadastro Vendedores'!A:H,2,2)</f>
        <v>Andre</v>
      </c>
      <c r="O1350" s="2"/>
      <c r="P1350" s="16">
        <v>1200</v>
      </c>
      <c r="Q1350" s="2">
        <f>VLOOKUP(B1350,'Cadastro Produtos'!A:F,5,2)</f>
        <v>12</v>
      </c>
      <c r="R1350" s="14">
        <f t="shared" si="105"/>
        <v>14400</v>
      </c>
    </row>
    <row r="1351" spans="1:18" x14ac:dyDescent="0.25">
      <c r="A1351">
        <v>1350</v>
      </c>
      <c r="B1351">
        <v>1</v>
      </c>
      <c r="C1351" t="str">
        <f>VLOOKUP(B1351,'Cadastro Produtos'!A:E,2,2)</f>
        <v>Limonada Alfa com Açúcar 500 ml</v>
      </c>
      <c r="D1351">
        <v>19</v>
      </c>
      <c r="E1351" t="str">
        <f>VLOOKUP(D1351,'Cadatro Clientes'!A:O,2,2)</f>
        <v>Lima Limão</v>
      </c>
      <c r="F1351" t="str">
        <f>VLOOKUP(D1351,'Cadatro Clientes'!A:O,9,2)</f>
        <v>Sudeste</v>
      </c>
      <c r="G1351" s="15">
        <v>42141</v>
      </c>
      <c r="H1351">
        <f t="shared" si="106"/>
        <v>1</v>
      </c>
      <c r="I1351">
        <f t="shared" si="107"/>
        <v>17</v>
      </c>
      <c r="J1351">
        <f t="shared" si="108"/>
        <v>5</v>
      </c>
      <c r="K1351">
        <f t="shared" si="109"/>
        <v>2015</v>
      </c>
      <c r="M1351">
        <v>12</v>
      </c>
      <c r="N1351" t="str">
        <f>VLOOKUP(M1351,'Cadastro Vendedores'!A:H,2,2)</f>
        <v>Paulo</v>
      </c>
      <c r="O1351" s="2"/>
      <c r="P1351" s="16">
        <v>6500</v>
      </c>
      <c r="Q1351" s="2">
        <f>VLOOKUP(B1351,'Cadastro Produtos'!A:F,5,2)</f>
        <v>8.5</v>
      </c>
      <c r="R1351" s="14">
        <f t="shared" si="105"/>
        <v>55250</v>
      </c>
    </row>
    <row r="1352" spans="1:18" x14ac:dyDescent="0.25">
      <c r="A1352">
        <v>1351</v>
      </c>
      <c r="B1352">
        <v>2</v>
      </c>
      <c r="C1352" t="str">
        <f>VLOOKUP(B1352,'Cadastro Produtos'!A:E,2,2)</f>
        <v>Limonada Beta com Açúcar 500 ml</v>
      </c>
      <c r="D1352">
        <v>6</v>
      </c>
      <c r="E1352" t="str">
        <f>VLOOKUP(D1352,'Cadatro Clientes'!A:O,2,2)</f>
        <v>Lemonade</v>
      </c>
      <c r="F1352" t="str">
        <f>VLOOKUP(D1352,'Cadatro Clientes'!A:O,9,2)</f>
        <v>Norte</v>
      </c>
      <c r="G1352" s="15">
        <v>42141</v>
      </c>
      <c r="H1352">
        <f t="shared" si="106"/>
        <v>1</v>
      </c>
      <c r="I1352">
        <f t="shared" si="107"/>
        <v>17</v>
      </c>
      <c r="J1352">
        <f t="shared" si="108"/>
        <v>5</v>
      </c>
      <c r="K1352">
        <f t="shared" si="109"/>
        <v>2015</v>
      </c>
      <c r="M1352">
        <v>12</v>
      </c>
      <c r="N1352" t="str">
        <f>VLOOKUP(M1352,'Cadastro Vendedores'!A:H,2,2)</f>
        <v>Paulo</v>
      </c>
      <c r="O1352" s="2"/>
      <c r="P1352" s="16">
        <v>4700</v>
      </c>
      <c r="Q1352" s="2">
        <f>VLOOKUP(B1352,'Cadastro Produtos'!A:F,5,2)</f>
        <v>6.5</v>
      </c>
      <c r="R1352" s="14">
        <f t="shared" si="105"/>
        <v>30550</v>
      </c>
    </row>
    <row r="1353" spans="1:18" x14ac:dyDescent="0.25">
      <c r="A1353">
        <v>1352</v>
      </c>
      <c r="B1353">
        <v>7</v>
      </c>
      <c r="C1353" t="str">
        <f>VLOOKUP(B1353,'Cadastro Produtos'!A:E,2,2)</f>
        <v>Limonada Alfa Zero 1 L</v>
      </c>
      <c r="D1353">
        <v>17</v>
      </c>
      <c r="E1353" t="str">
        <f>VLOOKUP(D1353,'Cadatro Clientes'!A:O,2,2)</f>
        <v>Aracasuco</v>
      </c>
      <c r="F1353" t="str">
        <f>VLOOKUP(D1353,'Cadatro Clientes'!A:O,9,2)</f>
        <v>Nordeste</v>
      </c>
      <c r="G1353" s="15">
        <v>42141</v>
      </c>
      <c r="H1353">
        <f t="shared" si="106"/>
        <v>1</v>
      </c>
      <c r="I1353">
        <f t="shared" si="107"/>
        <v>17</v>
      </c>
      <c r="J1353">
        <f t="shared" si="108"/>
        <v>5</v>
      </c>
      <c r="K1353">
        <f t="shared" si="109"/>
        <v>2015</v>
      </c>
      <c r="M1353">
        <v>15</v>
      </c>
      <c r="N1353" t="str">
        <f>VLOOKUP(M1353,'Cadastro Vendedores'!A:H,2,2)</f>
        <v>Luis</v>
      </c>
      <c r="O1353" s="2"/>
      <c r="P1353" s="16">
        <v>3300</v>
      </c>
      <c r="Q1353" s="2">
        <f>VLOOKUP(B1353,'Cadastro Produtos'!A:F,5,2)</f>
        <v>15</v>
      </c>
      <c r="R1353" s="14">
        <f t="shared" si="105"/>
        <v>49500</v>
      </c>
    </row>
    <row r="1354" spans="1:18" x14ac:dyDescent="0.25">
      <c r="A1354">
        <v>1353</v>
      </c>
      <c r="B1354">
        <v>4</v>
      </c>
      <c r="C1354" t="str">
        <f>VLOOKUP(B1354,'Cadastro Produtos'!A:E,2,2)</f>
        <v>Limonada Beta Zero 500 ml</v>
      </c>
      <c r="D1354">
        <v>19</v>
      </c>
      <c r="E1354" t="str">
        <f>VLOOKUP(D1354,'Cadatro Clientes'!A:O,2,2)</f>
        <v>Lima Limão</v>
      </c>
      <c r="F1354" t="str">
        <f>VLOOKUP(D1354,'Cadatro Clientes'!A:O,9,2)</f>
        <v>Sudeste</v>
      </c>
      <c r="G1354" s="15">
        <v>42142</v>
      </c>
      <c r="H1354">
        <f t="shared" si="106"/>
        <v>2</v>
      </c>
      <c r="I1354">
        <f t="shared" si="107"/>
        <v>18</v>
      </c>
      <c r="J1354">
        <f t="shared" si="108"/>
        <v>5</v>
      </c>
      <c r="K1354">
        <f t="shared" si="109"/>
        <v>2015</v>
      </c>
      <c r="M1354">
        <v>6</v>
      </c>
      <c r="N1354" t="str">
        <f>VLOOKUP(M1354,'Cadastro Vendedores'!A:H,2,2)</f>
        <v>Antônia</v>
      </c>
      <c r="O1354" s="2"/>
      <c r="P1354" s="16">
        <v>5400</v>
      </c>
      <c r="Q1354" s="2">
        <f>VLOOKUP(B1354,'Cadastro Produtos'!A:F,5,2)</f>
        <v>7</v>
      </c>
      <c r="R1354" s="14">
        <f t="shared" si="105"/>
        <v>37800</v>
      </c>
    </row>
    <row r="1355" spans="1:18" x14ac:dyDescent="0.25">
      <c r="A1355">
        <v>1354</v>
      </c>
      <c r="B1355">
        <v>6</v>
      </c>
      <c r="C1355" t="str">
        <f>VLOOKUP(B1355,'Cadastro Produtos'!A:E,2,2)</f>
        <v>Limonada Beta com Açúcar 1 L</v>
      </c>
      <c r="D1355">
        <v>9</v>
      </c>
      <c r="E1355" t="str">
        <f>VLOOKUP(D1355,'Cadatro Clientes'!A:O,2,2)</f>
        <v>Fresh Lemon</v>
      </c>
      <c r="F1355" t="str">
        <f>VLOOKUP(D1355,'Cadatro Clientes'!A:O,9,2)</f>
        <v>Sudeste</v>
      </c>
      <c r="G1355" s="15">
        <v>42142</v>
      </c>
      <c r="H1355">
        <f t="shared" si="106"/>
        <v>2</v>
      </c>
      <c r="I1355">
        <f t="shared" si="107"/>
        <v>18</v>
      </c>
      <c r="J1355">
        <f t="shared" si="108"/>
        <v>5</v>
      </c>
      <c r="K1355">
        <f t="shared" si="109"/>
        <v>2015</v>
      </c>
      <c r="M1355">
        <v>12</v>
      </c>
      <c r="N1355" t="str">
        <f>VLOOKUP(M1355,'Cadastro Vendedores'!A:H,2,2)</f>
        <v>Paulo</v>
      </c>
      <c r="O1355" s="2"/>
      <c r="P1355" s="16">
        <v>3100</v>
      </c>
      <c r="Q1355" s="2">
        <f>VLOOKUP(B1355,'Cadastro Produtos'!A:F,5,2)</f>
        <v>12</v>
      </c>
      <c r="R1355" s="14">
        <f t="shared" si="105"/>
        <v>37200</v>
      </c>
    </row>
    <row r="1356" spans="1:18" x14ac:dyDescent="0.25">
      <c r="A1356">
        <v>1355</v>
      </c>
      <c r="B1356">
        <v>6</v>
      </c>
      <c r="C1356" t="str">
        <f>VLOOKUP(B1356,'Cadastro Produtos'!A:E,2,2)</f>
        <v>Limonada Beta com Açúcar 1 L</v>
      </c>
      <c r="D1356">
        <v>13</v>
      </c>
      <c r="E1356" t="str">
        <f>VLOOKUP(D1356,'Cadatro Clientes'!A:O,2,2)</f>
        <v>Monster Lemon</v>
      </c>
      <c r="F1356" t="str">
        <f>VLOOKUP(D1356,'Cadatro Clientes'!A:O,9,2)</f>
        <v>Nordeste</v>
      </c>
      <c r="G1356" s="15">
        <v>42142</v>
      </c>
      <c r="H1356">
        <f t="shared" si="106"/>
        <v>2</v>
      </c>
      <c r="I1356">
        <f t="shared" si="107"/>
        <v>18</v>
      </c>
      <c r="J1356">
        <f t="shared" si="108"/>
        <v>5</v>
      </c>
      <c r="K1356">
        <f t="shared" si="109"/>
        <v>2015</v>
      </c>
      <c r="M1356">
        <v>16</v>
      </c>
      <c r="N1356" t="str">
        <f>VLOOKUP(M1356,'Cadastro Vendedores'!A:H,2,2)</f>
        <v>Jose</v>
      </c>
      <c r="O1356" s="2"/>
      <c r="P1356" s="16">
        <v>2200</v>
      </c>
      <c r="Q1356" s="2">
        <f>VLOOKUP(B1356,'Cadastro Produtos'!A:F,5,2)</f>
        <v>12</v>
      </c>
      <c r="R1356" s="14">
        <f t="shared" si="105"/>
        <v>26400</v>
      </c>
    </row>
    <row r="1357" spans="1:18" x14ac:dyDescent="0.25">
      <c r="A1357">
        <v>1356</v>
      </c>
      <c r="B1357">
        <v>6</v>
      </c>
      <c r="C1357" t="str">
        <f>VLOOKUP(B1357,'Cadastro Produtos'!A:E,2,2)</f>
        <v>Limonada Beta com Açúcar 1 L</v>
      </c>
      <c r="D1357">
        <v>3</v>
      </c>
      <c r="E1357" t="str">
        <f>VLOOKUP(D1357,'Cadatro Clientes'!A:O,2,2)</f>
        <v>Limonada Suíça Ltda</v>
      </c>
      <c r="F1357" t="str">
        <f>VLOOKUP(D1357,'Cadatro Clientes'!A:O,9,2)</f>
        <v>Nordeste</v>
      </c>
      <c r="G1357" s="15">
        <v>42143</v>
      </c>
      <c r="H1357">
        <f t="shared" si="106"/>
        <v>3</v>
      </c>
      <c r="I1357">
        <f t="shared" si="107"/>
        <v>19</v>
      </c>
      <c r="J1357">
        <f t="shared" si="108"/>
        <v>5</v>
      </c>
      <c r="K1357">
        <f t="shared" si="109"/>
        <v>2015</v>
      </c>
      <c r="M1357">
        <v>9</v>
      </c>
      <c r="N1357" t="str">
        <f>VLOOKUP(M1357,'Cadastro Vendedores'!A:H,2,2)</f>
        <v>Adriana</v>
      </c>
      <c r="O1357" s="2"/>
      <c r="P1357" s="16">
        <v>2100</v>
      </c>
      <c r="Q1357" s="2">
        <f>VLOOKUP(B1357,'Cadastro Produtos'!A:F,5,2)</f>
        <v>12</v>
      </c>
      <c r="R1357" s="14">
        <f t="shared" si="105"/>
        <v>25200</v>
      </c>
    </row>
    <row r="1358" spans="1:18" x14ac:dyDescent="0.25">
      <c r="A1358">
        <v>1357</v>
      </c>
      <c r="B1358">
        <v>3</v>
      </c>
      <c r="C1358" t="str">
        <f>VLOOKUP(B1358,'Cadastro Produtos'!A:E,2,2)</f>
        <v>Limonada Alfa Zero 500 ml</v>
      </c>
      <c r="D1358">
        <v>1</v>
      </c>
      <c r="E1358" t="str">
        <f>VLOOKUP(D1358,'Cadatro Clientes'!A:O,2,2)</f>
        <v>Meu Suco de Limão</v>
      </c>
      <c r="F1358" t="str">
        <f>VLOOKUP(D1358,'Cadatro Clientes'!A:O,9,2)</f>
        <v>Norte</v>
      </c>
      <c r="G1358" s="15">
        <v>42143</v>
      </c>
      <c r="H1358">
        <f t="shared" si="106"/>
        <v>3</v>
      </c>
      <c r="I1358">
        <f t="shared" si="107"/>
        <v>19</v>
      </c>
      <c r="J1358">
        <f t="shared" si="108"/>
        <v>5</v>
      </c>
      <c r="K1358">
        <f t="shared" si="109"/>
        <v>2015</v>
      </c>
      <c r="M1358">
        <v>8</v>
      </c>
      <c r="N1358" t="str">
        <f>VLOOKUP(M1358,'Cadastro Vendedores'!A:H,2,2)</f>
        <v>Sérgio</v>
      </c>
      <c r="O1358" s="2"/>
      <c r="P1358" s="16">
        <v>5000</v>
      </c>
      <c r="Q1358" s="2">
        <f>VLOOKUP(B1358,'Cadastro Produtos'!A:F,5,2)</f>
        <v>9</v>
      </c>
      <c r="R1358" s="14">
        <f t="shared" si="105"/>
        <v>45000</v>
      </c>
    </row>
    <row r="1359" spans="1:18" x14ac:dyDescent="0.25">
      <c r="A1359">
        <v>1358</v>
      </c>
      <c r="B1359">
        <v>7</v>
      </c>
      <c r="C1359" t="str">
        <f>VLOOKUP(B1359,'Cadastro Produtos'!A:E,2,2)</f>
        <v>Limonada Alfa Zero 1 L</v>
      </c>
      <c r="D1359">
        <v>14</v>
      </c>
      <c r="E1359" t="str">
        <f>VLOOKUP(D1359,'Cadatro Clientes'!A:O,2,2)</f>
        <v>Sprite</v>
      </c>
      <c r="F1359" t="str">
        <f>VLOOKUP(D1359,'Cadatro Clientes'!A:O,9,2)</f>
        <v>Norte</v>
      </c>
      <c r="G1359" s="15">
        <v>42144</v>
      </c>
      <c r="H1359">
        <f t="shared" si="106"/>
        <v>4</v>
      </c>
      <c r="I1359">
        <f t="shared" si="107"/>
        <v>20</v>
      </c>
      <c r="J1359">
        <f t="shared" si="108"/>
        <v>5</v>
      </c>
      <c r="K1359">
        <f t="shared" si="109"/>
        <v>2015</v>
      </c>
      <c r="M1359">
        <v>13</v>
      </c>
      <c r="N1359" t="str">
        <f>VLOOKUP(M1359,'Cadastro Vendedores'!A:H,2,2)</f>
        <v>Andre</v>
      </c>
      <c r="O1359" s="2"/>
      <c r="P1359" s="16">
        <v>2300</v>
      </c>
      <c r="Q1359" s="2">
        <f>VLOOKUP(B1359,'Cadastro Produtos'!A:F,5,2)</f>
        <v>15</v>
      </c>
      <c r="R1359" s="14">
        <f t="shared" si="105"/>
        <v>34500</v>
      </c>
    </row>
    <row r="1360" spans="1:18" x14ac:dyDescent="0.25">
      <c r="A1360">
        <v>1359</v>
      </c>
      <c r="B1360">
        <v>10</v>
      </c>
      <c r="C1360" t="str">
        <f>VLOOKUP(B1360,'Cadastro Produtos'!A:E,2,2)</f>
        <v>Limonada Alfa com Hortelã Zero 1 L</v>
      </c>
      <c r="D1360">
        <v>6</v>
      </c>
      <c r="E1360" t="str">
        <f>VLOOKUP(D1360,'Cadatro Clientes'!A:O,2,2)</f>
        <v>Lemonade</v>
      </c>
      <c r="F1360" t="str">
        <f>VLOOKUP(D1360,'Cadatro Clientes'!A:O,9,2)</f>
        <v>Norte</v>
      </c>
      <c r="G1360" s="15">
        <v>42144</v>
      </c>
      <c r="H1360">
        <f t="shared" si="106"/>
        <v>4</v>
      </c>
      <c r="I1360">
        <f t="shared" si="107"/>
        <v>20</v>
      </c>
      <c r="J1360">
        <f t="shared" si="108"/>
        <v>5</v>
      </c>
      <c r="K1360">
        <f t="shared" si="109"/>
        <v>2015</v>
      </c>
      <c r="M1360">
        <v>7</v>
      </c>
      <c r="N1360" t="str">
        <f>VLOOKUP(M1360,'Cadastro Vendedores'!A:H,2,2)</f>
        <v>Benedito</v>
      </c>
      <c r="O1360" s="2"/>
      <c r="P1360" s="16">
        <v>1100</v>
      </c>
      <c r="Q1360" s="2">
        <f>VLOOKUP(B1360,'Cadastro Produtos'!A:F,5,2)</f>
        <v>21</v>
      </c>
      <c r="R1360" s="14">
        <f t="shared" si="105"/>
        <v>23100</v>
      </c>
    </row>
    <row r="1361" spans="1:18" x14ac:dyDescent="0.25">
      <c r="A1361">
        <v>1360</v>
      </c>
      <c r="B1361">
        <v>8</v>
      </c>
      <c r="C1361" t="str">
        <f>VLOOKUP(B1361,'Cadastro Produtos'!A:E,2,2)</f>
        <v>Limonada Beta Zero 1 L</v>
      </c>
      <c r="D1361">
        <v>14</v>
      </c>
      <c r="E1361" t="str">
        <f>VLOOKUP(D1361,'Cadatro Clientes'!A:O,2,2)</f>
        <v>Sprite</v>
      </c>
      <c r="F1361" t="str">
        <f>VLOOKUP(D1361,'Cadatro Clientes'!A:O,9,2)</f>
        <v>Norte</v>
      </c>
      <c r="G1361" s="15">
        <v>42144</v>
      </c>
      <c r="H1361">
        <f t="shared" si="106"/>
        <v>4</v>
      </c>
      <c r="I1361">
        <f t="shared" si="107"/>
        <v>20</v>
      </c>
      <c r="J1361">
        <f t="shared" si="108"/>
        <v>5</v>
      </c>
      <c r="K1361">
        <f t="shared" si="109"/>
        <v>2015</v>
      </c>
      <c r="M1361">
        <v>8</v>
      </c>
      <c r="N1361" t="str">
        <f>VLOOKUP(M1361,'Cadastro Vendedores'!A:H,2,2)</f>
        <v>Sérgio</v>
      </c>
      <c r="O1361" s="2"/>
      <c r="P1361" s="16">
        <v>2200</v>
      </c>
      <c r="Q1361" s="2">
        <f>VLOOKUP(B1361,'Cadastro Produtos'!A:F,5,2)</f>
        <v>12</v>
      </c>
      <c r="R1361" s="14">
        <f t="shared" si="105"/>
        <v>26400</v>
      </c>
    </row>
    <row r="1362" spans="1:18" x14ac:dyDescent="0.25">
      <c r="A1362">
        <v>1361</v>
      </c>
      <c r="B1362">
        <v>6</v>
      </c>
      <c r="C1362" t="str">
        <f>VLOOKUP(B1362,'Cadastro Produtos'!A:E,2,2)</f>
        <v>Limonada Beta com Açúcar 1 L</v>
      </c>
      <c r="D1362">
        <v>2</v>
      </c>
      <c r="E1362" t="str">
        <f>VLOOKUP(D1362,'Cadatro Clientes'!A:O,2,2)</f>
        <v>Limão S/A</v>
      </c>
      <c r="F1362" t="str">
        <f>VLOOKUP(D1362,'Cadatro Clientes'!A:O,9,2)</f>
        <v>Centro-Oeste</v>
      </c>
      <c r="G1362" s="15">
        <v>42144</v>
      </c>
      <c r="H1362">
        <f t="shared" si="106"/>
        <v>4</v>
      </c>
      <c r="I1362">
        <f t="shared" si="107"/>
        <v>20</v>
      </c>
      <c r="J1362">
        <f t="shared" si="108"/>
        <v>5</v>
      </c>
      <c r="K1362">
        <f t="shared" si="109"/>
        <v>2015</v>
      </c>
      <c r="M1362">
        <v>9</v>
      </c>
      <c r="N1362" t="str">
        <f>VLOOKUP(M1362,'Cadastro Vendedores'!A:H,2,2)</f>
        <v>Adriana</v>
      </c>
      <c r="O1362" s="2"/>
      <c r="P1362" s="16">
        <v>2300</v>
      </c>
      <c r="Q1362" s="2">
        <f>VLOOKUP(B1362,'Cadastro Produtos'!A:F,5,2)</f>
        <v>12</v>
      </c>
      <c r="R1362" s="14">
        <f t="shared" si="105"/>
        <v>27600</v>
      </c>
    </row>
    <row r="1363" spans="1:18" x14ac:dyDescent="0.25">
      <c r="A1363">
        <v>1362</v>
      </c>
      <c r="B1363">
        <v>6</v>
      </c>
      <c r="C1363" t="str">
        <f>VLOOKUP(B1363,'Cadastro Produtos'!A:E,2,2)</f>
        <v>Limonada Beta com Açúcar 1 L</v>
      </c>
      <c r="D1363">
        <v>5</v>
      </c>
      <c r="E1363" t="str">
        <f>VLOOKUP(D1363,'Cadatro Clientes'!A:O,2,2)</f>
        <v>Axé com Limão</v>
      </c>
      <c r="F1363" t="str">
        <f>VLOOKUP(D1363,'Cadatro Clientes'!A:O,9,2)</f>
        <v>Nordeste</v>
      </c>
      <c r="G1363" s="15">
        <v>42145</v>
      </c>
      <c r="H1363">
        <f t="shared" si="106"/>
        <v>5</v>
      </c>
      <c r="I1363">
        <f t="shared" si="107"/>
        <v>21</v>
      </c>
      <c r="J1363">
        <f t="shared" si="108"/>
        <v>5</v>
      </c>
      <c r="K1363">
        <f t="shared" si="109"/>
        <v>2015</v>
      </c>
      <c r="M1363">
        <v>7</v>
      </c>
      <c r="N1363" t="str">
        <f>VLOOKUP(M1363,'Cadastro Vendedores'!A:H,2,2)</f>
        <v>Benedito</v>
      </c>
      <c r="O1363" s="2"/>
      <c r="P1363" s="16">
        <v>3500</v>
      </c>
      <c r="Q1363" s="2">
        <f>VLOOKUP(B1363,'Cadastro Produtos'!A:F,5,2)</f>
        <v>12</v>
      </c>
      <c r="R1363" s="14">
        <f t="shared" si="105"/>
        <v>42000</v>
      </c>
    </row>
    <row r="1364" spans="1:18" x14ac:dyDescent="0.25">
      <c r="A1364">
        <v>1363</v>
      </c>
      <c r="B1364">
        <v>1</v>
      </c>
      <c r="C1364" t="str">
        <f>VLOOKUP(B1364,'Cadastro Produtos'!A:E,2,2)</f>
        <v>Limonada Alfa com Açúcar 500 ml</v>
      </c>
      <c r="D1364">
        <v>5</v>
      </c>
      <c r="E1364" t="str">
        <f>VLOOKUP(D1364,'Cadatro Clientes'!A:O,2,2)</f>
        <v>Axé com Limão</v>
      </c>
      <c r="F1364" t="str">
        <f>VLOOKUP(D1364,'Cadatro Clientes'!A:O,9,2)</f>
        <v>Nordeste</v>
      </c>
      <c r="G1364" s="15">
        <v>42145</v>
      </c>
      <c r="H1364">
        <f t="shared" si="106"/>
        <v>5</v>
      </c>
      <c r="I1364">
        <f t="shared" si="107"/>
        <v>21</v>
      </c>
      <c r="J1364">
        <f t="shared" si="108"/>
        <v>5</v>
      </c>
      <c r="K1364">
        <f t="shared" si="109"/>
        <v>2015</v>
      </c>
      <c r="M1364">
        <v>6</v>
      </c>
      <c r="N1364" t="str">
        <f>VLOOKUP(M1364,'Cadastro Vendedores'!A:H,2,2)</f>
        <v>Antônia</v>
      </c>
      <c r="O1364" s="2"/>
      <c r="P1364" s="16">
        <v>2700</v>
      </c>
      <c r="Q1364" s="2">
        <f>VLOOKUP(B1364,'Cadastro Produtos'!A:F,5,2)</f>
        <v>8.5</v>
      </c>
      <c r="R1364" s="14">
        <f t="shared" si="105"/>
        <v>22950</v>
      </c>
    </row>
    <row r="1365" spans="1:18" x14ac:dyDescent="0.25">
      <c r="A1365">
        <v>1364</v>
      </c>
      <c r="B1365">
        <v>5</v>
      </c>
      <c r="C1365" t="str">
        <f>VLOOKUP(B1365,'Cadastro Produtos'!A:E,2,2)</f>
        <v>Limonada Alfa com Açúcar 1 L</v>
      </c>
      <c r="D1365">
        <v>17</v>
      </c>
      <c r="E1365" t="str">
        <f>VLOOKUP(D1365,'Cadatro Clientes'!A:O,2,2)</f>
        <v>Aracasuco</v>
      </c>
      <c r="F1365" t="str">
        <f>VLOOKUP(D1365,'Cadatro Clientes'!A:O,9,2)</f>
        <v>Nordeste</v>
      </c>
      <c r="G1365" s="15">
        <v>42145</v>
      </c>
      <c r="H1365">
        <f t="shared" si="106"/>
        <v>5</v>
      </c>
      <c r="I1365">
        <f t="shared" si="107"/>
        <v>21</v>
      </c>
      <c r="J1365">
        <f t="shared" si="108"/>
        <v>5</v>
      </c>
      <c r="K1365">
        <f t="shared" si="109"/>
        <v>2015</v>
      </c>
      <c r="M1365">
        <v>7</v>
      </c>
      <c r="N1365" t="str">
        <f>VLOOKUP(M1365,'Cadastro Vendedores'!A:H,2,2)</f>
        <v>Benedito</v>
      </c>
      <c r="O1365" s="2"/>
      <c r="P1365" s="16">
        <v>3200</v>
      </c>
      <c r="Q1365" s="2">
        <f>VLOOKUP(B1365,'Cadastro Produtos'!A:F,5,2)</f>
        <v>15</v>
      </c>
      <c r="R1365" s="14">
        <f t="shared" si="105"/>
        <v>48000</v>
      </c>
    </row>
    <row r="1366" spans="1:18" x14ac:dyDescent="0.25">
      <c r="A1366">
        <v>1365</v>
      </c>
      <c r="B1366">
        <v>7</v>
      </c>
      <c r="C1366" t="str">
        <f>VLOOKUP(B1366,'Cadastro Produtos'!A:E,2,2)</f>
        <v>Limonada Alfa Zero 1 L</v>
      </c>
      <c r="D1366">
        <v>5</v>
      </c>
      <c r="E1366" t="str">
        <f>VLOOKUP(D1366,'Cadatro Clientes'!A:O,2,2)</f>
        <v>Axé com Limão</v>
      </c>
      <c r="F1366" t="str">
        <f>VLOOKUP(D1366,'Cadatro Clientes'!A:O,9,2)</f>
        <v>Nordeste</v>
      </c>
      <c r="G1366" s="15">
        <v>42146</v>
      </c>
      <c r="H1366">
        <f t="shared" si="106"/>
        <v>6</v>
      </c>
      <c r="I1366">
        <f t="shared" si="107"/>
        <v>22</v>
      </c>
      <c r="J1366">
        <f t="shared" si="108"/>
        <v>5</v>
      </c>
      <c r="K1366">
        <f t="shared" si="109"/>
        <v>2015</v>
      </c>
      <c r="M1366">
        <v>12</v>
      </c>
      <c r="N1366" t="str">
        <f>VLOOKUP(M1366,'Cadastro Vendedores'!A:H,2,2)</f>
        <v>Paulo</v>
      </c>
      <c r="O1366" s="2"/>
      <c r="P1366" s="16">
        <v>3200</v>
      </c>
      <c r="Q1366" s="2">
        <f>VLOOKUP(B1366,'Cadastro Produtos'!A:F,5,2)</f>
        <v>15</v>
      </c>
      <c r="R1366" s="14">
        <f t="shared" si="105"/>
        <v>48000</v>
      </c>
    </row>
    <row r="1367" spans="1:18" x14ac:dyDescent="0.25">
      <c r="A1367">
        <v>1366</v>
      </c>
      <c r="B1367">
        <v>7</v>
      </c>
      <c r="C1367" t="str">
        <f>VLOOKUP(B1367,'Cadastro Produtos'!A:E,2,2)</f>
        <v>Limonada Alfa Zero 1 L</v>
      </c>
      <c r="D1367">
        <v>7</v>
      </c>
      <c r="E1367" t="str">
        <f>VLOOKUP(D1367,'Cadatro Clientes'!A:O,2,2)</f>
        <v>Limo</v>
      </c>
      <c r="F1367" t="str">
        <f>VLOOKUP(D1367,'Cadatro Clientes'!A:O,9,2)</f>
        <v>Centro-Oeste</v>
      </c>
      <c r="G1367" s="15">
        <v>42146</v>
      </c>
      <c r="H1367">
        <f t="shared" si="106"/>
        <v>6</v>
      </c>
      <c r="I1367">
        <f t="shared" si="107"/>
        <v>22</v>
      </c>
      <c r="J1367">
        <f t="shared" si="108"/>
        <v>5</v>
      </c>
      <c r="K1367">
        <f t="shared" si="109"/>
        <v>2015</v>
      </c>
      <c r="M1367">
        <v>4</v>
      </c>
      <c r="N1367" t="str">
        <f>VLOOKUP(M1367,'Cadastro Vendedores'!A:H,2,2)</f>
        <v>José</v>
      </c>
      <c r="O1367" s="2"/>
      <c r="P1367" s="16">
        <v>1100</v>
      </c>
      <c r="Q1367" s="2">
        <f>VLOOKUP(B1367,'Cadastro Produtos'!A:F,5,2)</f>
        <v>15</v>
      </c>
      <c r="R1367" s="14">
        <f t="shared" si="105"/>
        <v>16500</v>
      </c>
    </row>
    <row r="1368" spans="1:18" x14ac:dyDescent="0.25">
      <c r="A1368">
        <v>1367</v>
      </c>
      <c r="B1368">
        <v>5</v>
      </c>
      <c r="C1368" t="str">
        <f>VLOOKUP(B1368,'Cadastro Produtos'!A:E,2,2)</f>
        <v>Limonada Alfa com Açúcar 1 L</v>
      </c>
      <c r="D1368">
        <v>11</v>
      </c>
      <c r="E1368" t="str">
        <f>VLOOKUP(D1368,'Cadatro Clientes'!A:O,2,2)</f>
        <v>Red Lemon</v>
      </c>
      <c r="F1368" t="str">
        <f>VLOOKUP(D1368,'Cadatro Clientes'!A:O,9,2)</f>
        <v>Sul</v>
      </c>
      <c r="G1368" s="15">
        <v>42146</v>
      </c>
      <c r="H1368">
        <f t="shared" si="106"/>
        <v>6</v>
      </c>
      <c r="I1368">
        <f t="shared" si="107"/>
        <v>22</v>
      </c>
      <c r="J1368">
        <f t="shared" si="108"/>
        <v>5</v>
      </c>
      <c r="K1368">
        <f t="shared" si="109"/>
        <v>2015</v>
      </c>
      <c r="M1368">
        <v>12</v>
      </c>
      <c r="N1368" t="str">
        <f>VLOOKUP(M1368,'Cadastro Vendedores'!A:H,2,2)</f>
        <v>Paulo</v>
      </c>
      <c r="O1368" s="2"/>
      <c r="P1368" s="16">
        <v>2400</v>
      </c>
      <c r="Q1368" s="2">
        <f>VLOOKUP(B1368,'Cadastro Produtos'!A:F,5,2)</f>
        <v>15</v>
      </c>
      <c r="R1368" s="14">
        <f t="shared" si="105"/>
        <v>36000</v>
      </c>
    </row>
    <row r="1369" spans="1:18" x14ac:dyDescent="0.25">
      <c r="A1369">
        <v>1368</v>
      </c>
      <c r="B1369">
        <v>1</v>
      </c>
      <c r="C1369" t="str">
        <f>VLOOKUP(B1369,'Cadastro Produtos'!A:E,2,2)</f>
        <v>Limonada Alfa com Açúcar 500 ml</v>
      </c>
      <c r="D1369">
        <v>11</v>
      </c>
      <c r="E1369" t="str">
        <f>VLOOKUP(D1369,'Cadatro Clientes'!A:O,2,2)</f>
        <v>Red Lemon</v>
      </c>
      <c r="F1369" t="str">
        <f>VLOOKUP(D1369,'Cadatro Clientes'!A:O,9,2)</f>
        <v>Sul</v>
      </c>
      <c r="G1369" s="15">
        <v>42146</v>
      </c>
      <c r="H1369">
        <f t="shared" si="106"/>
        <v>6</v>
      </c>
      <c r="I1369">
        <f t="shared" si="107"/>
        <v>22</v>
      </c>
      <c r="J1369">
        <f t="shared" si="108"/>
        <v>5</v>
      </c>
      <c r="K1369">
        <f t="shared" si="109"/>
        <v>2015</v>
      </c>
      <c r="M1369">
        <v>6</v>
      </c>
      <c r="N1369" t="str">
        <f>VLOOKUP(M1369,'Cadastro Vendedores'!A:H,2,2)</f>
        <v>Antônia</v>
      </c>
      <c r="O1369" s="2"/>
      <c r="P1369" s="16">
        <v>4200</v>
      </c>
      <c r="Q1369" s="2">
        <f>VLOOKUP(B1369,'Cadastro Produtos'!A:F,5,2)</f>
        <v>8.5</v>
      </c>
      <c r="R1369" s="14">
        <f t="shared" si="105"/>
        <v>35700</v>
      </c>
    </row>
    <row r="1370" spans="1:18" x14ac:dyDescent="0.25">
      <c r="A1370">
        <v>1369</v>
      </c>
      <c r="B1370">
        <v>6</v>
      </c>
      <c r="C1370" t="str">
        <f>VLOOKUP(B1370,'Cadastro Produtos'!A:E,2,2)</f>
        <v>Limonada Beta com Açúcar 1 L</v>
      </c>
      <c r="D1370">
        <v>11</v>
      </c>
      <c r="E1370" t="str">
        <f>VLOOKUP(D1370,'Cadatro Clientes'!A:O,2,2)</f>
        <v>Red Lemon</v>
      </c>
      <c r="F1370" t="str">
        <f>VLOOKUP(D1370,'Cadatro Clientes'!A:O,9,2)</f>
        <v>Sul</v>
      </c>
      <c r="G1370" s="15">
        <v>42146</v>
      </c>
      <c r="H1370">
        <f t="shared" si="106"/>
        <v>6</v>
      </c>
      <c r="I1370">
        <f t="shared" si="107"/>
        <v>22</v>
      </c>
      <c r="J1370">
        <f t="shared" si="108"/>
        <v>5</v>
      </c>
      <c r="K1370">
        <f t="shared" si="109"/>
        <v>2015</v>
      </c>
      <c r="M1370">
        <v>15</v>
      </c>
      <c r="N1370" t="str">
        <f>VLOOKUP(M1370,'Cadastro Vendedores'!A:H,2,2)</f>
        <v>Luis</v>
      </c>
      <c r="O1370" s="2"/>
      <c r="P1370" s="16">
        <v>2500</v>
      </c>
      <c r="Q1370" s="2">
        <f>VLOOKUP(B1370,'Cadastro Produtos'!A:F,5,2)</f>
        <v>12</v>
      </c>
      <c r="R1370" s="14">
        <f t="shared" si="105"/>
        <v>30000</v>
      </c>
    </row>
    <row r="1371" spans="1:18" x14ac:dyDescent="0.25">
      <c r="A1371">
        <v>1370</v>
      </c>
      <c r="B1371">
        <v>10</v>
      </c>
      <c r="C1371" t="str">
        <f>VLOOKUP(B1371,'Cadastro Produtos'!A:E,2,2)</f>
        <v>Limonada Alfa com Hortelã Zero 1 L</v>
      </c>
      <c r="D1371">
        <v>15</v>
      </c>
      <c r="E1371" t="str">
        <f>VLOOKUP(D1371,'Cadatro Clientes'!A:O,2,2)</f>
        <v>Limão do Mané</v>
      </c>
      <c r="F1371" t="str">
        <f>VLOOKUP(D1371,'Cadatro Clientes'!A:O,9,2)</f>
        <v>Sul</v>
      </c>
      <c r="G1371" s="15">
        <v>42146</v>
      </c>
      <c r="H1371">
        <f t="shared" si="106"/>
        <v>6</v>
      </c>
      <c r="I1371">
        <f t="shared" si="107"/>
        <v>22</v>
      </c>
      <c r="J1371">
        <f t="shared" si="108"/>
        <v>5</v>
      </c>
      <c r="K1371">
        <f t="shared" si="109"/>
        <v>2015</v>
      </c>
      <c r="M1371">
        <v>4</v>
      </c>
      <c r="N1371" t="str">
        <f>VLOOKUP(M1371,'Cadastro Vendedores'!A:H,2,2)</f>
        <v>José</v>
      </c>
      <c r="O1371" s="2"/>
      <c r="P1371" s="16">
        <v>800</v>
      </c>
      <c r="Q1371" s="2">
        <f>VLOOKUP(B1371,'Cadastro Produtos'!A:F,5,2)</f>
        <v>21</v>
      </c>
      <c r="R1371" s="14">
        <f t="shared" si="105"/>
        <v>16800</v>
      </c>
    </row>
    <row r="1372" spans="1:18" x14ac:dyDescent="0.25">
      <c r="A1372">
        <v>1371</v>
      </c>
      <c r="B1372">
        <v>8</v>
      </c>
      <c r="C1372" t="str">
        <f>VLOOKUP(B1372,'Cadastro Produtos'!A:E,2,2)</f>
        <v>Limonada Beta Zero 1 L</v>
      </c>
      <c r="D1372">
        <v>5</v>
      </c>
      <c r="E1372" t="str">
        <f>VLOOKUP(D1372,'Cadatro Clientes'!A:O,2,2)</f>
        <v>Axé com Limão</v>
      </c>
      <c r="F1372" t="str">
        <f>VLOOKUP(D1372,'Cadatro Clientes'!A:O,9,2)</f>
        <v>Nordeste</v>
      </c>
      <c r="G1372" s="15">
        <v>42147</v>
      </c>
      <c r="H1372">
        <f t="shared" si="106"/>
        <v>7</v>
      </c>
      <c r="I1372">
        <f t="shared" si="107"/>
        <v>23</v>
      </c>
      <c r="J1372">
        <f t="shared" si="108"/>
        <v>5</v>
      </c>
      <c r="K1372">
        <f t="shared" si="109"/>
        <v>2015</v>
      </c>
      <c r="M1372">
        <v>8</v>
      </c>
      <c r="N1372" t="str">
        <f>VLOOKUP(M1372,'Cadastro Vendedores'!A:H,2,2)</f>
        <v>Sérgio</v>
      </c>
      <c r="O1372" s="2"/>
      <c r="P1372" s="16">
        <v>1400</v>
      </c>
      <c r="Q1372" s="2">
        <f>VLOOKUP(B1372,'Cadastro Produtos'!A:F,5,2)</f>
        <v>12</v>
      </c>
      <c r="R1372" s="14">
        <f t="shared" si="105"/>
        <v>16800</v>
      </c>
    </row>
    <row r="1373" spans="1:18" x14ac:dyDescent="0.25">
      <c r="A1373">
        <v>1372</v>
      </c>
      <c r="B1373">
        <v>3</v>
      </c>
      <c r="C1373" t="str">
        <f>VLOOKUP(B1373,'Cadastro Produtos'!A:E,2,2)</f>
        <v>Limonada Alfa Zero 500 ml</v>
      </c>
      <c r="D1373">
        <v>1</v>
      </c>
      <c r="E1373" t="str">
        <f>VLOOKUP(D1373,'Cadatro Clientes'!A:O,2,2)</f>
        <v>Meu Suco de Limão</v>
      </c>
      <c r="F1373" t="str">
        <f>VLOOKUP(D1373,'Cadatro Clientes'!A:O,9,2)</f>
        <v>Norte</v>
      </c>
      <c r="G1373" s="15">
        <v>42147</v>
      </c>
      <c r="H1373">
        <f t="shared" si="106"/>
        <v>7</v>
      </c>
      <c r="I1373">
        <f t="shared" si="107"/>
        <v>23</v>
      </c>
      <c r="J1373">
        <f t="shared" si="108"/>
        <v>5</v>
      </c>
      <c r="K1373">
        <f t="shared" si="109"/>
        <v>2015</v>
      </c>
      <c r="M1373">
        <v>13</v>
      </c>
      <c r="N1373" t="str">
        <f>VLOOKUP(M1373,'Cadastro Vendedores'!A:H,2,2)</f>
        <v>Andre</v>
      </c>
      <c r="O1373" s="2"/>
      <c r="P1373" s="16">
        <v>2800</v>
      </c>
      <c r="Q1373" s="2">
        <f>VLOOKUP(B1373,'Cadastro Produtos'!A:F,5,2)</f>
        <v>9</v>
      </c>
      <c r="R1373" s="14">
        <f t="shared" si="105"/>
        <v>25200</v>
      </c>
    </row>
    <row r="1374" spans="1:18" x14ac:dyDescent="0.25">
      <c r="A1374">
        <v>1373</v>
      </c>
      <c r="B1374">
        <v>2</v>
      </c>
      <c r="C1374" t="str">
        <f>VLOOKUP(B1374,'Cadastro Produtos'!A:E,2,2)</f>
        <v>Limonada Beta com Açúcar 500 ml</v>
      </c>
      <c r="D1374">
        <v>6</v>
      </c>
      <c r="E1374" t="str">
        <f>VLOOKUP(D1374,'Cadatro Clientes'!A:O,2,2)</f>
        <v>Lemonade</v>
      </c>
      <c r="F1374" t="str">
        <f>VLOOKUP(D1374,'Cadatro Clientes'!A:O,9,2)</f>
        <v>Norte</v>
      </c>
      <c r="G1374" s="15">
        <v>42147</v>
      </c>
      <c r="H1374">
        <f t="shared" si="106"/>
        <v>7</v>
      </c>
      <c r="I1374">
        <f t="shared" si="107"/>
        <v>23</v>
      </c>
      <c r="J1374">
        <f t="shared" si="108"/>
        <v>5</v>
      </c>
      <c r="K1374">
        <f t="shared" si="109"/>
        <v>2015</v>
      </c>
      <c r="M1374">
        <v>6</v>
      </c>
      <c r="N1374" t="str">
        <f>VLOOKUP(M1374,'Cadastro Vendedores'!A:H,2,2)</f>
        <v>Antônia</v>
      </c>
      <c r="O1374" s="2"/>
      <c r="P1374" s="16">
        <v>1500</v>
      </c>
      <c r="Q1374" s="2">
        <f>VLOOKUP(B1374,'Cadastro Produtos'!A:F,5,2)</f>
        <v>6.5</v>
      </c>
      <c r="R1374" s="14">
        <f t="shared" si="105"/>
        <v>9750</v>
      </c>
    </row>
    <row r="1375" spans="1:18" x14ac:dyDescent="0.25">
      <c r="A1375">
        <v>1374</v>
      </c>
      <c r="B1375">
        <v>8</v>
      </c>
      <c r="C1375" t="str">
        <f>VLOOKUP(B1375,'Cadastro Produtos'!A:E,2,2)</f>
        <v>Limonada Beta Zero 1 L</v>
      </c>
      <c r="D1375">
        <v>13</v>
      </c>
      <c r="E1375" t="str">
        <f>VLOOKUP(D1375,'Cadatro Clientes'!A:O,2,2)</f>
        <v>Monster Lemon</v>
      </c>
      <c r="F1375" t="str">
        <f>VLOOKUP(D1375,'Cadatro Clientes'!A:O,9,2)</f>
        <v>Nordeste</v>
      </c>
      <c r="G1375" s="15">
        <v>42147</v>
      </c>
      <c r="H1375">
        <f t="shared" si="106"/>
        <v>7</v>
      </c>
      <c r="I1375">
        <f t="shared" si="107"/>
        <v>23</v>
      </c>
      <c r="J1375">
        <f t="shared" si="108"/>
        <v>5</v>
      </c>
      <c r="K1375">
        <f t="shared" si="109"/>
        <v>2015</v>
      </c>
      <c r="M1375">
        <v>8</v>
      </c>
      <c r="N1375" t="str">
        <f>VLOOKUP(M1375,'Cadastro Vendedores'!A:H,2,2)</f>
        <v>Sérgio</v>
      </c>
      <c r="O1375" s="2"/>
      <c r="P1375" s="16">
        <v>2500</v>
      </c>
      <c r="Q1375" s="2">
        <f>VLOOKUP(B1375,'Cadastro Produtos'!A:F,5,2)</f>
        <v>12</v>
      </c>
      <c r="R1375" s="14">
        <f t="shared" si="105"/>
        <v>30000</v>
      </c>
    </row>
    <row r="1376" spans="1:18" x14ac:dyDescent="0.25">
      <c r="A1376">
        <v>1375</v>
      </c>
      <c r="B1376">
        <v>3</v>
      </c>
      <c r="C1376" t="str">
        <f>VLOOKUP(B1376,'Cadastro Produtos'!A:E,2,2)</f>
        <v>Limonada Alfa Zero 500 ml</v>
      </c>
      <c r="D1376">
        <v>13</v>
      </c>
      <c r="E1376" t="str">
        <f>VLOOKUP(D1376,'Cadatro Clientes'!A:O,2,2)</f>
        <v>Monster Lemon</v>
      </c>
      <c r="F1376" t="str">
        <f>VLOOKUP(D1376,'Cadatro Clientes'!A:O,9,2)</f>
        <v>Nordeste</v>
      </c>
      <c r="G1376" s="15">
        <v>42147</v>
      </c>
      <c r="H1376">
        <f t="shared" si="106"/>
        <v>7</v>
      </c>
      <c r="I1376">
        <f t="shared" si="107"/>
        <v>23</v>
      </c>
      <c r="J1376">
        <f t="shared" si="108"/>
        <v>5</v>
      </c>
      <c r="K1376">
        <f t="shared" si="109"/>
        <v>2015</v>
      </c>
      <c r="M1376">
        <v>6</v>
      </c>
      <c r="N1376" t="str">
        <f>VLOOKUP(M1376,'Cadastro Vendedores'!A:H,2,2)</f>
        <v>Antônia</v>
      </c>
      <c r="O1376" s="2"/>
      <c r="P1376" s="16">
        <v>4100</v>
      </c>
      <c r="Q1376" s="2">
        <f>VLOOKUP(B1376,'Cadastro Produtos'!A:F,5,2)</f>
        <v>9</v>
      </c>
      <c r="R1376" s="14">
        <f t="shared" si="105"/>
        <v>36900</v>
      </c>
    </row>
    <row r="1377" spans="1:18" x14ac:dyDescent="0.25">
      <c r="A1377">
        <v>1376</v>
      </c>
      <c r="B1377">
        <v>7</v>
      </c>
      <c r="C1377" t="str">
        <f>VLOOKUP(B1377,'Cadastro Produtos'!A:E,2,2)</f>
        <v>Limonada Alfa Zero 1 L</v>
      </c>
      <c r="D1377">
        <v>19</v>
      </c>
      <c r="E1377" t="str">
        <f>VLOOKUP(D1377,'Cadatro Clientes'!A:O,2,2)</f>
        <v>Lima Limão</v>
      </c>
      <c r="F1377" t="str">
        <f>VLOOKUP(D1377,'Cadatro Clientes'!A:O,9,2)</f>
        <v>Sudeste</v>
      </c>
      <c r="G1377" s="15">
        <v>42148</v>
      </c>
      <c r="H1377">
        <f t="shared" si="106"/>
        <v>1</v>
      </c>
      <c r="I1377">
        <f t="shared" si="107"/>
        <v>24</v>
      </c>
      <c r="J1377">
        <f t="shared" si="108"/>
        <v>5</v>
      </c>
      <c r="K1377">
        <f t="shared" si="109"/>
        <v>2015</v>
      </c>
      <c r="M1377">
        <v>8</v>
      </c>
      <c r="N1377" t="str">
        <f>VLOOKUP(M1377,'Cadastro Vendedores'!A:H,2,2)</f>
        <v>Sérgio</v>
      </c>
      <c r="O1377" s="2"/>
      <c r="P1377" s="16">
        <v>2600</v>
      </c>
      <c r="Q1377" s="2">
        <f>VLOOKUP(B1377,'Cadastro Produtos'!A:F,5,2)</f>
        <v>15</v>
      </c>
      <c r="R1377" s="14">
        <f t="shared" si="105"/>
        <v>39000</v>
      </c>
    </row>
    <row r="1378" spans="1:18" x14ac:dyDescent="0.25">
      <c r="A1378">
        <v>1377</v>
      </c>
      <c r="B1378">
        <v>8</v>
      </c>
      <c r="C1378" t="str">
        <f>VLOOKUP(B1378,'Cadastro Produtos'!A:E,2,2)</f>
        <v>Limonada Beta Zero 1 L</v>
      </c>
      <c r="D1378">
        <v>9</v>
      </c>
      <c r="E1378" t="str">
        <f>VLOOKUP(D1378,'Cadatro Clientes'!A:O,2,2)</f>
        <v>Fresh Lemon</v>
      </c>
      <c r="F1378" t="str">
        <f>VLOOKUP(D1378,'Cadatro Clientes'!A:O,9,2)</f>
        <v>Sudeste</v>
      </c>
      <c r="G1378" s="15">
        <v>42148</v>
      </c>
      <c r="H1378">
        <f t="shared" si="106"/>
        <v>1</v>
      </c>
      <c r="I1378">
        <f t="shared" si="107"/>
        <v>24</v>
      </c>
      <c r="J1378">
        <f t="shared" si="108"/>
        <v>5</v>
      </c>
      <c r="K1378">
        <f t="shared" si="109"/>
        <v>2015</v>
      </c>
      <c r="M1378">
        <v>8</v>
      </c>
      <c r="N1378" t="str">
        <f>VLOOKUP(M1378,'Cadastro Vendedores'!A:H,2,2)</f>
        <v>Sérgio</v>
      </c>
      <c r="O1378" s="2"/>
      <c r="P1378" s="16">
        <v>2000</v>
      </c>
      <c r="Q1378" s="2">
        <f>VLOOKUP(B1378,'Cadastro Produtos'!A:F,5,2)</f>
        <v>12</v>
      </c>
      <c r="R1378" s="14">
        <f t="shared" si="105"/>
        <v>24000</v>
      </c>
    </row>
    <row r="1379" spans="1:18" x14ac:dyDescent="0.25">
      <c r="A1379">
        <v>1378</v>
      </c>
      <c r="B1379">
        <v>10</v>
      </c>
      <c r="C1379" t="str">
        <f>VLOOKUP(B1379,'Cadastro Produtos'!A:E,2,2)</f>
        <v>Limonada Alfa com Hortelã Zero 1 L</v>
      </c>
      <c r="D1379">
        <v>6</v>
      </c>
      <c r="E1379" t="str">
        <f>VLOOKUP(D1379,'Cadatro Clientes'!A:O,2,2)</f>
        <v>Lemonade</v>
      </c>
      <c r="F1379" t="str">
        <f>VLOOKUP(D1379,'Cadatro Clientes'!A:O,9,2)</f>
        <v>Norte</v>
      </c>
      <c r="G1379" s="15">
        <v>42148</v>
      </c>
      <c r="H1379">
        <f t="shared" si="106"/>
        <v>1</v>
      </c>
      <c r="I1379">
        <f t="shared" si="107"/>
        <v>24</v>
      </c>
      <c r="J1379">
        <f t="shared" si="108"/>
        <v>5</v>
      </c>
      <c r="K1379">
        <f t="shared" si="109"/>
        <v>2015</v>
      </c>
      <c r="M1379">
        <v>13</v>
      </c>
      <c r="N1379" t="str">
        <f>VLOOKUP(M1379,'Cadastro Vendedores'!A:H,2,2)</f>
        <v>Andre</v>
      </c>
      <c r="O1379" s="2"/>
      <c r="P1379" s="16">
        <v>2400</v>
      </c>
      <c r="Q1379" s="2">
        <f>VLOOKUP(B1379,'Cadastro Produtos'!A:F,5,2)</f>
        <v>21</v>
      </c>
      <c r="R1379" s="14">
        <f t="shared" si="105"/>
        <v>50400</v>
      </c>
    </row>
    <row r="1380" spans="1:18" x14ac:dyDescent="0.25">
      <c r="A1380">
        <v>1379</v>
      </c>
      <c r="B1380">
        <v>8</v>
      </c>
      <c r="C1380" t="str">
        <f>VLOOKUP(B1380,'Cadastro Produtos'!A:E,2,2)</f>
        <v>Limonada Beta Zero 1 L</v>
      </c>
      <c r="D1380">
        <v>12</v>
      </c>
      <c r="E1380" t="str">
        <f>VLOOKUP(D1380,'Cadatro Clientes'!A:O,2,2)</f>
        <v>Limão da Ilha</v>
      </c>
      <c r="F1380" t="str">
        <f>VLOOKUP(D1380,'Cadatro Clientes'!A:O,9,2)</f>
        <v>Sul</v>
      </c>
      <c r="G1380" s="15">
        <v>42148</v>
      </c>
      <c r="H1380">
        <f t="shared" si="106"/>
        <v>1</v>
      </c>
      <c r="I1380">
        <f t="shared" si="107"/>
        <v>24</v>
      </c>
      <c r="J1380">
        <f t="shared" si="108"/>
        <v>5</v>
      </c>
      <c r="K1380">
        <f t="shared" si="109"/>
        <v>2015</v>
      </c>
      <c r="M1380">
        <v>16</v>
      </c>
      <c r="N1380" t="str">
        <f>VLOOKUP(M1380,'Cadastro Vendedores'!A:H,2,2)</f>
        <v>Jose</v>
      </c>
      <c r="O1380" s="2"/>
      <c r="P1380" s="16">
        <v>3200</v>
      </c>
      <c r="Q1380" s="2">
        <f>VLOOKUP(B1380,'Cadastro Produtos'!A:F,5,2)</f>
        <v>12</v>
      </c>
      <c r="R1380" s="14">
        <f t="shared" si="105"/>
        <v>38400</v>
      </c>
    </row>
    <row r="1381" spans="1:18" x14ac:dyDescent="0.25">
      <c r="A1381">
        <v>1380</v>
      </c>
      <c r="B1381">
        <v>10</v>
      </c>
      <c r="C1381" t="str">
        <f>VLOOKUP(B1381,'Cadastro Produtos'!A:E,2,2)</f>
        <v>Limonada Alfa com Hortelã Zero 1 L</v>
      </c>
      <c r="D1381">
        <v>5</v>
      </c>
      <c r="E1381" t="str">
        <f>VLOOKUP(D1381,'Cadatro Clientes'!A:O,2,2)</f>
        <v>Axé com Limão</v>
      </c>
      <c r="F1381" t="str">
        <f>VLOOKUP(D1381,'Cadatro Clientes'!A:O,9,2)</f>
        <v>Nordeste</v>
      </c>
      <c r="G1381" s="15">
        <v>42149</v>
      </c>
      <c r="H1381">
        <f t="shared" si="106"/>
        <v>2</v>
      </c>
      <c r="I1381">
        <f t="shared" si="107"/>
        <v>25</v>
      </c>
      <c r="J1381">
        <f t="shared" si="108"/>
        <v>5</v>
      </c>
      <c r="K1381">
        <f t="shared" si="109"/>
        <v>2015</v>
      </c>
      <c r="M1381">
        <v>3</v>
      </c>
      <c r="N1381" t="str">
        <f>VLOOKUP(M1381,'Cadastro Vendedores'!A:H,2,2)</f>
        <v>Antônia</v>
      </c>
      <c r="O1381" s="2"/>
      <c r="P1381" s="16">
        <v>1200</v>
      </c>
      <c r="Q1381" s="2">
        <f>VLOOKUP(B1381,'Cadastro Produtos'!A:F,5,2)</f>
        <v>21</v>
      </c>
      <c r="R1381" s="14">
        <f t="shared" si="105"/>
        <v>25200</v>
      </c>
    </row>
    <row r="1382" spans="1:18" x14ac:dyDescent="0.25">
      <c r="A1382">
        <v>1381</v>
      </c>
      <c r="B1382">
        <v>9</v>
      </c>
      <c r="C1382" t="str">
        <f>VLOOKUP(B1382,'Cadastro Produtos'!A:E,2,2)</f>
        <v>Limonada Alfa com Hortelã e Açúcar 1 L</v>
      </c>
      <c r="D1382">
        <v>5</v>
      </c>
      <c r="E1382" t="str">
        <f>VLOOKUP(D1382,'Cadatro Clientes'!A:O,2,2)</f>
        <v>Axé com Limão</v>
      </c>
      <c r="F1382" t="str">
        <f>VLOOKUP(D1382,'Cadatro Clientes'!A:O,9,2)</f>
        <v>Nordeste</v>
      </c>
      <c r="G1382" s="15">
        <v>42149</v>
      </c>
      <c r="H1382">
        <f t="shared" si="106"/>
        <v>2</v>
      </c>
      <c r="I1382">
        <f t="shared" si="107"/>
        <v>25</v>
      </c>
      <c r="J1382">
        <f t="shared" si="108"/>
        <v>5</v>
      </c>
      <c r="K1382">
        <f t="shared" si="109"/>
        <v>2015</v>
      </c>
      <c r="M1382">
        <v>6</v>
      </c>
      <c r="N1382" t="str">
        <f>VLOOKUP(M1382,'Cadastro Vendedores'!A:H,2,2)</f>
        <v>Antônia</v>
      </c>
      <c r="O1382" s="2"/>
      <c r="P1382" s="16">
        <v>3100</v>
      </c>
      <c r="Q1382" s="2">
        <f>VLOOKUP(B1382,'Cadastro Produtos'!A:F,5,2)</f>
        <v>17.5</v>
      </c>
      <c r="R1382" s="14">
        <f t="shared" si="105"/>
        <v>54250</v>
      </c>
    </row>
    <row r="1383" spans="1:18" x14ac:dyDescent="0.25">
      <c r="A1383">
        <v>1382</v>
      </c>
      <c r="B1383">
        <v>1</v>
      </c>
      <c r="C1383" t="str">
        <f>VLOOKUP(B1383,'Cadastro Produtos'!A:E,2,2)</f>
        <v>Limonada Alfa com Açúcar 500 ml</v>
      </c>
      <c r="D1383">
        <v>5</v>
      </c>
      <c r="E1383" t="str">
        <f>VLOOKUP(D1383,'Cadatro Clientes'!A:O,2,2)</f>
        <v>Axé com Limão</v>
      </c>
      <c r="F1383" t="str">
        <f>VLOOKUP(D1383,'Cadatro Clientes'!A:O,9,2)</f>
        <v>Nordeste</v>
      </c>
      <c r="G1383" s="15">
        <v>42149</v>
      </c>
      <c r="H1383">
        <f t="shared" si="106"/>
        <v>2</v>
      </c>
      <c r="I1383">
        <f t="shared" si="107"/>
        <v>25</v>
      </c>
      <c r="J1383">
        <f t="shared" si="108"/>
        <v>5</v>
      </c>
      <c r="K1383">
        <f t="shared" si="109"/>
        <v>2015</v>
      </c>
      <c r="M1383">
        <v>9</v>
      </c>
      <c r="N1383" t="str">
        <f>VLOOKUP(M1383,'Cadastro Vendedores'!A:H,2,2)</f>
        <v>Adriana</v>
      </c>
      <c r="O1383" s="2"/>
      <c r="P1383" s="16">
        <v>1200</v>
      </c>
      <c r="Q1383" s="2">
        <f>VLOOKUP(B1383,'Cadastro Produtos'!A:F,5,2)</f>
        <v>8.5</v>
      </c>
      <c r="R1383" s="14">
        <f t="shared" si="105"/>
        <v>10200</v>
      </c>
    </row>
    <row r="1384" spans="1:18" x14ac:dyDescent="0.25">
      <c r="A1384">
        <v>1383</v>
      </c>
      <c r="B1384">
        <v>9</v>
      </c>
      <c r="C1384" t="str">
        <f>VLOOKUP(B1384,'Cadastro Produtos'!A:E,2,2)</f>
        <v>Limonada Alfa com Hortelã e Açúcar 1 L</v>
      </c>
      <c r="D1384">
        <v>8</v>
      </c>
      <c r="E1384" t="str">
        <f>VLOOKUP(D1384,'Cadatro Clientes'!A:O,2,2)</f>
        <v>Refresko</v>
      </c>
      <c r="F1384" t="str">
        <f>VLOOKUP(D1384,'Cadatro Clientes'!A:O,9,2)</f>
        <v>Sul</v>
      </c>
      <c r="G1384" s="15">
        <v>42149</v>
      </c>
      <c r="H1384">
        <f t="shared" si="106"/>
        <v>2</v>
      </c>
      <c r="I1384">
        <f t="shared" si="107"/>
        <v>25</v>
      </c>
      <c r="J1384">
        <f t="shared" si="108"/>
        <v>5</v>
      </c>
      <c r="K1384">
        <f t="shared" si="109"/>
        <v>2015</v>
      </c>
      <c r="M1384">
        <v>9</v>
      </c>
      <c r="N1384" t="str">
        <f>VLOOKUP(M1384,'Cadastro Vendedores'!A:H,2,2)</f>
        <v>Adriana</v>
      </c>
      <c r="O1384" s="2"/>
      <c r="P1384" s="16">
        <v>1900</v>
      </c>
      <c r="Q1384" s="2">
        <f>VLOOKUP(B1384,'Cadastro Produtos'!A:F,5,2)</f>
        <v>17.5</v>
      </c>
      <c r="R1384" s="14">
        <f t="shared" si="105"/>
        <v>33250</v>
      </c>
    </row>
    <row r="1385" spans="1:18" x14ac:dyDescent="0.25">
      <c r="A1385">
        <v>1384</v>
      </c>
      <c r="B1385">
        <v>7</v>
      </c>
      <c r="C1385" t="str">
        <f>VLOOKUP(B1385,'Cadastro Produtos'!A:E,2,2)</f>
        <v>Limonada Alfa Zero 1 L</v>
      </c>
      <c r="D1385">
        <v>19</v>
      </c>
      <c r="E1385" t="str">
        <f>VLOOKUP(D1385,'Cadatro Clientes'!A:O,2,2)</f>
        <v>Lima Limão</v>
      </c>
      <c r="F1385" t="str">
        <f>VLOOKUP(D1385,'Cadatro Clientes'!A:O,9,2)</f>
        <v>Sudeste</v>
      </c>
      <c r="G1385" s="15">
        <v>42149</v>
      </c>
      <c r="H1385">
        <f t="shared" si="106"/>
        <v>2</v>
      </c>
      <c r="I1385">
        <f t="shared" si="107"/>
        <v>25</v>
      </c>
      <c r="J1385">
        <f t="shared" si="108"/>
        <v>5</v>
      </c>
      <c r="K1385">
        <f t="shared" si="109"/>
        <v>2015</v>
      </c>
      <c r="M1385">
        <v>4</v>
      </c>
      <c r="N1385" t="str">
        <f>VLOOKUP(M1385,'Cadastro Vendedores'!A:H,2,2)</f>
        <v>José</v>
      </c>
      <c r="O1385" s="2"/>
      <c r="P1385" s="16">
        <v>2700</v>
      </c>
      <c r="Q1385" s="2">
        <f>VLOOKUP(B1385,'Cadastro Produtos'!A:F,5,2)</f>
        <v>15</v>
      </c>
      <c r="R1385" s="14">
        <f t="shared" si="105"/>
        <v>40500</v>
      </c>
    </row>
    <row r="1386" spans="1:18" x14ac:dyDescent="0.25">
      <c r="A1386">
        <v>1385</v>
      </c>
      <c r="B1386">
        <v>1</v>
      </c>
      <c r="C1386" t="str">
        <f>VLOOKUP(B1386,'Cadastro Produtos'!A:E,2,2)</f>
        <v>Limonada Alfa com Açúcar 500 ml</v>
      </c>
      <c r="D1386">
        <v>8</v>
      </c>
      <c r="E1386" t="str">
        <f>VLOOKUP(D1386,'Cadatro Clientes'!A:O,2,2)</f>
        <v>Refresko</v>
      </c>
      <c r="F1386" t="str">
        <f>VLOOKUP(D1386,'Cadatro Clientes'!A:O,9,2)</f>
        <v>Sul</v>
      </c>
      <c r="G1386" s="15">
        <v>42150</v>
      </c>
      <c r="H1386">
        <f t="shared" si="106"/>
        <v>3</v>
      </c>
      <c r="I1386">
        <f t="shared" si="107"/>
        <v>26</v>
      </c>
      <c r="J1386">
        <f t="shared" si="108"/>
        <v>5</v>
      </c>
      <c r="K1386">
        <f t="shared" si="109"/>
        <v>2015</v>
      </c>
      <c r="M1386">
        <v>4</v>
      </c>
      <c r="N1386" t="str">
        <f>VLOOKUP(M1386,'Cadastro Vendedores'!A:H,2,2)</f>
        <v>José</v>
      </c>
      <c r="O1386" s="2"/>
      <c r="P1386" s="16">
        <v>1900</v>
      </c>
      <c r="Q1386" s="2">
        <f>VLOOKUP(B1386,'Cadastro Produtos'!A:F,5,2)</f>
        <v>8.5</v>
      </c>
      <c r="R1386" s="14">
        <f t="shared" si="105"/>
        <v>16150</v>
      </c>
    </row>
    <row r="1387" spans="1:18" x14ac:dyDescent="0.25">
      <c r="A1387">
        <v>1386</v>
      </c>
      <c r="B1387">
        <v>7</v>
      </c>
      <c r="C1387" t="str">
        <f>VLOOKUP(B1387,'Cadastro Produtos'!A:E,2,2)</f>
        <v>Limonada Alfa Zero 1 L</v>
      </c>
      <c r="D1387">
        <v>4</v>
      </c>
      <c r="E1387" t="str">
        <f>VLOOKUP(D1387,'Cadatro Clientes'!A:O,2,2)</f>
        <v>Limão Carioca e Cia</v>
      </c>
      <c r="F1387" t="str">
        <f>VLOOKUP(D1387,'Cadatro Clientes'!A:O,9,2)</f>
        <v>Sudeste</v>
      </c>
      <c r="G1387" s="15">
        <v>42150</v>
      </c>
      <c r="H1387">
        <f t="shared" si="106"/>
        <v>3</v>
      </c>
      <c r="I1387">
        <f t="shared" si="107"/>
        <v>26</v>
      </c>
      <c r="J1387">
        <f t="shared" si="108"/>
        <v>5</v>
      </c>
      <c r="K1387">
        <f t="shared" si="109"/>
        <v>2015</v>
      </c>
      <c r="M1387">
        <v>8</v>
      </c>
      <c r="N1387" t="str">
        <f>VLOOKUP(M1387,'Cadastro Vendedores'!A:H,2,2)</f>
        <v>Sérgio</v>
      </c>
      <c r="O1387" s="2"/>
      <c r="P1387" s="16">
        <v>800</v>
      </c>
      <c r="Q1387" s="2">
        <f>VLOOKUP(B1387,'Cadastro Produtos'!A:F,5,2)</f>
        <v>15</v>
      </c>
      <c r="R1387" s="14">
        <f t="shared" si="105"/>
        <v>12000</v>
      </c>
    </row>
    <row r="1388" spans="1:18" x14ac:dyDescent="0.25">
      <c r="A1388">
        <v>1387</v>
      </c>
      <c r="B1388">
        <v>7</v>
      </c>
      <c r="C1388" t="str">
        <f>VLOOKUP(B1388,'Cadastro Produtos'!A:E,2,2)</f>
        <v>Limonada Alfa Zero 1 L</v>
      </c>
      <c r="D1388">
        <v>11</v>
      </c>
      <c r="E1388" t="str">
        <f>VLOOKUP(D1388,'Cadatro Clientes'!A:O,2,2)</f>
        <v>Red Lemon</v>
      </c>
      <c r="F1388" t="str">
        <f>VLOOKUP(D1388,'Cadatro Clientes'!A:O,9,2)</f>
        <v>Sul</v>
      </c>
      <c r="G1388" s="15">
        <v>42150</v>
      </c>
      <c r="H1388">
        <f t="shared" si="106"/>
        <v>3</v>
      </c>
      <c r="I1388">
        <f t="shared" si="107"/>
        <v>26</v>
      </c>
      <c r="J1388">
        <f t="shared" si="108"/>
        <v>5</v>
      </c>
      <c r="K1388">
        <f t="shared" si="109"/>
        <v>2015</v>
      </c>
      <c r="M1388">
        <v>3</v>
      </c>
      <c r="N1388" t="str">
        <f>VLOOKUP(M1388,'Cadastro Vendedores'!A:H,2,2)</f>
        <v>Antônia</v>
      </c>
      <c r="O1388" s="2"/>
      <c r="P1388" s="16">
        <v>900</v>
      </c>
      <c r="Q1388" s="2">
        <f>VLOOKUP(B1388,'Cadastro Produtos'!A:F,5,2)</f>
        <v>15</v>
      </c>
      <c r="R1388" s="14">
        <f t="shared" si="105"/>
        <v>13500</v>
      </c>
    </row>
    <row r="1389" spans="1:18" x14ac:dyDescent="0.25">
      <c r="A1389">
        <v>1388</v>
      </c>
      <c r="B1389">
        <v>4</v>
      </c>
      <c r="C1389" t="str">
        <f>VLOOKUP(B1389,'Cadastro Produtos'!A:E,2,2)</f>
        <v>Limonada Beta Zero 500 ml</v>
      </c>
      <c r="D1389">
        <v>5</v>
      </c>
      <c r="E1389" t="str">
        <f>VLOOKUP(D1389,'Cadatro Clientes'!A:O,2,2)</f>
        <v>Axé com Limão</v>
      </c>
      <c r="F1389" t="str">
        <f>VLOOKUP(D1389,'Cadatro Clientes'!A:O,9,2)</f>
        <v>Nordeste</v>
      </c>
      <c r="G1389" s="15">
        <v>42151</v>
      </c>
      <c r="H1389">
        <f t="shared" si="106"/>
        <v>4</v>
      </c>
      <c r="I1389">
        <f t="shared" si="107"/>
        <v>27</v>
      </c>
      <c r="J1389">
        <f t="shared" si="108"/>
        <v>5</v>
      </c>
      <c r="K1389">
        <f t="shared" si="109"/>
        <v>2015</v>
      </c>
      <c r="M1389">
        <v>7</v>
      </c>
      <c r="N1389" t="str">
        <f>VLOOKUP(M1389,'Cadastro Vendedores'!A:H,2,2)</f>
        <v>Benedito</v>
      </c>
      <c r="O1389" s="2"/>
      <c r="P1389" s="16">
        <v>5900</v>
      </c>
      <c r="Q1389" s="2">
        <f>VLOOKUP(B1389,'Cadastro Produtos'!A:F,5,2)</f>
        <v>7</v>
      </c>
      <c r="R1389" s="14">
        <f t="shared" si="105"/>
        <v>41300</v>
      </c>
    </row>
    <row r="1390" spans="1:18" x14ac:dyDescent="0.25">
      <c r="A1390">
        <v>1389</v>
      </c>
      <c r="B1390">
        <v>7</v>
      </c>
      <c r="C1390" t="str">
        <f>VLOOKUP(B1390,'Cadastro Produtos'!A:E,2,2)</f>
        <v>Limonada Alfa Zero 1 L</v>
      </c>
      <c r="D1390">
        <v>7</v>
      </c>
      <c r="E1390" t="str">
        <f>VLOOKUP(D1390,'Cadatro Clientes'!A:O,2,2)</f>
        <v>Limo</v>
      </c>
      <c r="F1390" t="str">
        <f>VLOOKUP(D1390,'Cadatro Clientes'!A:O,9,2)</f>
        <v>Centro-Oeste</v>
      </c>
      <c r="G1390" s="15">
        <v>42151</v>
      </c>
      <c r="H1390">
        <f t="shared" si="106"/>
        <v>4</v>
      </c>
      <c r="I1390">
        <f t="shared" si="107"/>
        <v>27</v>
      </c>
      <c r="J1390">
        <f t="shared" si="108"/>
        <v>5</v>
      </c>
      <c r="K1390">
        <f t="shared" si="109"/>
        <v>2015</v>
      </c>
      <c r="M1390">
        <v>16</v>
      </c>
      <c r="N1390" t="str">
        <f>VLOOKUP(M1390,'Cadastro Vendedores'!A:H,2,2)</f>
        <v>Jose</v>
      </c>
      <c r="O1390" s="2"/>
      <c r="P1390" s="16">
        <v>3300</v>
      </c>
      <c r="Q1390" s="2">
        <f>VLOOKUP(B1390,'Cadastro Produtos'!A:F,5,2)</f>
        <v>15</v>
      </c>
      <c r="R1390" s="14">
        <f t="shared" si="105"/>
        <v>49500</v>
      </c>
    </row>
    <row r="1391" spans="1:18" x14ac:dyDescent="0.25">
      <c r="A1391">
        <v>1390</v>
      </c>
      <c r="B1391">
        <v>9</v>
      </c>
      <c r="C1391" t="str">
        <f>VLOOKUP(B1391,'Cadastro Produtos'!A:E,2,2)</f>
        <v>Limonada Alfa com Hortelã e Açúcar 1 L</v>
      </c>
      <c r="D1391">
        <v>14</v>
      </c>
      <c r="E1391" t="str">
        <f>VLOOKUP(D1391,'Cadatro Clientes'!A:O,2,2)</f>
        <v>Sprite</v>
      </c>
      <c r="F1391" t="str">
        <f>VLOOKUP(D1391,'Cadatro Clientes'!A:O,9,2)</f>
        <v>Norte</v>
      </c>
      <c r="G1391" s="15">
        <v>42151</v>
      </c>
      <c r="H1391">
        <f t="shared" si="106"/>
        <v>4</v>
      </c>
      <c r="I1391">
        <f t="shared" si="107"/>
        <v>27</v>
      </c>
      <c r="J1391">
        <f t="shared" si="108"/>
        <v>5</v>
      </c>
      <c r="K1391">
        <f t="shared" si="109"/>
        <v>2015</v>
      </c>
      <c r="M1391">
        <v>13</v>
      </c>
      <c r="N1391" t="str">
        <f>VLOOKUP(M1391,'Cadastro Vendedores'!A:H,2,2)</f>
        <v>Andre</v>
      </c>
      <c r="O1391" s="2"/>
      <c r="P1391" s="16">
        <v>1100</v>
      </c>
      <c r="Q1391" s="2">
        <f>VLOOKUP(B1391,'Cadastro Produtos'!A:F,5,2)</f>
        <v>17.5</v>
      </c>
      <c r="R1391" s="14">
        <f t="shared" si="105"/>
        <v>19250</v>
      </c>
    </row>
    <row r="1392" spans="1:18" x14ac:dyDescent="0.25">
      <c r="A1392">
        <v>1391</v>
      </c>
      <c r="B1392">
        <v>4</v>
      </c>
      <c r="C1392" t="str">
        <f>VLOOKUP(B1392,'Cadastro Produtos'!A:E,2,2)</f>
        <v>Limonada Beta Zero 500 ml</v>
      </c>
      <c r="D1392">
        <v>8</v>
      </c>
      <c r="E1392" t="str">
        <f>VLOOKUP(D1392,'Cadatro Clientes'!A:O,2,2)</f>
        <v>Refresko</v>
      </c>
      <c r="F1392" t="str">
        <f>VLOOKUP(D1392,'Cadatro Clientes'!A:O,9,2)</f>
        <v>Sul</v>
      </c>
      <c r="G1392" s="15">
        <v>42152</v>
      </c>
      <c r="H1392">
        <f t="shared" si="106"/>
        <v>5</v>
      </c>
      <c r="I1392">
        <f t="shared" si="107"/>
        <v>28</v>
      </c>
      <c r="J1392">
        <f t="shared" si="108"/>
        <v>5</v>
      </c>
      <c r="K1392">
        <f t="shared" si="109"/>
        <v>2015</v>
      </c>
      <c r="M1392">
        <v>6</v>
      </c>
      <c r="N1392" t="str">
        <f>VLOOKUP(M1392,'Cadastro Vendedores'!A:H,2,2)</f>
        <v>Antônia</v>
      </c>
      <c r="O1392" s="2"/>
      <c r="P1392" s="16">
        <v>2800</v>
      </c>
      <c r="Q1392" s="2">
        <f>VLOOKUP(B1392,'Cadastro Produtos'!A:F,5,2)</f>
        <v>7</v>
      </c>
      <c r="R1392" s="14">
        <f t="shared" si="105"/>
        <v>19600</v>
      </c>
    </row>
    <row r="1393" spans="1:18" x14ac:dyDescent="0.25">
      <c r="A1393">
        <v>1392</v>
      </c>
      <c r="B1393">
        <v>7</v>
      </c>
      <c r="C1393" t="str">
        <f>VLOOKUP(B1393,'Cadastro Produtos'!A:E,2,2)</f>
        <v>Limonada Alfa Zero 1 L</v>
      </c>
      <c r="D1393">
        <v>4</v>
      </c>
      <c r="E1393" t="str">
        <f>VLOOKUP(D1393,'Cadatro Clientes'!A:O,2,2)</f>
        <v>Limão Carioca e Cia</v>
      </c>
      <c r="F1393" t="str">
        <f>VLOOKUP(D1393,'Cadatro Clientes'!A:O,9,2)</f>
        <v>Sudeste</v>
      </c>
      <c r="G1393" s="15">
        <v>42152</v>
      </c>
      <c r="H1393">
        <f t="shared" si="106"/>
        <v>5</v>
      </c>
      <c r="I1393">
        <f t="shared" si="107"/>
        <v>28</v>
      </c>
      <c r="J1393">
        <f t="shared" si="108"/>
        <v>5</v>
      </c>
      <c r="K1393">
        <f t="shared" si="109"/>
        <v>2015</v>
      </c>
      <c r="M1393">
        <v>3</v>
      </c>
      <c r="N1393" t="str">
        <f>VLOOKUP(M1393,'Cadastro Vendedores'!A:H,2,2)</f>
        <v>Antônia</v>
      </c>
      <c r="O1393" s="2"/>
      <c r="P1393" s="16">
        <v>1600</v>
      </c>
      <c r="Q1393" s="2">
        <f>VLOOKUP(B1393,'Cadastro Produtos'!A:F,5,2)</f>
        <v>15</v>
      </c>
      <c r="R1393" s="14">
        <f t="shared" si="105"/>
        <v>24000</v>
      </c>
    </row>
    <row r="1394" spans="1:18" x14ac:dyDescent="0.25">
      <c r="A1394">
        <v>1393</v>
      </c>
      <c r="B1394">
        <v>8</v>
      </c>
      <c r="C1394" t="str">
        <f>VLOOKUP(B1394,'Cadastro Produtos'!A:E,2,2)</f>
        <v>Limonada Beta Zero 1 L</v>
      </c>
      <c r="D1394">
        <v>19</v>
      </c>
      <c r="E1394" t="str">
        <f>VLOOKUP(D1394,'Cadatro Clientes'!A:O,2,2)</f>
        <v>Lima Limão</v>
      </c>
      <c r="F1394" t="str">
        <f>VLOOKUP(D1394,'Cadatro Clientes'!A:O,9,2)</f>
        <v>Sudeste</v>
      </c>
      <c r="G1394" s="15">
        <v>42152</v>
      </c>
      <c r="H1394">
        <f t="shared" si="106"/>
        <v>5</v>
      </c>
      <c r="I1394">
        <f t="shared" si="107"/>
        <v>28</v>
      </c>
      <c r="J1394">
        <f t="shared" si="108"/>
        <v>5</v>
      </c>
      <c r="K1394">
        <f t="shared" si="109"/>
        <v>2015</v>
      </c>
      <c r="M1394">
        <v>3</v>
      </c>
      <c r="N1394" t="str">
        <f>VLOOKUP(M1394,'Cadastro Vendedores'!A:H,2,2)</f>
        <v>Antônia</v>
      </c>
      <c r="O1394" s="2"/>
      <c r="P1394" s="16">
        <v>4000</v>
      </c>
      <c r="Q1394" s="2">
        <f>VLOOKUP(B1394,'Cadastro Produtos'!A:F,5,2)</f>
        <v>12</v>
      </c>
      <c r="R1394" s="14">
        <f t="shared" si="105"/>
        <v>48000</v>
      </c>
    </row>
    <row r="1395" spans="1:18" x14ac:dyDescent="0.25">
      <c r="A1395">
        <v>1394</v>
      </c>
      <c r="B1395">
        <v>1</v>
      </c>
      <c r="C1395" t="str">
        <f>VLOOKUP(B1395,'Cadastro Produtos'!A:E,2,2)</f>
        <v>Limonada Alfa com Açúcar 500 ml</v>
      </c>
      <c r="D1395">
        <v>13</v>
      </c>
      <c r="E1395" t="str">
        <f>VLOOKUP(D1395,'Cadatro Clientes'!A:O,2,2)</f>
        <v>Monster Lemon</v>
      </c>
      <c r="F1395" t="str">
        <f>VLOOKUP(D1395,'Cadatro Clientes'!A:O,9,2)</f>
        <v>Nordeste</v>
      </c>
      <c r="G1395" s="15">
        <v>42153</v>
      </c>
      <c r="H1395">
        <f t="shared" si="106"/>
        <v>6</v>
      </c>
      <c r="I1395">
        <f t="shared" si="107"/>
        <v>29</v>
      </c>
      <c r="J1395">
        <f t="shared" si="108"/>
        <v>5</v>
      </c>
      <c r="K1395">
        <f t="shared" si="109"/>
        <v>2015</v>
      </c>
      <c r="M1395">
        <v>12</v>
      </c>
      <c r="N1395" t="str">
        <f>VLOOKUP(M1395,'Cadastro Vendedores'!A:H,2,2)</f>
        <v>Paulo</v>
      </c>
      <c r="O1395" s="2"/>
      <c r="P1395" s="16">
        <v>5700</v>
      </c>
      <c r="Q1395" s="2">
        <f>VLOOKUP(B1395,'Cadastro Produtos'!A:F,5,2)</f>
        <v>8.5</v>
      </c>
      <c r="R1395" s="14">
        <f t="shared" si="105"/>
        <v>48450</v>
      </c>
    </row>
    <row r="1396" spans="1:18" x14ac:dyDescent="0.25">
      <c r="A1396">
        <v>1395</v>
      </c>
      <c r="B1396">
        <v>9</v>
      </c>
      <c r="C1396" t="str">
        <f>VLOOKUP(B1396,'Cadastro Produtos'!A:E,2,2)</f>
        <v>Limonada Alfa com Hortelã e Açúcar 1 L</v>
      </c>
      <c r="D1396">
        <v>20</v>
      </c>
      <c r="E1396" t="str">
        <f>VLOOKUP(D1396,'Cadatro Clientes'!A:O,2,2)</f>
        <v>Brasil Saúde</v>
      </c>
      <c r="F1396" t="str">
        <f>VLOOKUP(D1396,'Cadatro Clientes'!A:O,9,2)</f>
        <v>Nordeste</v>
      </c>
      <c r="G1396" s="15">
        <v>42153</v>
      </c>
      <c r="H1396">
        <f t="shared" si="106"/>
        <v>6</v>
      </c>
      <c r="I1396">
        <f t="shared" si="107"/>
        <v>29</v>
      </c>
      <c r="J1396">
        <f t="shared" si="108"/>
        <v>5</v>
      </c>
      <c r="K1396">
        <f t="shared" si="109"/>
        <v>2015</v>
      </c>
      <c r="M1396">
        <v>12</v>
      </c>
      <c r="N1396" t="str">
        <f>VLOOKUP(M1396,'Cadastro Vendedores'!A:H,2,2)</f>
        <v>Paulo</v>
      </c>
      <c r="O1396" s="2"/>
      <c r="P1396" s="16">
        <v>1100</v>
      </c>
      <c r="Q1396" s="2">
        <f>VLOOKUP(B1396,'Cadastro Produtos'!A:F,5,2)</f>
        <v>17.5</v>
      </c>
      <c r="R1396" s="14">
        <f t="shared" si="105"/>
        <v>19250</v>
      </c>
    </row>
    <row r="1397" spans="1:18" x14ac:dyDescent="0.25">
      <c r="A1397">
        <v>1396</v>
      </c>
      <c r="B1397">
        <v>8</v>
      </c>
      <c r="C1397" t="str">
        <f>VLOOKUP(B1397,'Cadastro Produtos'!A:E,2,2)</f>
        <v>Limonada Beta Zero 1 L</v>
      </c>
      <c r="D1397">
        <v>17</v>
      </c>
      <c r="E1397" t="str">
        <f>VLOOKUP(D1397,'Cadatro Clientes'!A:O,2,2)</f>
        <v>Aracasuco</v>
      </c>
      <c r="F1397" t="str">
        <f>VLOOKUP(D1397,'Cadatro Clientes'!A:O,9,2)</f>
        <v>Nordeste</v>
      </c>
      <c r="G1397" s="15">
        <v>42153</v>
      </c>
      <c r="H1397">
        <f t="shared" si="106"/>
        <v>6</v>
      </c>
      <c r="I1397">
        <f t="shared" si="107"/>
        <v>29</v>
      </c>
      <c r="J1397">
        <f t="shared" si="108"/>
        <v>5</v>
      </c>
      <c r="K1397">
        <f t="shared" si="109"/>
        <v>2015</v>
      </c>
      <c r="M1397">
        <v>16</v>
      </c>
      <c r="N1397" t="str">
        <f>VLOOKUP(M1397,'Cadastro Vendedores'!A:H,2,2)</f>
        <v>Jose</v>
      </c>
      <c r="O1397" s="2"/>
      <c r="P1397" s="16">
        <v>3300</v>
      </c>
      <c r="Q1397" s="2">
        <f>VLOOKUP(B1397,'Cadastro Produtos'!A:F,5,2)</f>
        <v>12</v>
      </c>
      <c r="R1397" s="14">
        <f t="shared" si="105"/>
        <v>39600</v>
      </c>
    </row>
    <row r="1398" spans="1:18" x14ac:dyDescent="0.25">
      <c r="A1398">
        <v>1397</v>
      </c>
      <c r="B1398">
        <v>4</v>
      </c>
      <c r="C1398" t="str">
        <f>VLOOKUP(B1398,'Cadastro Produtos'!A:E,2,2)</f>
        <v>Limonada Beta Zero 500 ml</v>
      </c>
      <c r="D1398">
        <v>11</v>
      </c>
      <c r="E1398" t="str">
        <f>VLOOKUP(D1398,'Cadatro Clientes'!A:O,2,2)</f>
        <v>Red Lemon</v>
      </c>
      <c r="F1398" t="str">
        <f>VLOOKUP(D1398,'Cadatro Clientes'!A:O,9,2)</f>
        <v>Sul</v>
      </c>
      <c r="G1398" s="15">
        <v>42153</v>
      </c>
      <c r="H1398">
        <f t="shared" si="106"/>
        <v>6</v>
      </c>
      <c r="I1398">
        <f t="shared" si="107"/>
        <v>29</v>
      </c>
      <c r="J1398">
        <f t="shared" si="108"/>
        <v>5</v>
      </c>
      <c r="K1398">
        <f t="shared" si="109"/>
        <v>2015</v>
      </c>
      <c r="M1398">
        <v>16</v>
      </c>
      <c r="N1398" t="str">
        <f>VLOOKUP(M1398,'Cadastro Vendedores'!A:H,2,2)</f>
        <v>Jose</v>
      </c>
      <c r="O1398" s="2"/>
      <c r="P1398" s="16">
        <v>5800</v>
      </c>
      <c r="Q1398" s="2">
        <f>VLOOKUP(B1398,'Cadastro Produtos'!A:F,5,2)</f>
        <v>7</v>
      </c>
      <c r="R1398" s="14">
        <f t="shared" si="105"/>
        <v>40600</v>
      </c>
    </row>
    <row r="1399" spans="1:18" x14ac:dyDescent="0.25">
      <c r="A1399">
        <v>1398</v>
      </c>
      <c r="B1399">
        <v>1</v>
      </c>
      <c r="C1399" t="str">
        <f>VLOOKUP(B1399,'Cadastro Produtos'!A:E,2,2)</f>
        <v>Limonada Alfa com Açúcar 500 ml</v>
      </c>
      <c r="D1399">
        <v>10</v>
      </c>
      <c r="E1399" t="str">
        <f>VLOOKUP(D1399,'Cadatro Clientes'!A:O,2,2)</f>
        <v>Lemon Gator</v>
      </c>
      <c r="F1399" t="str">
        <f>VLOOKUP(D1399,'Cadatro Clientes'!A:O,9,2)</f>
        <v>Nordeste</v>
      </c>
      <c r="G1399" s="15">
        <v>42153</v>
      </c>
      <c r="H1399">
        <f t="shared" si="106"/>
        <v>6</v>
      </c>
      <c r="I1399">
        <f t="shared" si="107"/>
        <v>29</v>
      </c>
      <c r="J1399">
        <f t="shared" si="108"/>
        <v>5</v>
      </c>
      <c r="K1399">
        <f t="shared" si="109"/>
        <v>2015</v>
      </c>
      <c r="M1399">
        <v>8</v>
      </c>
      <c r="N1399" t="str">
        <f>VLOOKUP(M1399,'Cadastro Vendedores'!A:H,2,2)</f>
        <v>Sérgio</v>
      </c>
      <c r="O1399" s="2"/>
      <c r="P1399" s="16">
        <v>2900</v>
      </c>
      <c r="Q1399" s="2">
        <f>VLOOKUP(B1399,'Cadastro Produtos'!A:F,5,2)</f>
        <v>8.5</v>
      </c>
      <c r="R1399" s="14">
        <f t="shared" si="105"/>
        <v>24650</v>
      </c>
    </row>
    <row r="1400" spans="1:18" x14ac:dyDescent="0.25">
      <c r="A1400">
        <v>1399</v>
      </c>
      <c r="B1400">
        <v>8</v>
      </c>
      <c r="C1400" t="str">
        <f>VLOOKUP(B1400,'Cadastro Produtos'!A:E,2,2)</f>
        <v>Limonada Beta Zero 1 L</v>
      </c>
      <c r="D1400">
        <v>1</v>
      </c>
      <c r="E1400" t="str">
        <f>VLOOKUP(D1400,'Cadatro Clientes'!A:O,2,2)</f>
        <v>Meu Suco de Limão</v>
      </c>
      <c r="F1400" t="str">
        <f>VLOOKUP(D1400,'Cadatro Clientes'!A:O,9,2)</f>
        <v>Norte</v>
      </c>
      <c r="G1400" s="15">
        <v>42154</v>
      </c>
      <c r="H1400">
        <f t="shared" si="106"/>
        <v>7</v>
      </c>
      <c r="I1400">
        <f t="shared" si="107"/>
        <v>30</v>
      </c>
      <c r="J1400">
        <f t="shared" si="108"/>
        <v>5</v>
      </c>
      <c r="K1400">
        <f t="shared" si="109"/>
        <v>2015</v>
      </c>
      <c r="M1400">
        <v>9</v>
      </c>
      <c r="N1400" t="str">
        <f>VLOOKUP(M1400,'Cadastro Vendedores'!A:H,2,2)</f>
        <v>Adriana</v>
      </c>
      <c r="O1400" s="2"/>
      <c r="P1400" s="16">
        <v>1000</v>
      </c>
      <c r="Q1400" s="2">
        <f>VLOOKUP(B1400,'Cadastro Produtos'!A:F,5,2)</f>
        <v>12</v>
      </c>
      <c r="R1400" s="14">
        <f t="shared" si="105"/>
        <v>12000</v>
      </c>
    </row>
    <row r="1401" spans="1:18" x14ac:dyDescent="0.25">
      <c r="A1401">
        <v>1400</v>
      </c>
      <c r="B1401">
        <v>3</v>
      </c>
      <c r="C1401" t="str">
        <f>VLOOKUP(B1401,'Cadastro Produtos'!A:E,2,2)</f>
        <v>Limonada Alfa Zero 500 ml</v>
      </c>
      <c r="D1401">
        <v>8</v>
      </c>
      <c r="E1401" t="str">
        <f>VLOOKUP(D1401,'Cadatro Clientes'!A:O,2,2)</f>
        <v>Refresko</v>
      </c>
      <c r="F1401" t="str">
        <f>VLOOKUP(D1401,'Cadatro Clientes'!A:O,9,2)</f>
        <v>Sul</v>
      </c>
      <c r="G1401" s="15">
        <v>42154</v>
      </c>
      <c r="H1401">
        <f t="shared" si="106"/>
        <v>7</v>
      </c>
      <c r="I1401">
        <f t="shared" si="107"/>
        <v>30</v>
      </c>
      <c r="J1401">
        <f t="shared" si="108"/>
        <v>5</v>
      </c>
      <c r="K1401">
        <f t="shared" si="109"/>
        <v>2015</v>
      </c>
      <c r="M1401">
        <v>9</v>
      </c>
      <c r="N1401" t="str">
        <f>VLOOKUP(M1401,'Cadastro Vendedores'!A:H,2,2)</f>
        <v>Adriana</v>
      </c>
      <c r="O1401" s="2"/>
      <c r="P1401" s="16">
        <v>4400</v>
      </c>
      <c r="Q1401" s="2">
        <f>VLOOKUP(B1401,'Cadastro Produtos'!A:F,5,2)</f>
        <v>9</v>
      </c>
      <c r="R1401" s="14">
        <f t="shared" si="105"/>
        <v>39600</v>
      </c>
    </row>
    <row r="1402" spans="1:18" x14ac:dyDescent="0.25">
      <c r="A1402">
        <v>1401</v>
      </c>
      <c r="B1402">
        <v>5</v>
      </c>
      <c r="C1402" t="str">
        <f>VLOOKUP(B1402,'Cadastro Produtos'!A:E,2,2)</f>
        <v>Limonada Alfa com Açúcar 1 L</v>
      </c>
      <c r="D1402">
        <v>17</v>
      </c>
      <c r="E1402" t="str">
        <f>VLOOKUP(D1402,'Cadatro Clientes'!A:O,2,2)</f>
        <v>Aracasuco</v>
      </c>
      <c r="F1402" t="str">
        <f>VLOOKUP(D1402,'Cadatro Clientes'!A:O,9,2)</f>
        <v>Nordeste</v>
      </c>
      <c r="G1402" s="15">
        <v>42154</v>
      </c>
      <c r="H1402">
        <f t="shared" si="106"/>
        <v>7</v>
      </c>
      <c r="I1402">
        <f t="shared" si="107"/>
        <v>30</v>
      </c>
      <c r="J1402">
        <f t="shared" si="108"/>
        <v>5</v>
      </c>
      <c r="K1402">
        <f t="shared" si="109"/>
        <v>2015</v>
      </c>
      <c r="M1402">
        <v>8</v>
      </c>
      <c r="N1402" t="str">
        <f>VLOOKUP(M1402,'Cadastro Vendedores'!A:H,2,2)</f>
        <v>Sérgio</v>
      </c>
      <c r="O1402" s="2"/>
      <c r="P1402" s="16">
        <v>2400</v>
      </c>
      <c r="Q1402" s="2">
        <f>VLOOKUP(B1402,'Cadastro Produtos'!A:F,5,2)</f>
        <v>15</v>
      </c>
      <c r="R1402" s="14">
        <f t="shared" si="105"/>
        <v>36000</v>
      </c>
    </row>
    <row r="1403" spans="1:18" x14ac:dyDescent="0.25">
      <c r="A1403">
        <v>1402</v>
      </c>
      <c r="B1403">
        <v>10</v>
      </c>
      <c r="C1403" t="str">
        <f>VLOOKUP(B1403,'Cadastro Produtos'!A:E,2,2)</f>
        <v>Limonada Alfa com Hortelã Zero 1 L</v>
      </c>
      <c r="D1403">
        <v>17</v>
      </c>
      <c r="E1403" t="str">
        <f>VLOOKUP(D1403,'Cadatro Clientes'!A:O,2,2)</f>
        <v>Aracasuco</v>
      </c>
      <c r="F1403" t="str">
        <f>VLOOKUP(D1403,'Cadatro Clientes'!A:O,9,2)</f>
        <v>Nordeste</v>
      </c>
      <c r="G1403" s="15">
        <v>42154</v>
      </c>
      <c r="H1403">
        <f t="shared" si="106"/>
        <v>7</v>
      </c>
      <c r="I1403">
        <f t="shared" si="107"/>
        <v>30</v>
      </c>
      <c r="J1403">
        <f t="shared" si="108"/>
        <v>5</v>
      </c>
      <c r="K1403">
        <f t="shared" si="109"/>
        <v>2015</v>
      </c>
      <c r="M1403">
        <v>4</v>
      </c>
      <c r="N1403" t="str">
        <f>VLOOKUP(M1403,'Cadastro Vendedores'!A:H,2,2)</f>
        <v>José</v>
      </c>
      <c r="O1403" s="2"/>
      <c r="P1403" s="16">
        <v>1900</v>
      </c>
      <c r="Q1403" s="2">
        <f>VLOOKUP(B1403,'Cadastro Produtos'!A:F,5,2)</f>
        <v>21</v>
      </c>
      <c r="R1403" s="14">
        <f t="shared" si="105"/>
        <v>39900</v>
      </c>
    </row>
    <row r="1404" spans="1:18" x14ac:dyDescent="0.25">
      <c r="A1404">
        <v>1403</v>
      </c>
      <c r="B1404">
        <v>2</v>
      </c>
      <c r="C1404" t="str">
        <f>VLOOKUP(B1404,'Cadastro Produtos'!A:E,2,2)</f>
        <v>Limonada Beta com Açúcar 500 ml</v>
      </c>
      <c r="D1404">
        <v>15</v>
      </c>
      <c r="E1404" t="str">
        <f>VLOOKUP(D1404,'Cadatro Clientes'!A:O,2,2)</f>
        <v>Limão do Mané</v>
      </c>
      <c r="F1404" t="str">
        <f>VLOOKUP(D1404,'Cadatro Clientes'!A:O,9,2)</f>
        <v>Sul</v>
      </c>
      <c r="G1404" s="15">
        <v>42154</v>
      </c>
      <c r="H1404">
        <f t="shared" si="106"/>
        <v>7</v>
      </c>
      <c r="I1404">
        <f t="shared" si="107"/>
        <v>30</v>
      </c>
      <c r="J1404">
        <f t="shared" si="108"/>
        <v>5</v>
      </c>
      <c r="K1404">
        <f t="shared" si="109"/>
        <v>2015</v>
      </c>
      <c r="M1404">
        <v>16</v>
      </c>
      <c r="N1404" t="str">
        <f>VLOOKUP(M1404,'Cadastro Vendedores'!A:H,2,2)</f>
        <v>Jose</v>
      </c>
      <c r="O1404" s="2"/>
      <c r="P1404" s="16">
        <v>3500</v>
      </c>
      <c r="Q1404" s="2">
        <f>VLOOKUP(B1404,'Cadastro Produtos'!A:F,5,2)</f>
        <v>6.5</v>
      </c>
      <c r="R1404" s="14">
        <f t="shared" si="105"/>
        <v>22750</v>
      </c>
    </row>
    <row r="1405" spans="1:18" x14ac:dyDescent="0.25">
      <c r="A1405">
        <v>1404</v>
      </c>
      <c r="B1405">
        <v>4</v>
      </c>
      <c r="C1405" t="str">
        <f>VLOOKUP(B1405,'Cadastro Produtos'!A:E,2,2)</f>
        <v>Limonada Beta Zero 500 ml</v>
      </c>
      <c r="D1405">
        <v>1</v>
      </c>
      <c r="E1405" t="str">
        <f>VLOOKUP(D1405,'Cadatro Clientes'!A:O,2,2)</f>
        <v>Meu Suco de Limão</v>
      </c>
      <c r="F1405" t="str">
        <f>VLOOKUP(D1405,'Cadatro Clientes'!A:O,9,2)</f>
        <v>Norte</v>
      </c>
      <c r="G1405" s="15">
        <v>42155</v>
      </c>
      <c r="H1405">
        <f t="shared" si="106"/>
        <v>1</v>
      </c>
      <c r="I1405">
        <f t="shared" si="107"/>
        <v>31</v>
      </c>
      <c r="J1405">
        <f t="shared" si="108"/>
        <v>5</v>
      </c>
      <c r="K1405">
        <f t="shared" si="109"/>
        <v>2015</v>
      </c>
      <c r="M1405">
        <v>4</v>
      </c>
      <c r="N1405" t="str">
        <f>VLOOKUP(M1405,'Cadastro Vendedores'!A:H,2,2)</f>
        <v>José</v>
      </c>
      <c r="O1405" s="2"/>
      <c r="P1405" s="16">
        <v>7500</v>
      </c>
      <c r="Q1405" s="2">
        <f>VLOOKUP(B1405,'Cadastro Produtos'!A:F,5,2)</f>
        <v>7</v>
      </c>
      <c r="R1405" s="14">
        <f t="shared" si="105"/>
        <v>52500</v>
      </c>
    </row>
    <row r="1406" spans="1:18" x14ac:dyDescent="0.25">
      <c r="A1406">
        <v>1405</v>
      </c>
      <c r="B1406">
        <v>7</v>
      </c>
      <c r="C1406" t="str">
        <f>VLOOKUP(B1406,'Cadastro Produtos'!A:E,2,2)</f>
        <v>Limonada Alfa Zero 1 L</v>
      </c>
      <c r="D1406">
        <v>12</v>
      </c>
      <c r="E1406" t="str">
        <f>VLOOKUP(D1406,'Cadatro Clientes'!A:O,2,2)</f>
        <v>Limão da Ilha</v>
      </c>
      <c r="F1406" t="str">
        <f>VLOOKUP(D1406,'Cadatro Clientes'!A:O,9,2)</f>
        <v>Sul</v>
      </c>
      <c r="G1406" s="15">
        <v>42155</v>
      </c>
      <c r="H1406">
        <f t="shared" si="106"/>
        <v>1</v>
      </c>
      <c r="I1406">
        <f t="shared" si="107"/>
        <v>31</v>
      </c>
      <c r="J1406">
        <f t="shared" si="108"/>
        <v>5</v>
      </c>
      <c r="K1406">
        <f t="shared" si="109"/>
        <v>2015</v>
      </c>
      <c r="M1406">
        <v>2</v>
      </c>
      <c r="N1406" t="str">
        <f>VLOOKUP(M1406,'Cadastro Vendedores'!A:H,2,2)</f>
        <v>Luis</v>
      </c>
      <c r="O1406" s="2"/>
      <c r="P1406" s="16">
        <v>1300</v>
      </c>
      <c r="Q1406" s="2">
        <f>VLOOKUP(B1406,'Cadastro Produtos'!A:F,5,2)</f>
        <v>15</v>
      </c>
      <c r="R1406" s="14">
        <f t="shared" si="105"/>
        <v>19500</v>
      </c>
    </row>
    <row r="1407" spans="1:18" x14ac:dyDescent="0.25">
      <c r="A1407">
        <v>1406</v>
      </c>
      <c r="B1407">
        <v>6</v>
      </c>
      <c r="C1407" t="str">
        <f>VLOOKUP(B1407,'Cadastro Produtos'!A:E,2,2)</f>
        <v>Limonada Beta com Açúcar 1 L</v>
      </c>
      <c r="D1407">
        <v>15</v>
      </c>
      <c r="E1407" t="str">
        <f>VLOOKUP(D1407,'Cadatro Clientes'!A:O,2,2)</f>
        <v>Limão do Mané</v>
      </c>
      <c r="F1407" t="str">
        <f>VLOOKUP(D1407,'Cadatro Clientes'!A:O,9,2)</f>
        <v>Sul</v>
      </c>
      <c r="G1407" s="15">
        <v>42155</v>
      </c>
      <c r="H1407">
        <f t="shared" si="106"/>
        <v>1</v>
      </c>
      <c r="I1407">
        <f t="shared" si="107"/>
        <v>31</v>
      </c>
      <c r="J1407">
        <f t="shared" si="108"/>
        <v>5</v>
      </c>
      <c r="K1407">
        <f t="shared" si="109"/>
        <v>2015</v>
      </c>
      <c r="M1407">
        <v>13</v>
      </c>
      <c r="N1407" t="str">
        <f>VLOOKUP(M1407,'Cadastro Vendedores'!A:H,2,2)</f>
        <v>Andre</v>
      </c>
      <c r="O1407" s="2"/>
      <c r="P1407" s="16">
        <v>3300</v>
      </c>
      <c r="Q1407" s="2">
        <f>VLOOKUP(B1407,'Cadastro Produtos'!A:F,5,2)</f>
        <v>12</v>
      </c>
      <c r="R1407" s="14">
        <f t="shared" si="105"/>
        <v>39600</v>
      </c>
    </row>
    <row r="1408" spans="1:18" x14ac:dyDescent="0.25">
      <c r="A1408">
        <v>1407</v>
      </c>
      <c r="B1408">
        <v>1</v>
      </c>
      <c r="C1408" t="str">
        <f>VLOOKUP(B1408,'Cadastro Produtos'!A:E,2,2)</f>
        <v>Limonada Alfa com Açúcar 500 ml</v>
      </c>
      <c r="D1408">
        <v>14</v>
      </c>
      <c r="E1408" t="str">
        <f>VLOOKUP(D1408,'Cadatro Clientes'!A:O,2,2)</f>
        <v>Sprite</v>
      </c>
      <c r="F1408" t="str">
        <f>VLOOKUP(D1408,'Cadatro Clientes'!A:O,9,2)</f>
        <v>Norte</v>
      </c>
      <c r="G1408" s="15">
        <v>42156</v>
      </c>
      <c r="H1408">
        <f t="shared" si="106"/>
        <v>2</v>
      </c>
      <c r="I1408">
        <f t="shared" si="107"/>
        <v>1</v>
      </c>
      <c r="J1408">
        <f t="shared" si="108"/>
        <v>6</v>
      </c>
      <c r="K1408">
        <f t="shared" si="109"/>
        <v>2015</v>
      </c>
      <c r="M1408">
        <v>6</v>
      </c>
      <c r="N1408" t="str">
        <f>VLOOKUP(M1408,'Cadastro Vendedores'!A:H,2,2)</f>
        <v>Antônia</v>
      </c>
      <c r="O1408" s="2"/>
      <c r="P1408" s="16">
        <v>2500</v>
      </c>
      <c r="Q1408" s="2">
        <f>VLOOKUP(B1408,'Cadastro Produtos'!A:F,5,2)</f>
        <v>8.5</v>
      </c>
      <c r="R1408" s="14">
        <f t="shared" si="105"/>
        <v>21250</v>
      </c>
    </row>
    <row r="1409" spans="1:18" x14ac:dyDescent="0.25">
      <c r="A1409">
        <v>1408</v>
      </c>
      <c r="B1409">
        <v>5</v>
      </c>
      <c r="C1409" t="str">
        <f>VLOOKUP(B1409,'Cadastro Produtos'!A:E,2,2)</f>
        <v>Limonada Alfa com Açúcar 1 L</v>
      </c>
      <c r="D1409">
        <v>20</v>
      </c>
      <c r="E1409" t="str">
        <f>VLOOKUP(D1409,'Cadatro Clientes'!A:O,2,2)</f>
        <v>Brasil Saúde</v>
      </c>
      <c r="F1409" t="str">
        <f>VLOOKUP(D1409,'Cadatro Clientes'!A:O,9,2)</f>
        <v>Nordeste</v>
      </c>
      <c r="G1409" s="15">
        <v>42157</v>
      </c>
      <c r="H1409">
        <f t="shared" si="106"/>
        <v>3</v>
      </c>
      <c r="I1409">
        <f t="shared" si="107"/>
        <v>2</v>
      </c>
      <c r="J1409">
        <f t="shared" si="108"/>
        <v>6</v>
      </c>
      <c r="K1409">
        <f t="shared" si="109"/>
        <v>2015</v>
      </c>
      <c r="M1409">
        <v>3</v>
      </c>
      <c r="N1409" t="str">
        <f>VLOOKUP(M1409,'Cadastro Vendedores'!A:H,2,2)</f>
        <v>Antônia</v>
      </c>
      <c r="O1409" s="2"/>
      <c r="P1409" s="16">
        <v>1400</v>
      </c>
      <c r="Q1409" s="2">
        <f>VLOOKUP(B1409,'Cadastro Produtos'!A:F,5,2)</f>
        <v>15</v>
      </c>
      <c r="R1409" s="14">
        <f t="shared" si="105"/>
        <v>21000</v>
      </c>
    </row>
    <row r="1410" spans="1:18" x14ac:dyDescent="0.25">
      <c r="A1410">
        <v>1409</v>
      </c>
      <c r="B1410">
        <v>10</v>
      </c>
      <c r="C1410" t="str">
        <f>VLOOKUP(B1410,'Cadastro Produtos'!A:E,2,2)</f>
        <v>Limonada Alfa com Hortelã Zero 1 L</v>
      </c>
      <c r="D1410">
        <v>5</v>
      </c>
      <c r="E1410" t="str">
        <f>VLOOKUP(D1410,'Cadatro Clientes'!A:O,2,2)</f>
        <v>Axé com Limão</v>
      </c>
      <c r="F1410" t="str">
        <f>VLOOKUP(D1410,'Cadatro Clientes'!A:O,9,2)</f>
        <v>Nordeste</v>
      </c>
      <c r="G1410" s="15">
        <v>42158</v>
      </c>
      <c r="H1410">
        <f t="shared" si="106"/>
        <v>4</v>
      </c>
      <c r="I1410">
        <f t="shared" si="107"/>
        <v>3</v>
      </c>
      <c r="J1410">
        <f t="shared" si="108"/>
        <v>6</v>
      </c>
      <c r="K1410">
        <f t="shared" si="109"/>
        <v>2015</v>
      </c>
      <c r="M1410">
        <v>2</v>
      </c>
      <c r="N1410" t="str">
        <f>VLOOKUP(M1410,'Cadastro Vendedores'!A:H,2,2)</f>
        <v>Luis</v>
      </c>
      <c r="O1410" s="2"/>
      <c r="P1410" s="16">
        <v>1000</v>
      </c>
      <c r="Q1410" s="2">
        <f>VLOOKUP(B1410,'Cadastro Produtos'!A:F,5,2)</f>
        <v>21</v>
      </c>
      <c r="R1410" s="14">
        <f t="shared" ref="R1410:R1473" si="110">Q1410*P1410</f>
        <v>21000</v>
      </c>
    </row>
    <row r="1411" spans="1:18" x14ac:dyDescent="0.25">
      <c r="A1411">
        <v>1410</v>
      </c>
      <c r="B1411">
        <v>2</v>
      </c>
      <c r="C1411" t="str">
        <f>VLOOKUP(B1411,'Cadastro Produtos'!A:E,2,2)</f>
        <v>Limonada Beta com Açúcar 500 ml</v>
      </c>
      <c r="D1411">
        <v>5</v>
      </c>
      <c r="E1411" t="str">
        <f>VLOOKUP(D1411,'Cadatro Clientes'!A:O,2,2)</f>
        <v>Axé com Limão</v>
      </c>
      <c r="F1411" t="str">
        <f>VLOOKUP(D1411,'Cadatro Clientes'!A:O,9,2)</f>
        <v>Nordeste</v>
      </c>
      <c r="G1411" s="15">
        <v>42158</v>
      </c>
      <c r="H1411">
        <f t="shared" ref="H1411:H1474" si="111">WEEKDAY(G1411)</f>
        <v>4</v>
      </c>
      <c r="I1411">
        <f t="shared" ref="I1411:I1474" si="112">DAY(G1411)</f>
        <v>3</v>
      </c>
      <c r="J1411">
        <f t="shared" ref="J1411:J1474" si="113">MONTH(G1411)</f>
        <v>6</v>
      </c>
      <c r="K1411">
        <f t="shared" ref="K1411:K1474" si="114">YEAR(G1411)</f>
        <v>2015</v>
      </c>
      <c r="M1411">
        <v>3</v>
      </c>
      <c r="N1411" t="str">
        <f>VLOOKUP(M1411,'Cadastro Vendedores'!A:H,2,2)</f>
        <v>Antônia</v>
      </c>
      <c r="O1411" s="2"/>
      <c r="P1411" s="16">
        <v>6500</v>
      </c>
      <c r="Q1411" s="2">
        <f>VLOOKUP(B1411,'Cadastro Produtos'!A:F,5,2)</f>
        <v>6.5</v>
      </c>
      <c r="R1411" s="14">
        <f t="shared" si="110"/>
        <v>42250</v>
      </c>
    </row>
    <row r="1412" spans="1:18" x14ac:dyDescent="0.25">
      <c r="A1412">
        <v>1411</v>
      </c>
      <c r="B1412">
        <v>8</v>
      </c>
      <c r="C1412" t="str">
        <f>VLOOKUP(B1412,'Cadastro Produtos'!A:E,2,2)</f>
        <v>Limonada Beta Zero 1 L</v>
      </c>
      <c r="D1412">
        <v>9</v>
      </c>
      <c r="E1412" t="str">
        <f>VLOOKUP(D1412,'Cadatro Clientes'!A:O,2,2)</f>
        <v>Fresh Lemon</v>
      </c>
      <c r="F1412" t="str">
        <f>VLOOKUP(D1412,'Cadatro Clientes'!A:O,9,2)</f>
        <v>Sudeste</v>
      </c>
      <c r="G1412" s="15">
        <v>42158</v>
      </c>
      <c r="H1412">
        <f t="shared" si="111"/>
        <v>4</v>
      </c>
      <c r="I1412">
        <f t="shared" si="112"/>
        <v>3</v>
      </c>
      <c r="J1412">
        <f t="shared" si="113"/>
        <v>6</v>
      </c>
      <c r="K1412">
        <f t="shared" si="114"/>
        <v>2015</v>
      </c>
      <c r="M1412">
        <v>15</v>
      </c>
      <c r="N1412" t="str">
        <f>VLOOKUP(M1412,'Cadastro Vendedores'!A:H,2,2)</f>
        <v>Luis</v>
      </c>
      <c r="O1412" s="2"/>
      <c r="P1412" s="16">
        <v>3200</v>
      </c>
      <c r="Q1412" s="2">
        <f>VLOOKUP(B1412,'Cadastro Produtos'!A:F,5,2)</f>
        <v>12</v>
      </c>
      <c r="R1412" s="14">
        <f t="shared" si="110"/>
        <v>38400</v>
      </c>
    </row>
    <row r="1413" spans="1:18" x14ac:dyDescent="0.25">
      <c r="A1413">
        <v>1412</v>
      </c>
      <c r="B1413">
        <v>8</v>
      </c>
      <c r="C1413" t="str">
        <f>VLOOKUP(B1413,'Cadastro Produtos'!A:E,2,2)</f>
        <v>Limonada Beta Zero 1 L</v>
      </c>
      <c r="D1413">
        <v>8</v>
      </c>
      <c r="E1413" t="str">
        <f>VLOOKUP(D1413,'Cadatro Clientes'!A:O,2,2)</f>
        <v>Refresko</v>
      </c>
      <c r="F1413" t="str">
        <f>VLOOKUP(D1413,'Cadatro Clientes'!A:O,9,2)</f>
        <v>Sul</v>
      </c>
      <c r="G1413" s="15">
        <v>42160</v>
      </c>
      <c r="H1413">
        <f t="shared" si="111"/>
        <v>6</v>
      </c>
      <c r="I1413">
        <f t="shared" si="112"/>
        <v>5</v>
      </c>
      <c r="J1413">
        <f t="shared" si="113"/>
        <v>6</v>
      </c>
      <c r="K1413">
        <f t="shared" si="114"/>
        <v>2015</v>
      </c>
      <c r="M1413">
        <v>3</v>
      </c>
      <c r="N1413" t="str">
        <f>VLOOKUP(M1413,'Cadastro Vendedores'!A:H,2,2)</f>
        <v>Antônia</v>
      </c>
      <c r="O1413" s="2"/>
      <c r="P1413" s="16">
        <v>3900</v>
      </c>
      <c r="Q1413" s="2">
        <f>VLOOKUP(B1413,'Cadastro Produtos'!A:F,5,2)</f>
        <v>12</v>
      </c>
      <c r="R1413" s="14">
        <f t="shared" si="110"/>
        <v>46800</v>
      </c>
    </row>
    <row r="1414" spans="1:18" x14ac:dyDescent="0.25">
      <c r="A1414">
        <v>1413</v>
      </c>
      <c r="B1414">
        <v>5</v>
      </c>
      <c r="C1414" t="str">
        <f>VLOOKUP(B1414,'Cadastro Produtos'!A:E,2,2)</f>
        <v>Limonada Alfa com Açúcar 1 L</v>
      </c>
      <c r="D1414">
        <v>9</v>
      </c>
      <c r="E1414" t="str">
        <f>VLOOKUP(D1414,'Cadatro Clientes'!A:O,2,2)</f>
        <v>Fresh Lemon</v>
      </c>
      <c r="F1414" t="str">
        <f>VLOOKUP(D1414,'Cadatro Clientes'!A:O,9,2)</f>
        <v>Sudeste</v>
      </c>
      <c r="G1414" s="15">
        <v>42160</v>
      </c>
      <c r="H1414">
        <f t="shared" si="111"/>
        <v>6</v>
      </c>
      <c r="I1414">
        <f t="shared" si="112"/>
        <v>5</v>
      </c>
      <c r="J1414">
        <f t="shared" si="113"/>
        <v>6</v>
      </c>
      <c r="K1414">
        <f t="shared" si="114"/>
        <v>2015</v>
      </c>
      <c r="M1414">
        <v>6</v>
      </c>
      <c r="N1414" t="str">
        <f>VLOOKUP(M1414,'Cadastro Vendedores'!A:H,2,2)</f>
        <v>Antônia</v>
      </c>
      <c r="O1414" s="2"/>
      <c r="P1414" s="16">
        <v>1000</v>
      </c>
      <c r="Q1414" s="2">
        <f>VLOOKUP(B1414,'Cadastro Produtos'!A:F,5,2)</f>
        <v>15</v>
      </c>
      <c r="R1414" s="14">
        <f t="shared" si="110"/>
        <v>15000</v>
      </c>
    </row>
    <row r="1415" spans="1:18" x14ac:dyDescent="0.25">
      <c r="A1415">
        <v>1414</v>
      </c>
      <c r="B1415">
        <v>4</v>
      </c>
      <c r="C1415" t="str">
        <f>VLOOKUP(B1415,'Cadastro Produtos'!A:E,2,2)</f>
        <v>Limonada Beta Zero 500 ml</v>
      </c>
      <c r="D1415">
        <v>15</v>
      </c>
      <c r="E1415" t="str">
        <f>VLOOKUP(D1415,'Cadatro Clientes'!A:O,2,2)</f>
        <v>Limão do Mané</v>
      </c>
      <c r="F1415" t="str">
        <f>VLOOKUP(D1415,'Cadatro Clientes'!A:O,9,2)</f>
        <v>Sul</v>
      </c>
      <c r="G1415" s="15">
        <v>42160</v>
      </c>
      <c r="H1415">
        <f t="shared" si="111"/>
        <v>6</v>
      </c>
      <c r="I1415">
        <f t="shared" si="112"/>
        <v>5</v>
      </c>
      <c r="J1415">
        <f t="shared" si="113"/>
        <v>6</v>
      </c>
      <c r="K1415">
        <f t="shared" si="114"/>
        <v>2015</v>
      </c>
      <c r="M1415">
        <v>8</v>
      </c>
      <c r="N1415" t="str">
        <f>VLOOKUP(M1415,'Cadastro Vendedores'!A:H,2,2)</f>
        <v>Sérgio</v>
      </c>
      <c r="O1415" s="2"/>
      <c r="P1415" s="16">
        <v>2200</v>
      </c>
      <c r="Q1415" s="2">
        <f>VLOOKUP(B1415,'Cadastro Produtos'!A:F,5,2)</f>
        <v>7</v>
      </c>
      <c r="R1415" s="14">
        <f t="shared" si="110"/>
        <v>15400</v>
      </c>
    </row>
    <row r="1416" spans="1:18" x14ac:dyDescent="0.25">
      <c r="A1416">
        <v>1415</v>
      </c>
      <c r="B1416">
        <v>3</v>
      </c>
      <c r="C1416" t="str">
        <f>VLOOKUP(B1416,'Cadastro Produtos'!A:E,2,2)</f>
        <v>Limonada Alfa Zero 500 ml</v>
      </c>
      <c r="D1416">
        <v>15</v>
      </c>
      <c r="E1416" t="str">
        <f>VLOOKUP(D1416,'Cadatro Clientes'!A:O,2,2)</f>
        <v>Limão do Mané</v>
      </c>
      <c r="F1416" t="str">
        <f>VLOOKUP(D1416,'Cadatro Clientes'!A:O,9,2)</f>
        <v>Sul</v>
      </c>
      <c r="G1416" s="15">
        <v>42161</v>
      </c>
      <c r="H1416">
        <f t="shared" si="111"/>
        <v>7</v>
      </c>
      <c r="I1416">
        <f t="shared" si="112"/>
        <v>6</v>
      </c>
      <c r="J1416">
        <f t="shared" si="113"/>
        <v>6</v>
      </c>
      <c r="K1416">
        <f t="shared" si="114"/>
        <v>2015</v>
      </c>
      <c r="M1416">
        <v>2</v>
      </c>
      <c r="N1416" t="str">
        <f>VLOOKUP(M1416,'Cadastro Vendedores'!A:H,2,2)</f>
        <v>Luis</v>
      </c>
      <c r="O1416" s="2"/>
      <c r="P1416" s="16">
        <v>4300</v>
      </c>
      <c r="Q1416" s="2">
        <f>VLOOKUP(B1416,'Cadastro Produtos'!A:F,5,2)</f>
        <v>9</v>
      </c>
      <c r="R1416" s="14">
        <f t="shared" si="110"/>
        <v>38700</v>
      </c>
    </row>
    <row r="1417" spans="1:18" x14ac:dyDescent="0.25">
      <c r="A1417">
        <v>1416</v>
      </c>
      <c r="B1417">
        <v>7</v>
      </c>
      <c r="C1417" t="str">
        <f>VLOOKUP(B1417,'Cadastro Produtos'!A:E,2,2)</f>
        <v>Limonada Alfa Zero 1 L</v>
      </c>
      <c r="D1417">
        <v>5</v>
      </c>
      <c r="E1417" t="str">
        <f>VLOOKUP(D1417,'Cadatro Clientes'!A:O,2,2)</f>
        <v>Axé com Limão</v>
      </c>
      <c r="F1417" t="str">
        <f>VLOOKUP(D1417,'Cadatro Clientes'!A:O,9,2)</f>
        <v>Nordeste</v>
      </c>
      <c r="G1417" s="15">
        <v>42162</v>
      </c>
      <c r="H1417">
        <f t="shared" si="111"/>
        <v>1</v>
      </c>
      <c r="I1417">
        <f t="shared" si="112"/>
        <v>7</v>
      </c>
      <c r="J1417">
        <f t="shared" si="113"/>
        <v>6</v>
      </c>
      <c r="K1417">
        <f t="shared" si="114"/>
        <v>2015</v>
      </c>
      <c r="M1417">
        <v>7</v>
      </c>
      <c r="N1417" t="str">
        <f>VLOOKUP(M1417,'Cadastro Vendedores'!A:H,2,2)</f>
        <v>Benedito</v>
      </c>
      <c r="O1417" s="2"/>
      <c r="P1417" s="16">
        <v>1600</v>
      </c>
      <c r="Q1417" s="2">
        <f>VLOOKUP(B1417,'Cadastro Produtos'!A:F,5,2)</f>
        <v>15</v>
      </c>
      <c r="R1417" s="14">
        <f t="shared" si="110"/>
        <v>24000</v>
      </c>
    </row>
    <row r="1418" spans="1:18" x14ac:dyDescent="0.25">
      <c r="A1418">
        <v>1417</v>
      </c>
      <c r="B1418">
        <v>6</v>
      </c>
      <c r="C1418" t="str">
        <f>VLOOKUP(B1418,'Cadastro Produtos'!A:E,2,2)</f>
        <v>Limonada Beta com Açúcar 1 L</v>
      </c>
      <c r="D1418">
        <v>20</v>
      </c>
      <c r="E1418" t="str">
        <f>VLOOKUP(D1418,'Cadatro Clientes'!A:O,2,2)</f>
        <v>Brasil Saúde</v>
      </c>
      <c r="F1418" t="str">
        <f>VLOOKUP(D1418,'Cadatro Clientes'!A:O,9,2)</f>
        <v>Nordeste</v>
      </c>
      <c r="G1418" s="15">
        <v>42162</v>
      </c>
      <c r="H1418">
        <f t="shared" si="111"/>
        <v>1</v>
      </c>
      <c r="I1418">
        <f t="shared" si="112"/>
        <v>7</v>
      </c>
      <c r="J1418">
        <f t="shared" si="113"/>
        <v>6</v>
      </c>
      <c r="K1418">
        <f t="shared" si="114"/>
        <v>2015</v>
      </c>
      <c r="M1418">
        <v>9</v>
      </c>
      <c r="N1418" t="str">
        <f>VLOOKUP(M1418,'Cadastro Vendedores'!A:H,2,2)</f>
        <v>Adriana</v>
      </c>
      <c r="O1418" s="2"/>
      <c r="P1418" s="16">
        <v>1700</v>
      </c>
      <c r="Q1418" s="2">
        <f>VLOOKUP(B1418,'Cadastro Produtos'!A:F,5,2)</f>
        <v>12</v>
      </c>
      <c r="R1418" s="14">
        <f t="shared" si="110"/>
        <v>20400</v>
      </c>
    </row>
    <row r="1419" spans="1:18" x14ac:dyDescent="0.25">
      <c r="A1419">
        <v>1418</v>
      </c>
      <c r="B1419">
        <v>1</v>
      </c>
      <c r="C1419" t="str">
        <f>VLOOKUP(B1419,'Cadastro Produtos'!A:E,2,2)</f>
        <v>Limonada Alfa com Açúcar 500 ml</v>
      </c>
      <c r="D1419">
        <v>8</v>
      </c>
      <c r="E1419" t="str">
        <f>VLOOKUP(D1419,'Cadatro Clientes'!A:O,2,2)</f>
        <v>Refresko</v>
      </c>
      <c r="F1419" t="str">
        <f>VLOOKUP(D1419,'Cadatro Clientes'!A:O,9,2)</f>
        <v>Sul</v>
      </c>
      <c r="G1419" s="15">
        <v>42163</v>
      </c>
      <c r="H1419">
        <f t="shared" si="111"/>
        <v>2</v>
      </c>
      <c r="I1419">
        <f t="shared" si="112"/>
        <v>8</v>
      </c>
      <c r="J1419">
        <f t="shared" si="113"/>
        <v>6</v>
      </c>
      <c r="K1419">
        <f t="shared" si="114"/>
        <v>2015</v>
      </c>
      <c r="M1419">
        <v>16</v>
      </c>
      <c r="N1419" t="str">
        <f>VLOOKUP(M1419,'Cadastro Vendedores'!A:H,2,2)</f>
        <v>Jose</v>
      </c>
      <c r="O1419" s="2"/>
      <c r="P1419" s="16">
        <v>4700</v>
      </c>
      <c r="Q1419" s="2">
        <f>VLOOKUP(B1419,'Cadastro Produtos'!A:F,5,2)</f>
        <v>8.5</v>
      </c>
      <c r="R1419" s="14">
        <f t="shared" si="110"/>
        <v>39950</v>
      </c>
    </row>
    <row r="1420" spans="1:18" x14ac:dyDescent="0.25">
      <c r="A1420">
        <v>1419</v>
      </c>
      <c r="B1420">
        <v>3</v>
      </c>
      <c r="C1420" t="str">
        <f>VLOOKUP(B1420,'Cadastro Produtos'!A:E,2,2)</f>
        <v>Limonada Alfa Zero 500 ml</v>
      </c>
      <c r="D1420">
        <v>6</v>
      </c>
      <c r="E1420" t="str">
        <f>VLOOKUP(D1420,'Cadatro Clientes'!A:O,2,2)</f>
        <v>Lemonade</v>
      </c>
      <c r="F1420" t="str">
        <f>VLOOKUP(D1420,'Cadatro Clientes'!A:O,9,2)</f>
        <v>Norte</v>
      </c>
      <c r="G1420" s="15">
        <v>42163</v>
      </c>
      <c r="H1420">
        <f t="shared" si="111"/>
        <v>2</v>
      </c>
      <c r="I1420">
        <f t="shared" si="112"/>
        <v>8</v>
      </c>
      <c r="J1420">
        <f t="shared" si="113"/>
        <v>6</v>
      </c>
      <c r="K1420">
        <f t="shared" si="114"/>
        <v>2015</v>
      </c>
      <c r="M1420">
        <v>4</v>
      </c>
      <c r="N1420" t="str">
        <f>VLOOKUP(M1420,'Cadastro Vendedores'!A:H,2,2)</f>
        <v>José</v>
      </c>
      <c r="O1420" s="2"/>
      <c r="P1420" s="16">
        <v>4700</v>
      </c>
      <c r="Q1420" s="2">
        <f>VLOOKUP(B1420,'Cadastro Produtos'!A:F,5,2)</f>
        <v>9</v>
      </c>
      <c r="R1420" s="14">
        <f t="shared" si="110"/>
        <v>42300</v>
      </c>
    </row>
    <row r="1421" spans="1:18" x14ac:dyDescent="0.25">
      <c r="A1421">
        <v>1420</v>
      </c>
      <c r="B1421">
        <v>2</v>
      </c>
      <c r="C1421" t="str">
        <f>VLOOKUP(B1421,'Cadastro Produtos'!A:E,2,2)</f>
        <v>Limonada Beta com Açúcar 500 ml</v>
      </c>
      <c r="D1421">
        <v>4</v>
      </c>
      <c r="E1421" t="str">
        <f>VLOOKUP(D1421,'Cadatro Clientes'!A:O,2,2)</f>
        <v>Limão Carioca e Cia</v>
      </c>
      <c r="F1421" t="str">
        <f>VLOOKUP(D1421,'Cadatro Clientes'!A:O,9,2)</f>
        <v>Sudeste</v>
      </c>
      <c r="G1421" s="15">
        <v>42163</v>
      </c>
      <c r="H1421">
        <f t="shared" si="111"/>
        <v>2</v>
      </c>
      <c r="I1421">
        <f t="shared" si="112"/>
        <v>8</v>
      </c>
      <c r="J1421">
        <f t="shared" si="113"/>
        <v>6</v>
      </c>
      <c r="K1421">
        <f t="shared" si="114"/>
        <v>2015</v>
      </c>
      <c r="M1421">
        <v>3</v>
      </c>
      <c r="N1421" t="str">
        <f>VLOOKUP(M1421,'Cadastro Vendedores'!A:H,2,2)</f>
        <v>Antônia</v>
      </c>
      <c r="O1421" s="2"/>
      <c r="P1421" s="16">
        <v>2900</v>
      </c>
      <c r="Q1421" s="2">
        <f>VLOOKUP(B1421,'Cadastro Produtos'!A:F,5,2)</f>
        <v>6.5</v>
      </c>
      <c r="R1421" s="14">
        <f t="shared" si="110"/>
        <v>18850</v>
      </c>
    </row>
    <row r="1422" spans="1:18" x14ac:dyDescent="0.25">
      <c r="A1422">
        <v>1421</v>
      </c>
      <c r="B1422">
        <v>10</v>
      </c>
      <c r="C1422" t="str">
        <f>VLOOKUP(B1422,'Cadastro Produtos'!A:E,2,2)</f>
        <v>Limonada Alfa com Hortelã Zero 1 L</v>
      </c>
      <c r="D1422">
        <v>20</v>
      </c>
      <c r="E1422" t="str">
        <f>VLOOKUP(D1422,'Cadatro Clientes'!A:O,2,2)</f>
        <v>Brasil Saúde</v>
      </c>
      <c r="F1422" t="str">
        <f>VLOOKUP(D1422,'Cadatro Clientes'!A:O,9,2)</f>
        <v>Nordeste</v>
      </c>
      <c r="G1422" s="15">
        <v>42164</v>
      </c>
      <c r="H1422">
        <f t="shared" si="111"/>
        <v>3</v>
      </c>
      <c r="I1422">
        <f t="shared" si="112"/>
        <v>9</v>
      </c>
      <c r="J1422">
        <f t="shared" si="113"/>
        <v>6</v>
      </c>
      <c r="K1422">
        <f t="shared" si="114"/>
        <v>2015</v>
      </c>
      <c r="M1422">
        <v>4</v>
      </c>
      <c r="N1422" t="str">
        <f>VLOOKUP(M1422,'Cadastro Vendedores'!A:H,2,2)</f>
        <v>José</v>
      </c>
      <c r="O1422" s="2"/>
      <c r="P1422" s="16">
        <v>2400</v>
      </c>
      <c r="Q1422" s="2">
        <f>VLOOKUP(B1422,'Cadastro Produtos'!A:F,5,2)</f>
        <v>21</v>
      </c>
      <c r="R1422" s="14">
        <f t="shared" si="110"/>
        <v>50400</v>
      </c>
    </row>
    <row r="1423" spans="1:18" x14ac:dyDescent="0.25">
      <c r="A1423">
        <v>1422</v>
      </c>
      <c r="B1423">
        <v>8</v>
      </c>
      <c r="C1423" t="str">
        <f>VLOOKUP(B1423,'Cadastro Produtos'!A:E,2,2)</f>
        <v>Limonada Beta Zero 1 L</v>
      </c>
      <c r="D1423">
        <v>19</v>
      </c>
      <c r="E1423" t="str">
        <f>VLOOKUP(D1423,'Cadatro Clientes'!A:O,2,2)</f>
        <v>Lima Limão</v>
      </c>
      <c r="F1423" t="str">
        <f>VLOOKUP(D1423,'Cadatro Clientes'!A:O,9,2)</f>
        <v>Sudeste</v>
      </c>
      <c r="G1423" s="15">
        <v>42164</v>
      </c>
      <c r="H1423">
        <f t="shared" si="111"/>
        <v>3</v>
      </c>
      <c r="I1423">
        <f t="shared" si="112"/>
        <v>9</v>
      </c>
      <c r="J1423">
        <f t="shared" si="113"/>
        <v>6</v>
      </c>
      <c r="K1423">
        <f t="shared" si="114"/>
        <v>2015</v>
      </c>
      <c r="M1423">
        <v>15</v>
      </c>
      <c r="N1423" t="str">
        <f>VLOOKUP(M1423,'Cadastro Vendedores'!A:H,2,2)</f>
        <v>Luis</v>
      </c>
      <c r="O1423" s="2"/>
      <c r="P1423" s="16">
        <v>1200</v>
      </c>
      <c r="Q1423" s="2">
        <f>VLOOKUP(B1423,'Cadastro Produtos'!A:F,5,2)</f>
        <v>12</v>
      </c>
      <c r="R1423" s="14">
        <f t="shared" si="110"/>
        <v>14400</v>
      </c>
    </row>
    <row r="1424" spans="1:18" x14ac:dyDescent="0.25">
      <c r="A1424">
        <v>1423</v>
      </c>
      <c r="B1424">
        <v>4</v>
      </c>
      <c r="C1424" t="str">
        <f>VLOOKUP(B1424,'Cadastro Produtos'!A:E,2,2)</f>
        <v>Limonada Beta Zero 500 ml</v>
      </c>
      <c r="D1424">
        <v>15</v>
      </c>
      <c r="E1424" t="str">
        <f>VLOOKUP(D1424,'Cadatro Clientes'!A:O,2,2)</f>
        <v>Limão do Mané</v>
      </c>
      <c r="F1424" t="str">
        <f>VLOOKUP(D1424,'Cadatro Clientes'!A:O,9,2)</f>
        <v>Sul</v>
      </c>
      <c r="G1424" s="15">
        <v>42164</v>
      </c>
      <c r="H1424">
        <f t="shared" si="111"/>
        <v>3</v>
      </c>
      <c r="I1424">
        <f t="shared" si="112"/>
        <v>9</v>
      </c>
      <c r="J1424">
        <f t="shared" si="113"/>
        <v>6</v>
      </c>
      <c r="K1424">
        <f t="shared" si="114"/>
        <v>2015</v>
      </c>
      <c r="M1424">
        <v>4</v>
      </c>
      <c r="N1424" t="str">
        <f>VLOOKUP(M1424,'Cadastro Vendedores'!A:H,2,2)</f>
        <v>José</v>
      </c>
      <c r="O1424" s="2"/>
      <c r="P1424" s="16">
        <v>3200</v>
      </c>
      <c r="Q1424" s="2">
        <f>VLOOKUP(B1424,'Cadastro Produtos'!A:F,5,2)</f>
        <v>7</v>
      </c>
      <c r="R1424" s="14">
        <f t="shared" si="110"/>
        <v>22400</v>
      </c>
    </row>
    <row r="1425" spans="1:18" x14ac:dyDescent="0.25">
      <c r="A1425">
        <v>1424</v>
      </c>
      <c r="B1425">
        <v>7</v>
      </c>
      <c r="C1425" t="str">
        <f>VLOOKUP(B1425,'Cadastro Produtos'!A:E,2,2)</f>
        <v>Limonada Alfa Zero 1 L</v>
      </c>
      <c r="D1425">
        <v>2</v>
      </c>
      <c r="E1425" t="str">
        <f>VLOOKUP(D1425,'Cadatro Clientes'!A:O,2,2)</f>
        <v>Limão S/A</v>
      </c>
      <c r="F1425" t="str">
        <f>VLOOKUP(D1425,'Cadatro Clientes'!A:O,9,2)</f>
        <v>Centro-Oeste</v>
      </c>
      <c r="G1425" s="15">
        <v>42165</v>
      </c>
      <c r="H1425">
        <f t="shared" si="111"/>
        <v>4</v>
      </c>
      <c r="I1425">
        <f t="shared" si="112"/>
        <v>10</v>
      </c>
      <c r="J1425">
        <f t="shared" si="113"/>
        <v>6</v>
      </c>
      <c r="K1425">
        <f t="shared" si="114"/>
        <v>2015</v>
      </c>
      <c r="M1425">
        <v>2</v>
      </c>
      <c r="N1425" t="str">
        <f>VLOOKUP(M1425,'Cadastro Vendedores'!A:H,2,2)</f>
        <v>Luis</v>
      </c>
      <c r="O1425" s="2"/>
      <c r="P1425" s="16">
        <v>2100</v>
      </c>
      <c r="Q1425" s="2">
        <f>VLOOKUP(B1425,'Cadastro Produtos'!A:F,5,2)</f>
        <v>15</v>
      </c>
      <c r="R1425" s="14">
        <f t="shared" si="110"/>
        <v>31500</v>
      </c>
    </row>
    <row r="1426" spans="1:18" x14ac:dyDescent="0.25">
      <c r="A1426">
        <v>1425</v>
      </c>
      <c r="B1426">
        <v>9</v>
      </c>
      <c r="C1426" t="str">
        <f>VLOOKUP(B1426,'Cadastro Produtos'!A:E,2,2)</f>
        <v>Limonada Alfa com Hortelã e Açúcar 1 L</v>
      </c>
      <c r="D1426">
        <v>15</v>
      </c>
      <c r="E1426" t="str">
        <f>VLOOKUP(D1426,'Cadatro Clientes'!A:O,2,2)</f>
        <v>Limão do Mané</v>
      </c>
      <c r="F1426" t="str">
        <f>VLOOKUP(D1426,'Cadatro Clientes'!A:O,9,2)</f>
        <v>Sul</v>
      </c>
      <c r="G1426" s="15">
        <v>42165</v>
      </c>
      <c r="H1426">
        <f t="shared" si="111"/>
        <v>4</v>
      </c>
      <c r="I1426">
        <f t="shared" si="112"/>
        <v>10</v>
      </c>
      <c r="J1426">
        <f t="shared" si="113"/>
        <v>6</v>
      </c>
      <c r="K1426">
        <f t="shared" si="114"/>
        <v>2015</v>
      </c>
      <c r="M1426">
        <v>8</v>
      </c>
      <c r="N1426" t="str">
        <f>VLOOKUP(M1426,'Cadastro Vendedores'!A:H,2,2)</f>
        <v>Sérgio</v>
      </c>
      <c r="O1426" s="2"/>
      <c r="P1426" s="16">
        <v>1400</v>
      </c>
      <c r="Q1426" s="2">
        <f>VLOOKUP(B1426,'Cadastro Produtos'!A:F,5,2)</f>
        <v>17.5</v>
      </c>
      <c r="R1426" s="14">
        <f t="shared" si="110"/>
        <v>24500</v>
      </c>
    </row>
    <row r="1427" spans="1:18" x14ac:dyDescent="0.25">
      <c r="A1427">
        <v>1426</v>
      </c>
      <c r="B1427">
        <v>9</v>
      </c>
      <c r="C1427" t="str">
        <f>VLOOKUP(B1427,'Cadastro Produtos'!A:E,2,2)</f>
        <v>Limonada Alfa com Hortelã e Açúcar 1 L</v>
      </c>
      <c r="D1427">
        <v>12</v>
      </c>
      <c r="E1427" t="str">
        <f>VLOOKUP(D1427,'Cadatro Clientes'!A:O,2,2)</f>
        <v>Limão da Ilha</v>
      </c>
      <c r="F1427" t="str">
        <f>VLOOKUP(D1427,'Cadatro Clientes'!A:O,9,2)</f>
        <v>Sul</v>
      </c>
      <c r="G1427" s="15">
        <v>42166</v>
      </c>
      <c r="H1427">
        <f t="shared" si="111"/>
        <v>5</v>
      </c>
      <c r="I1427">
        <f t="shared" si="112"/>
        <v>11</v>
      </c>
      <c r="J1427">
        <f t="shared" si="113"/>
        <v>6</v>
      </c>
      <c r="K1427">
        <f t="shared" si="114"/>
        <v>2015</v>
      </c>
      <c r="M1427">
        <v>9</v>
      </c>
      <c r="N1427" t="str">
        <f>VLOOKUP(M1427,'Cadastro Vendedores'!A:H,2,2)</f>
        <v>Adriana</v>
      </c>
      <c r="O1427" s="2"/>
      <c r="P1427" s="16">
        <v>2100</v>
      </c>
      <c r="Q1427" s="2">
        <f>VLOOKUP(B1427,'Cadastro Produtos'!A:F,5,2)</f>
        <v>17.5</v>
      </c>
      <c r="R1427" s="14">
        <f t="shared" si="110"/>
        <v>36750</v>
      </c>
    </row>
    <row r="1428" spans="1:18" x14ac:dyDescent="0.25">
      <c r="A1428">
        <v>1427</v>
      </c>
      <c r="B1428">
        <v>3</v>
      </c>
      <c r="C1428" t="str">
        <f>VLOOKUP(B1428,'Cadastro Produtos'!A:E,2,2)</f>
        <v>Limonada Alfa Zero 500 ml</v>
      </c>
      <c r="D1428">
        <v>20</v>
      </c>
      <c r="E1428" t="str">
        <f>VLOOKUP(D1428,'Cadatro Clientes'!A:O,2,2)</f>
        <v>Brasil Saúde</v>
      </c>
      <c r="F1428" t="str">
        <f>VLOOKUP(D1428,'Cadatro Clientes'!A:O,9,2)</f>
        <v>Nordeste</v>
      </c>
      <c r="G1428" s="15">
        <v>42167</v>
      </c>
      <c r="H1428">
        <f t="shared" si="111"/>
        <v>6</v>
      </c>
      <c r="I1428">
        <f t="shared" si="112"/>
        <v>12</v>
      </c>
      <c r="J1428">
        <f t="shared" si="113"/>
        <v>6</v>
      </c>
      <c r="K1428">
        <f t="shared" si="114"/>
        <v>2015</v>
      </c>
      <c r="M1428">
        <v>3</v>
      </c>
      <c r="N1428" t="str">
        <f>VLOOKUP(M1428,'Cadastro Vendedores'!A:H,2,2)</f>
        <v>Antônia</v>
      </c>
      <c r="O1428" s="2"/>
      <c r="P1428" s="16">
        <v>4300</v>
      </c>
      <c r="Q1428" s="2">
        <f>VLOOKUP(B1428,'Cadastro Produtos'!A:F,5,2)</f>
        <v>9</v>
      </c>
      <c r="R1428" s="14">
        <f t="shared" si="110"/>
        <v>38700</v>
      </c>
    </row>
    <row r="1429" spans="1:18" x14ac:dyDescent="0.25">
      <c r="A1429">
        <v>1428</v>
      </c>
      <c r="B1429">
        <v>5</v>
      </c>
      <c r="C1429" t="str">
        <f>VLOOKUP(B1429,'Cadastro Produtos'!A:E,2,2)</f>
        <v>Limonada Alfa com Açúcar 1 L</v>
      </c>
      <c r="D1429">
        <v>8</v>
      </c>
      <c r="E1429" t="str">
        <f>VLOOKUP(D1429,'Cadatro Clientes'!A:O,2,2)</f>
        <v>Refresko</v>
      </c>
      <c r="F1429" t="str">
        <f>VLOOKUP(D1429,'Cadatro Clientes'!A:O,9,2)</f>
        <v>Sul</v>
      </c>
      <c r="G1429" s="15">
        <v>42168</v>
      </c>
      <c r="H1429">
        <f t="shared" si="111"/>
        <v>7</v>
      </c>
      <c r="I1429">
        <f t="shared" si="112"/>
        <v>13</v>
      </c>
      <c r="J1429">
        <f t="shared" si="113"/>
        <v>6</v>
      </c>
      <c r="K1429">
        <f t="shared" si="114"/>
        <v>2015</v>
      </c>
      <c r="M1429">
        <v>16</v>
      </c>
      <c r="N1429" t="str">
        <f>VLOOKUP(M1429,'Cadastro Vendedores'!A:H,2,2)</f>
        <v>Jose</v>
      </c>
      <c r="O1429" s="2"/>
      <c r="P1429" s="16">
        <v>3400</v>
      </c>
      <c r="Q1429" s="2">
        <f>VLOOKUP(B1429,'Cadastro Produtos'!A:F,5,2)</f>
        <v>15</v>
      </c>
      <c r="R1429" s="14">
        <f t="shared" si="110"/>
        <v>51000</v>
      </c>
    </row>
    <row r="1430" spans="1:18" x14ac:dyDescent="0.25">
      <c r="A1430">
        <v>1429</v>
      </c>
      <c r="B1430">
        <v>6</v>
      </c>
      <c r="C1430" t="str">
        <f>VLOOKUP(B1430,'Cadastro Produtos'!A:E,2,2)</f>
        <v>Limonada Beta com Açúcar 1 L</v>
      </c>
      <c r="D1430">
        <v>8</v>
      </c>
      <c r="E1430" t="str">
        <f>VLOOKUP(D1430,'Cadatro Clientes'!A:O,2,2)</f>
        <v>Refresko</v>
      </c>
      <c r="F1430" t="str">
        <f>VLOOKUP(D1430,'Cadatro Clientes'!A:O,9,2)</f>
        <v>Sul</v>
      </c>
      <c r="G1430" s="15">
        <v>42168</v>
      </c>
      <c r="H1430">
        <f t="shared" si="111"/>
        <v>7</v>
      </c>
      <c r="I1430">
        <f t="shared" si="112"/>
        <v>13</v>
      </c>
      <c r="J1430">
        <f t="shared" si="113"/>
        <v>6</v>
      </c>
      <c r="K1430">
        <f t="shared" si="114"/>
        <v>2015</v>
      </c>
      <c r="M1430">
        <v>12</v>
      </c>
      <c r="N1430" t="str">
        <f>VLOOKUP(M1430,'Cadastro Vendedores'!A:H,2,2)</f>
        <v>Paulo</v>
      </c>
      <c r="O1430" s="2"/>
      <c r="P1430" s="16">
        <v>2100</v>
      </c>
      <c r="Q1430" s="2">
        <f>VLOOKUP(B1430,'Cadastro Produtos'!A:F,5,2)</f>
        <v>12</v>
      </c>
      <c r="R1430" s="14">
        <f t="shared" si="110"/>
        <v>25200</v>
      </c>
    </row>
    <row r="1431" spans="1:18" x14ac:dyDescent="0.25">
      <c r="A1431">
        <v>1430</v>
      </c>
      <c r="B1431">
        <v>2</v>
      </c>
      <c r="C1431" t="str">
        <f>VLOOKUP(B1431,'Cadastro Produtos'!A:E,2,2)</f>
        <v>Limonada Beta com Açúcar 500 ml</v>
      </c>
      <c r="D1431">
        <v>6</v>
      </c>
      <c r="E1431" t="str">
        <f>VLOOKUP(D1431,'Cadatro Clientes'!A:O,2,2)</f>
        <v>Lemonade</v>
      </c>
      <c r="F1431" t="str">
        <f>VLOOKUP(D1431,'Cadatro Clientes'!A:O,9,2)</f>
        <v>Norte</v>
      </c>
      <c r="G1431" s="15">
        <v>42168</v>
      </c>
      <c r="H1431">
        <f t="shared" si="111"/>
        <v>7</v>
      </c>
      <c r="I1431">
        <f t="shared" si="112"/>
        <v>13</v>
      </c>
      <c r="J1431">
        <f t="shared" si="113"/>
        <v>6</v>
      </c>
      <c r="K1431">
        <f t="shared" si="114"/>
        <v>2015</v>
      </c>
      <c r="M1431">
        <v>6</v>
      </c>
      <c r="N1431" t="str">
        <f>VLOOKUP(M1431,'Cadastro Vendedores'!A:H,2,2)</f>
        <v>Antônia</v>
      </c>
      <c r="O1431" s="2"/>
      <c r="P1431" s="16">
        <v>4300</v>
      </c>
      <c r="Q1431" s="2">
        <f>VLOOKUP(B1431,'Cadastro Produtos'!A:F,5,2)</f>
        <v>6.5</v>
      </c>
      <c r="R1431" s="14">
        <f t="shared" si="110"/>
        <v>27950</v>
      </c>
    </row>
    <row r="1432" spans="1:18" x14ac:dyDescent="0.25">
      <c r="A1432">
        <v>1431</v>
      </c>
      <c r="B1432">
        <v>2</v>
      </c>
      <c r="C1432" t="str">
        <f>VLOOKUP(B1432,'Cadastro Produtos'!A:E,2,2)</f>
        <v>Limonada Beta com Açúcar 500 ml</v>
      </c>
      <c r="D1432">
        <v>16</v>
      </c>
      <c r="E1432" t="str">
        <f>VLOOKUP(D1432,'Cadatro Clientes'!A:O,2,2)</f>
        <v>Norte Suco</v>
      </c>
      <c r="F1432" t="str">
        <f>VLOOKUP(D1432,'Cadatro Clientes'!A:O,9,2)</f>
        <v>Nordeste</v>
      </c>
      <c r="G1432" s="15">
        <v>42168</v>
      </c>
      <c r="H1432">
        <f t="shared" si="111"/>
        <v>7</v>
      </c>
      <c r="I1432">
        <f t="shared" si="112"/>
        <v>13</v>
      </c>
      <c r="J1432">
        <f t="shared" si="113"/>
        <v>6</v>
      </c>
      <c r="K1432">
        <f t="shared" si="114"/>
        <v>2015</v>
      </c>
      <c r="M1432">
        <v>2</v>
      </c>
      <c r="N1432" t="str">
        <f>VLOOKUP(M1432,'Cadastro Vendedores'!A:H,2,2)</f>
        <v>Luis</v>
      </c>
      <c r="O1432" s="2"/>
      <c r="P1432" s="16">
        <v>4600</v>
      </c>
      <c r="Q1432" s="2">
        <f>VLOOKUP(B1432,'Cadastro Produtos'!A:F,5,2)</f>
        <v>6.5</v>
      </c>
      <c r="R1432" s="14">
        <f t="shared" si="110"/>
        <v>29900</v>
      </c>
    </row>
    <row r="1433" spans="1:18" x14ac:dyDescent="0.25">
      <c r="A1433">
        <v>1432</v>
      </c>
      <c r="B1433">
        <v>4</v>
      </c>
      <c r="C1433" t="str">
        <f>VLOOKUP(B1433,'Cadastro Produtos'!A:E,2,2)</f>
        <v>Limonada Beta Zero 500 ml</v>
      </c>
      <c r="D1433">
        <v>5</v>
      </c>
      <c r="E1433" t="str">
        <f>VLOOKUP(D1433,'Cadatro Clientes'!A:O,2,2)</f>
        <v>Axé com Limão</v>
      </c>
      <c r="F1433" t="str">
        <f>VLOOKUP(D1433,'Cadatro Clientes'!A:O,9,2)</f>
        <v>Nordeste</v>
      </c>
      <c r="G1433" s="15">
        <v>42169</v>
      </c>
      <c r="H1433">
        <f t="shared" si="111"/>
        <v>1</v>
      </c>
      <c r="I1433">
        <f t="shared" si="112"/>
        <v>14</v>
      </c>
      <c r="J1433">
        <f t="shared" si="113"/>
        <v>6</v>
      </c>
      <c r="K1433">
        <f t="shared" si="114"/>
        <v>2015</v>
      </c>
      <c r="M1433">
        <v>15</v>
      </c>
      <c r="N1433" t="str">
        <f>VLOOKUP(M1433,'Cadastro Vendedores'!A:H,2,2)</f>
        <v>Luis</v>
      </c>
      <c r="O1433" s="2"/>
      <c r="P1433" s="16">
        <v>2500</v>
      </c>
      <c r="Q1433" s="2">
        <f>VLOOKUP(B1433,'Cadastro Produtos'!A:F,5,2)</f>
        <v>7</v>
      </c>
      <c r="R1433" s="14">
        <f t="shared" si="110"/>
        <v>17500</v>
      </c>
    </row>
    <row r="1434" spans="1:18" x14ac:dyDescent="0.25">
      <c r="A1434">
        <v>1433</v>
      </c>
      <c r="B1434">
        <v>1</v>
      </c>
      <c r="C1434" t="str">
        <f>VLOOKUP(B1434,'Cadastro Produtos'!A:E,2,2)</f>
        <v>Limonada Alfa com Açúcar 500 ml</v>
      </c>
      <c r="D1434">
        <v>12</v>
      </c>
      <c r="E1434" t="str">
        <f>VLOOKUP(D1434,'Cadatro Clientes'!A:O,2,2)</f>
        <v>Limão da Ilha</v>
      </c>
      <c r="F1434" t="str">
        <f>VLOOKUP(D1434,'Cadatro Clientes'!A:O,9,2)</f>
        <v>Sul</v>
      </c>
      <c r="G1434" s="15">
        <v>42169</v>
      </c>
      <c r="H1434">
        <f t="shared" si="111"/>
        <v>1</v>
      </c>
      <c r="I1434">
        <f t="shared" si="112"/>
        <v>14</v>
      </c>
      <c r="J1434">
        <f t="shared" si="113"/>
        <v>6</v>
      </c>
      <c r="K1434">
        <f t="shared" si="114"/>
        <v>2015</v>
      </c>
      <c r="M1434">
        <v>16</v>
      </c>
      <c r="N1434" t="str">
        <f>VLOOKUP(M1434,'Cadastro Vendedores'!A:H,2,2)</f>
        <v>Jose</v>
      </c>
      <c r="O1434" s="2"/>
      <c r="P1434" s="16">
        <v>4200</v>
      </c>
      <c r="Q1434" s="2">
        <f>VLOOKUP(B1434,'Cadastro Produtos'!A:F,5,2)</f>
        <v>8.5</v>
      </c>
      <c r="R1434" s="14">
        <f t="shared" si="110"/>
        <v>35700</v>
      </c>
    </row>
    <row r="1435" spans="1:18" x14ac:dyDescent="0.25">
      <c r="A1435">
        <v>1434</v>
      </c>
      <c r="B1435">
        <v>1</v>
      </c>
      <c r="C1435" t="str">
        <f>VLOOKUP(B1435,'Cadastro Produtos'!A:E,2,2)</f>
        <v>Limonada Alfa com Açúcar 500 ml</v>
      </c>
      <c r="D1435">
        <v>10</v>
      </c>
      <c r="E1435" t="str">
        <f>VLOOKUP(D1435,'Cadatro Clientes'!A:O,2,2)</f>
        <v>Lemon Gator</v>
      </c>
      <c r="F1435" t="str">
        <f>VLOOKUP(D1435,'Cadatro Clientes'!A:O,9,2)</f>
        <v>Nordeste</v>
      </c>
      <c r="G1435" s="15">
        <v>42169</v>
      </c>
      <c r="H1435">
        <f t="shared" si="111"/>
        <v>1</v>
      </c>
      <c r="I1435">
        <f t="shared" si="112"/>
        <v>14</v>
      </c>
      <c r="J1435">
        <f t="shared" si="113"/>
        <v>6</v>
      </c>
      <c r="K1435">
        <f t="shared" si="114"/>
        <v>2015</v>
      </c>
      <c r="M1435">
        <v>16</v>
      </c>
      <c r="N1435" t="str">
        <f>VLOOKUP(M1435,'Cadastro Vendedores'!A:H,2,2)</f>
        <v>Jose</v>
      </c>
      <c r="O1435" s="2"/>
      <c r="P1435" s="16">
        <v>2100</v>
      </c>
      <c r="Q1435" s="2">
        <f>VLOOKUP(B1435,'Cadastro Produtos'!A:F,5,2)</f>
        <v>8.5</v>
      </c>
      <c r="R1435" s="14">
        <f t="shared" si="110"/>
        <v>17850</v>
      </c>
    </row>
    <row r="1436" spans="1:18" x14ac:dyDescent="0.25">
      <c r="A1436">
        <v>1435</v>
      </c>
      <c r="B1436">
        <v>3</v>
      </c>
      <c r="C1436" t="str">
        <f>VLOOKUP(B1436,'Cadastro Produtos'!A:E,2,2)</f>
        <v>Limonada Alfa Zero 500 ml</v>
      </c>
      <c r="D1436">
        <v>3</v>
      </c>
      <c r="E1436" t="str">
        <f>VLOOKUP(D1436,'Cadatro Clientes'!A:O,2,2)</f>
        <v>Limonada Suíça Ltda</v>
      </c>
      <c r="F1436" t="str">
        <f>VLOOKUP(D1436,'Cadatro Clientes'!A:O,9,2)</f>
        <v>Nordeste</v>
      </c>
      <c r="G1436" s="15">
        <v>42170</v>
      </c>
      <c r="H1436">
        <f t="shared" si="111"/>
        <v>2</v>
      </c>
      <c r="I1436">
        <f t="shared" si="112"/>
        <v>15</v>
      </c>
      <c r="J1436">
        <f t="shared" si="113"/>
        <v>6</v>
      </c>
      <c r="K1436">
        <f t="shared" si="114"/>
        <v>2015</v>
      </c>
      <c r="M1436">
        <v>16</v>
      </c>
      <c r="N1436" t="str">
        <f>VLOOKUP(M1436,'Cadastro Vendedores'!A:H,2,2)</f>
        <v>Jose</v>
      </c>
      <c r="O1436" s="2"/>
      <c r="P1436" s="16">
        <v>2100</v>
      </c>
      <c r="Q1436" s="2">
        <f>VLOOKUP(B1436,'Cadastro Produtos'!A:F,5,2)</f>
        <v>9</v>
      </c>
      <c r="R1436" s="14">
        <f t="shared" si="110"/>
        <v>18900</v>
      </c>
    </row>
    <row r="1437" spans="1:18" x14ac:dyDescent="0.25">
      <c r="A1437">
        <v>1436</v>
      </c>
      <c r="B1437">
        <v>10</v>
      </c>
      <c r="C1437" t="str">
        <f>VLOOKUP(B1437,'Cadastro Produtos'!A:E,2,2)</f>
        <v>Limonada Alfa com Hortelã Zero 1 L</v>
      </c>
      <c r="D1437">
        <v>5</v>
      </c>
      <c r="E1437" t="str">
        <f>VLOOKUP(D1437,'Cadatro Clientes'!A:O,2,2)</f>
        <v>Axé com Limão</v>
      </c>
      <c r="F1437" t="str">
        <f>VLOOKUP(D1437,'Cadatro Clientes'!A:O,9,2)</f>
        <v>Nordeste</v>
      </c>
      <c r="G1437" s="15">
        <v>42170</v>
      </c>
      <c r="H1437">
        <f t="shared" si="111"/>
        <v>2</v>
      </c>
      <c r="I1437">
        <f t="shared" si="112"/>
        <v>15</v>
      </c>
      <c r="J1437">
        <f t="shared" si="113"/>
        <v>6</v>
      </c>
      <c r="K1437">
        <f t="shared" si="114"/>
        <v>2015</v>
      </c>
      <c r="M1437">
        <v>15</v>
      </c>
      <c r="N1437" t="str">
        <f>VLOOKUP(M1437,'Cadastro Vendedores'!A:H,2,2)</f>
        <v>Luis</v>
      </c>
      <c r="O1437" s="2"/>
      <c r="P1437" s="16">
        <v>1800</v>
      </c>
      <c r="Q1437" s="2">
        <f>VLOOKUP(B1437,'Cadastro Produtos'!A:F,5,2)</f>
        <v>21</v>
      </c>
      <c r="R1437" s="14">
        <f t="shared" si="110"/>
        <v>37800</v>
      </c>
    </row>
    <row r="1438" spans="1:18" x14ac:dyDescent="0.25">
      <c r="A1438">
        <v>1437</v>
      </c>
      <c r="B1438">
        <v>8</v>
      </c>
      <c r="C1438" t="str">
        <f>VLOOKUP(B1438,'Cadastro Produtos'!A:E,2,2)</f>
        <v>Limonada Beta Zero 1 L</v>
      </c>
      <c r="D1438">
        <v>4</v>
      </c>
      <c r="E1438" t="str">
        <f>VLOOKUP(D1438,'Cadatro Clientes'!A:O,2,2)</f>
        <v>Limão Carioca e Cia</v>
      </c>
      <c r="F1438" t="str">
        <f>VLOOKUP(D1438,'Cadatro Clientes'!A:O,9,2)</f>
        <v>Sudeste</v>
      </c>
      <c r="G1438" s="15">
        <v>42170</v>
      </c>
      <c r="H1438">
        <f t="shared" si="111"/>
        <v>2</v>
      </c>
      <c r="I1438">
        <f t="shared" si="112"/>
        <v>15</v>
      </c>
      <c r="J1438">
        <f t="shared" si="113"/>
        <v>6</v>
      </c>
      <c r="K1438">
        <f t="shared" si="114"/>
        <v>2015</v>
      </c>
      <c r="M1438">
        <v>6</v>
      </c>
      <c r="N1438" t="str">
        <f>VLOOKUP(M1438,'Cadastro Vendedores'!A:H,2,2)</f>
        <v>Antônia</v>
      </c>
      <c r="O1438" s="2"/>
      <c r="P1438" s="16">
        <v>3600</v>
      </c>
      <c r="Q1438" s="2">
        <f>VLOOKUP(B1438,'Cadastro Produtos'!A:F,5,2)</f>
        <v>12</v>
      </c>
      <c r="R1438" s="14">
        <f t="shared" si="110"/>
        <v>43200</v>
      </c>
    </row>
    <row r="1439" spans="1:18" x14ac:dyDescent="0.25">
      <c r="A1439">
        <v>1438</v>
      </c>
      <c r="B1439">
        <v>8</v>
      </c>
      <c r="C1439" t="str">
        <f>VLOOKUP(B1439,'Cadastro Produtos'!A:E,2,2)</f>
        <v>Limonada Beta Zero 1 L</v>
      </c>
      <c r="D1439">
        <v>3</v>
      </c>
      <c r="E1439" t="str">
        <f>VLOOKUP(D1439,'Cadatro Clientes'!A:O,2,2)</f>
        <v>Limonada Suíça Ltda</v>
      </c>
      <c r="F1439" t="str">
        <f>VLOOKUP(D1439,'Cadatro Clientes'!A:O,9,2)</f>
        <v>Nordeste</v>
      </c>
      <c r="G1439" s="15">
        <v>42171</v>
      </c>
      <c r="H1439">
        <f t="shared" si="111"/>
        <v>3</v>
      </c>
      <c r="I1439">
        <f t="shared" si="112"/>
        <v>16</v>
      </c>
      <c r="J1439">
        <f t="shared" si="113"/>
        <v>6</v>
      </c>
      <c r="K1439">
        <f t="shared" si="114"/>
        <v>2015</v>
      </c>
      <c r="M1439">
        <v>4</v>
      </c>
      <c r="N1439" t="str">
        <f>VLOOKUP(M1439,'Cadastro Vendedores'!A:H,2,2)</f>
        <v>José</v>
      </c>
      <c r="O1439" s="2"/>
      <c r="P1439" s="16">
        <v>2100</v>
      </c>
      <c r="Q1439" s="2">
        <f>VLOOKUP(B1439,'Cadastro Produtos'!A:F,5,2)</f>
        <v>12</v>
      </c>
      <c r="R1439" s="14">
        <f t="shared" si="110"/>
        <v>25200</v>
      </c>
    </row>
    <row r="1440" spans="1:18" x14ac:dyDescent="0.25">
      <c r="A1440">
        <v>1439</v>
      </c>
      <c r="B1440">
        <v>7</v>
      </c>
      <c r="C1440" t="str">
        <f>VLOOKUP(B1440,'Cadastro Produtos'!A:E,2,2)</f>
        <v>Limonada Alfa Zero 1 L</v>
      </c>
      <c r="D1440">
        <v>5</v>
      </c>
      <c r="E1440" t="str">
        <f>VLOOKUP(D1440,'Cadatro Clientes'!A:O,2,2)</f>
        <v>Axé com Limão</v>
      </c>
      <c r="F1440" t="str">
        <f>VLOOKUP(D1440,'Cadatro Clientes'!A:O,9,2)</f>
        <v>Nordeste</v>
      </c>
      <c r="G1440" s="15">
        <v>42171</v>
      </c>
      <c r="H1440">
        <f t="shared" si="111"/>
        <v>3</v>
      </c>
      <c r="I1440">
        <f t="shared" si="112"/>
        <v>16</v>
      </c>
      <c r="J1440">
        <f t="shared" si="113"/>
        <v>6</v>
      </c>
      <c r="K1440">
        <f t="shared" si="114"/>
        <v>2015</v>
      </c>
      <c r="M1440">
        <v>4</v>
      </c>
      <c r="N1440" t="str">
        <f>VLOOKUP(M1440,'Cadastro Vendedores'!A:H,2,2)</f>
        <v>José</v>
      </c>
      <c r="O1440" s="2"/>
      <c r="P1440" s="16">
        <v>3400</v>
      </c>
      <c r="Q1440" s="2">
        <f>VLOOKUP(B1440,'Cadastro Produtos'!A:F,5,2)</f>
        <v>15</v>
      </c>
      <c r="R1440" s="14">
        <f t="shared" si="110"/>
        <v>51000</v>
      </c>
    </row>
    <row r="1441" spans="1:18" x14ac:dyDescent="0.25">
      <c r="A1441">
        <v>1440</v>
      </c>
      <c r="B1441">
        <v>3</v>
      </c>
      <c r="C1441" t="str">
        <f>VLOOKUP(B1441,'Cadastro Produtos'!A:E,2,2)</f>
        <v>Limonada Alfa Zero 500 ml</v>
      </c>
      <c r="D1441">
        <v>7</v>
      </c>
      <c r="E1441" t="str">
        <f>VLOOKUP(D1441,'Cadatro Clientes'!A:O,2,2)</f>
        <v>Limo</v>
      </c>
      <c r="F1441" t="str">
        <f>VLOOKUP(D1441,'Cadatro Clientes'!A:O,9,2)</f>
        <v>Centro-Oeste</v>
      </c>
      <c r="G1441" s="15">
        <v>42172</v>
      </c>
      <c r="H1441">
        <f t="shared" si="111"/>
        <v>4</v>
      </c>
      <c r="I1441">
        <f t="shared" si="112"/>
        <v>17</v>
      </c>
      <c r="J1441">
        <f t="shared" si="113"/>
        <v>6</v>
      </c>
      <c r="K1441">
        <f t="shared" si="114"/>
        <v>2015</v>
      </c>
      <c r="M1441">
        <v>3</v>
      </c>
      <c r="N1441" t="str">
        <f>VLOOKUP(M1441,'Cadastro Vendedores'!A:H,2,2)</f>
        <v>Antônia</v>
      </c>
      <c r="O1441" s="2"/>
      <c r="P1441" s="16">
        <v>5000</v>
      </c>
      <c r="Q1441" s="2">
        <f>VLOOKUP(B1441,'Cadastro Produtos'!A:F,5,2)</f>
        <v>9</v>
      </c>
      <c r="R1441" s="14">
        <f t="shared" si="110"/>
        <v>45000</v>
      </c>
    </row>
    <row r="1442" spans="1:18" x14ac:dyDescent="0.25">
      <c r="A1442">
        <v>1441</v>
      </c>
      <c r="B1442">
        <v>1</v>
      </c>
      <c r="C1442" t="str">
        <f>VLOOKUP(B1442,'Cadastro Produtos'!A:E,2,2)</f>
        <v>Limonada Alfa com Açúcar 500 ml</v>
      </c>
      <c r="D1442">
        <v>10</v>
      </c>
      <c r="E1442" t="str">
        <f>VLOOKUP(D1442,'Cadatro Clientes'!A:O,2,2)</f>
        <v>Lemon Gator</v>
      </c>
      <c r="F1442" t="str">
        <f>VLOOKUP(D1442,'Cadatro Clientes'!A:O,9,2)</f>
        <v>Nordeste</v>
      </c>
      <c r="G1442" s="15">
        <v>42172</v>
      </c>
      <c r="H1442">
        <f t="shared" si="111"/>
        <v>4</v>
      </c>
      <c r="I1442">
        <f t="shared" si="112"/>
        <v>17</v>
      </c>
      <c r="J1442">
        <f t="shared" si="113"/>
        <v>6</v>
      </c>
      <c r="K1442">
        <f t="shared" si="114"/>
        <v>2015</v>
      </c>
      <c r="M1442">
        <v>15</v>
      </c>
      <c r="N1442" t="str">
        <f>VLOOKUP(M1442,'Cadastro Vendedores'!A:H,2,2)</f>
        <v>Luis</v>
      </c>
      <c r="O1442" s="2"/>
      <c r="P1442" s="16">
        <v>4500</v>
      </c>
      <c r="Q1442" s="2">
        <f>VLOOKUP(B1442,'Cadastro Produtos'!A:F,5,2)</f>
        <v>8.5</v>
      </c>
      <c r="R1442" s="14">
        <f t="shared" si="110"/>
        <v>38250</v>
      </c>
    </row>
    <row r="1443" spans="1:18" x14ac:dyDescent="0.25">
      <c r="A1443">
        <v>1442</v>
      </c>
      <c r="B1443">
        <v>4</v>
      </c>
      <c r="C1443" t="str">
        <f>VLOOKUP(B1443,'Cadastro Produtos'!A:E,2,2)</f>
        <v>Limonada Beta Zero 500 ml</v>
      </c>
      <c r="D1443">
        <v>1</v>
      </c>
      <c r="E1443" t="str">
        <f>VLOOKUP(D1443,'Cadatro Clientes'!A:O,2,2)</f>
        <v>Meu Suco de Limão</v>
      </c>
      <c r="F1443" t="str">
        <f>VLOOKUP(D1443,'Cadatro Clientes'!A:O,9,2)</f>
        <v>Norte</v>
      </c>
      <c r="G1443" s="15">
        <v>42173</v>
      </c>
      <c r="H1443">
        <f t="shared" si="111"/>
        <v>5</v>
      </c>
      <c r="I1443">
        <f t="shared" si="112"/>
        <v>18</v>
      </c>
      <c r="J1443">
        <f t="shared" si="113"/>
        <v>6</v>
      </c>
      <c r="K1443">
        <f t="shared" si="114"/>
        <v>2015</v>
      </c>
      <c r="M1443">
        <v>13</v>
      </c>
      <c r="N1443" t="str">
        <f>VLOOKUP(M1443,'Cadastro Vendedores'!A:H,2,2)</f>
        <v>Andre</v>
      </c>
      <c r="O1443" s="2"/>
      <c r="P1443" s="16">
        <v>3900</v>
      </c>
      <c r="Q1443" s="2">
        <f>VLOOKUP(B1443,'Cadastro Produtos'!A:F,5,2)</f>
        <v>7</v>
      </c>
      <c r="R1443" s="14">
        <f t="shared" si="110"/>
        <v>27300</v>
      </c>
    </row>
    <row r="1444" spans="1:18" x14ac:dyDescent="0.25">
      <c r="A1444">
        <v>1443</v>
      </c>
      <c r="B1444">
        <v>6</v>
      </c>
      <c r="C1444" t="str">
        <f>VLOOKUP(B1444,'Cadastro Produtos'!A:E,2,2)</f>
        <v>Limonada Beta com Açúcar 1 L</v>
      </c>
      <c r="D1444">
        <v>1</v>
      </c>
      <c r="E1444" t="str">
        <f>VLOOKUP(D1444,'Cadatro Clientes'!A:O,2,2)</f>
        <v>Meu Suco de Limão</v>
      </c>
      <c r="F1444" t="str">
        <f>VLOOKUP(D1444,'Cadatro Clientes'!A:O,9,2)</f>
        <v>Norte</v>
      </c>
      <c r="G1444" s="15">
        <v>42173</v>
      </c>
      <c r="H1444">
        <f t="shared" si="111"/>
        <v>5</v>
      </c>
      <c r="I1444">
        <f t="shared" si="112"/>
        <v>18</v>
      </c>
      <c r="J1444">
        <f t="shared" si="113"/>
        <v>6</v>
      </c>
      <c r="K1444">
        <f t="shared" si="114"/>
        <v>2015</v>
      </c>
      <c r="M1444">
        <v>7</v>
      </c>
      <c r="N1444" t="str">
        <f>VLOOKUP(M1444,'Cadastro Vendedores'!A:H,2,2)</f>
        <v>Benedito</v>
      </c>
      <c r="O1444" s="2"/>
      <c r="P1444" s="16">
        <v>4500</v>
      </c>
      <c r="Q1444" s="2">
        <f>VLOOKUP(B1444,'Cadastro Produtos'!A:F,5,2)</f>
        <v>12</v>
      </c>
      <c r="R1444" s="14">
        <f t="shared" si="110"/>
        <v>54000</v>
      </c>
    </row>
    <row r="1445" spans="1:18" x14ac:dyDescent="0.25">
      <c r="A1445">
        <v>1444</v>
      </c>
      <c r="B1445">
        <v>1</v>
      </c>
      <c r="C1445" t="str">
        <f>VLOOKUP(B1445,'Cadastro Produtos'!A:E,2,2)</f>
        <v>Limonada Alfa com Açúcar 500 ml</v>
      </c>
      <c r="D1445">
        <v>5</v>
      </c>
      <c r="E1445" t="str">
        <f>VLOOKUP(D1445,'Cadatro Clientes'!A:O,2,2)</f>
        <v>Axé com Limão</v>
      </c>
      <c r="F1445" t="str">
        <f>VLOOKUP(D1445,'Cadatro Clientes'!A:O,9,2)</f>
        <v>Nordeste</v>
      </c>
      <c r="G1445" s="15">
        <v>42173</v>
      </c>
      <c r="H1445">
        <f t="shared" si="111"/>
        <v>5</v>
      </c>
      <c r="I1445">
        <f t="shared" si="112"/>
        <v>18</v>
      </c>
      <c r="J1445">
        <f t="shared" si="113"/>
        <v>6</v>
      </c>
      <c r="K1445">
        <f t="shared" si="114"/>
        <v>2015</v>
      </c>
      <c r="M1445">
        <v>6</v>
      </c>
      <c r="N1445" t="str">
        <f>VLOOKUP(M1445,'Cadastro Vendedores'!A:H,2,2)</f>
        <v>Antônia</v>
      </c>
      <c r="O1445" s="2"/>
      <c r="P1445" s="16">
        <v>4500</v>
      </c>
      <c r="Q1445" s="2">
        <f>VLOOKUP(B1445,'Cadastro Produtos'!A:F,5,2)</f>
        <v>8.5</v>
      </c>
      <c r="R1445" s="14">
        <f t="shared" si="110"/>
        <v>38250</v>
      </c>
    </row>
    <row r="1446" spans="1:18" x14ac:dyDescent="0.25">
      <c r="A1446">
        <v>1445</v>
      </c>
      <c r="B1446">
        <v>5</v>
      </c>
      <c r="C1446" t="str">
        <f>VLOOKUP(B1446,'Cadastro Produtos'!A:E,2,2)</f>
        <v>Limonada Alfa com Açúcar 1 L</v>
      </c>
      <c r="D1446">
        <v>13</v>
      </c>
      <c r="E1446" t="str">
        <f>VLOOKUP(D1446,'Cadatro Clientes'!A:O,2,2)</f>
        <v>Monster Lemon</v>
      </c>
      <c r="F1446" t="str">
        <f>VLOOKUP(D1446,'Cadatro Clientes'!A:O,9,2)</f>
        <v>Nordeste</v>
      </c>
      <c r="G1446" s="15">
        <v>42173</v>
      </c>
      <c r="H1446">
        <f t="shared" si="111"/>
        <v>5</v>
      </c>
      <c r="I1446">
        <f t="shared" si="112"/>
        <v>18</v>
      </c>
      <c r="J1446">
        <f t="shared" si="113"/>
        <v>6</v>
      </c>
      <c r="K1446">
        <f t="shared" si="114"/>
        <v>2015</v>
      </c>
      <c r="M1446">
        <v>13</v>
      </c>
      <c r="N1446" t="str">
        <f>VLOOKUP(M1446,'Cadastro Vendedores'!A:H,2,2)</f>
        <v>Andre</v>
      </c>
      <c r="O1446" s="2"/>
      <c r="P1446" s="16">
        <v>2100</v>
      </c>
      <c r="Q1446" s="2">
        <f>VLOOKUP(B1446,'Cadastro Produtos'!A:F,5,2)</f>
        <v>15</v>
      </c>
      <c r="R1446" s="14">
        <f t="shared" si="110"/>
        <v>31500</v>
      </c>
    </row>
    <row r="1447" spans="1:18" x14ac:dyDescent="0.25">
      <c r="A1447">
        <v>1446</v>
      </c>
      <c r="B1447">
        <v>9</v>
      </c>
      <c r="C1447" t="str">
        <f>VLOOKUP(B1447,'Cadastro Produtos'!A:E,2,2)</f>
        <v>Limonada Alfa com Hortelã e Açúcar 1 L</v>
      </c>
      <c r="D1447">
        <v>3</v>
      </c>
      <c r="E1447" t="str">
        <f>VLOOKUP(D1447,'Cadatro Clientes'!A:O,2,2)</f>
        <v>Limonada Suíça Ltda</v>
      </c>
      <c r="F1447" t="str">
        <f>VLOOKUP(D1447,'Cadatro Clientes'!A:O,9,2)</f>
        <v>Nordeste</v>
      </c>
      <c r="G1447" s="15">
        <v>42174</v>
      </c>
      <c r="H1447">
        <f t="shared" si="111"/>
        <v>6</v>
      </c>
      <c r="I1447">
        <f t="shared" si="112"/>
        <v>19</v>
      </c>
      <c r="J1447">
        <f t="shared" si="113"/>
        <v>6</v>
      </c>
      <c r="K1447">
        <f t="shared" si="114"/>
        <v>2015</v>
      </c>
      <c r="M1447">
        <v>6</v>
      </c>
      <c r="N1447" t="str">
        <f>VLOOKUP(M1447,'Cadastro Vendedores'!A:H,2,2)</f>
        <v>Antônia</v>
      </c>
      <c r="O1447" s="2"/>
      <c r="P1447" s="16">
        <v>800</v>
      </c>
      <c r="Q1447" s="2">
        <f>VLOOKUP(B1447,'Cadastro Produtos'!A:F,5,2)</f>
        <v>17.5</v>
      </c>
      <c r="R1447" s="14">
        <f t="shared" si="110"/>
        <v>14000</v>
      </c>
    </row>
    <row r="1448" spans="1:18" x14ac:dyDescent="0.25">
      <c r="A1448">
        <v>1447</v>
      </c>
      <c r="B1448">
        <v>7</v>
      </c>
      <c r="C1448" t="str">
        <f>VLOOKUP(B1448,'Cadastro Produtos'!A:E,2,2)</f>
        <v>Limonada Alfa Zero 1 L</v>
      </c>
      <c r="D1448">
        <v>1</v>
      </c>
      <c r="E1448" t="str">
        <f>VLOOKUP(D1448,'Cadatro Clientes'!A:O,2,2)</f>
        <v>Meu Suco de Limão</v>
      </c>
      <c r="F1448" t="str">
        <f>VLOOKUP(D1448,'Cadatro Clientes'!A:O,9,2)</f>
        <v>Norte</v>
      </c>
      <c r="G1448" s="15">
        <v>42175</v>
      </c>
      <c r="H1448">
        <f t="shared" si="111"/>
        <v>7</v>
      </c>
      <c r="I1448">
        <f t="shared" si="112"/>
        <v>20</v>
      </c>
      <c r="J1448">
        <f t="shared" si="113"/>
        <v>6</v>
      </c>
      <c r="K1448">
        <f t="shared" si="114"/>
        <v>2015</v>
      </c>
      <c r="M1448">
        <v>3</v>
      </c>
      <c r="N1448" t="str">
        <f>VLOOKUP(M1448,'Cadastro Vendedores'!A:H,2,2)</f>
        <v>Antônia</v>
      </c>
      <c r="O1448" s="2"/>
      <c r="P1448" s="16">
        <v>2900</v>
      </c>
      <c r="Q1448" s="2">
        <f>VLOOKUP(B1448,'Cadastro Produtos'!A:F,5,2)</f>
        <v>15</v>
      </c>
      <c r="R1448" s="14">
        <f t="shared" si="110"/>
        <v>43500</v>
      </c>
    </row>
    <row r="1449" spans="1:18" x14ac:dyDescent="0.25">
      <c r="A1449">
        <v>1448</v>
      </c>
      <c r="B1449">
        <v>10</v>
      </c>
      <c r="C1449" t="str">
        <f>VLOOKUP(B1449,'Cadastro Produtos'!A:E,2,2)</f>
        <v>Limonada Alfa com Hortelã Zero 1 L</v>
      </c>
      <c r="D1449">
        <v>8</v>
      </c>
      <c r="E1449" t="str">
        <f>VLOOKUP(D1449,'Cadatro Clientes'!A:O,2,2)</f>
        <v>Refresko</v>
      </c>
      <c r="F1449" t="str">
        <f>VLOOKUP(D1449,'Cadatro Clientes'!A:O,9,2)</f>
        <v>Sul</v>
      </c>
      <c r="G1449" s="15">
        <v>42175</v>
      </c>
      <c r="H1449">
        <f t="shared" si="111"/>
        <v>7</v>
      </c>
      <c r="I1449">
        <f t="shared" si="112"/>
        <v>20</v>
      </c>
      <c r="J1449">
        <f t="shared" si="113"/>
        <v>6</v>
      </c>
      <c r="K1449">
        <f t="shared" si="114"/>
        <v>2015</v>
      </c>
      <c r="M1449">
        <v>9</v>
      </c>
      <c r="N1449" t="str">
        <f>VLOOKUP(M1449,'Cadastro Vendedores'!A:H,2,2)</f>
        <v>Adriana</v>
      </c>
      <c r="O1449" s="2"/>
      <c r="P1449" s="16">
        <v>1900</v>
      </c>
      <c r="Q1449" s="2">
        <f>VLOOKUP(B1449,'Cadastro Produtos'!A:F,5,2)</f>
        <v>21</v>
      </c>
      <c r="R1449" s="14">
        <f t="shared" si="110"/>
        <v>39900</v>
      </c>
    </row>
    <row r="1450" spans="1:18" x14ac:dyDescent="0.25">
      <c r="A1450">
        <v>1449</v>
      </c>
      <c r="B1450">
        <v>8</v>
      </c>
      <c r="C1450" t="str">
        <f>VLOOKUP(B1450,'Cadastro Produtos'!A:E,2,2)</f>
        <v>Limonada Beta Zero 1 L</v>
      </c>
      <c r="D1450">
        <v>6</v>
      </c>
      <c r="E1450" t="str">
        <f>VLOOKUP(D1450,'Cadatro Clientes'!A:O,2,2)</f>
        <v>Lemonade</v>
      </c>
      <c r="F1450" t="str">
        <f>VLOOKUP(D1450,'Cadatro Clientes'!A:O,9,2)</f>
        <v>Norte</v>
      </c>
      <c r="G1450" s="15">
        <v>42175</v>
      </c>
      <c r="H1450">
        <f t="shared" si="111"/>
        <v>7</v>
      </c>
      <c r="I1450">
        <f t="shared" si="112"/>
        <v>20</v>
      </c>
      <c r="J1450">
        <f t="shared" si="113"/>
        <v>6</v>
      </c>
      <c r="K1450">
        <f t="shared" si="114"/>
        <v>2015</v>
      </c>
      <c r="M1450">
        <v>4</v>
      </c>
      <c r="N1450" t="str">
        <f>VLOOKUP(M1450,'Cadastro Vendedores'!A:H,2,2)</f>
        <v>José</v>
      </c>
      <c r="O1450" s="2"/>
      <c r="P1450" s="16">
        <v>4200</v>
      </c>
      <c r="Q1450" s="2">
        <f>VLOOKUP(B1450,'Cadastro Produtos'!A:F,5,2)</f>
        <v>12</v>
      </c>
      <c r="R1450" s="14">
        <f t="shared" si="110"/>
        <v>50400</v>
      </c>
    </row>
    <row r="1451" spans="1:18" x14ac:dyDescent="0.25">
      <c r="A1451">
        <v>1450</v>
      </c>
      <c r="B1451">
        <v>6</v>
      </c>
      <c r="C1451" t="str">
        <f>VLOOKUP(B1451,'Cadastro Produtos'!A:E,2,2)</f>
        <v>Limonada Beta com Açúcar 1 L</v>
      </c>
      <c r="D1451">
        <v>20</v>
      </c>
      <c r="E1451" t="str">
        <f>VLOOKUP(D1451,'Cadatro Clientes'!A:O,2,2)</f>
        <v>Brasil Saúde</v>
      </c>
      <c r="F1451" t="str">
        <f>VLOOKUP(D1451,'Cadatro Clientes'!A:O,9,2)</f>
        <v>Nordeste</v>
      </c>
      <c r="G1451" s="15">
        <v>42175</v>
      </c>
      <c r="H1451">
        <f t="shared" si="111"/>
        <v>7</v>
      </c>
      <c r="I1451">
        <f t="shared" si="112"/>
        <v>20</v>
      </c>
      <c r="J1451">
        <f t="shared" si="113"/>
        <v>6</v>
      </c>
      <c r="K1451">
        <f t="shared" si="114"/>
        <v>2015</v>
      </c>
      <c r="M1451">
        <v>7</v>
      </c>
      <c r="N1451" t="str">
        <f>VLOOKUP(M1451,'Cadastro Vendedores'!A:H,2,2)</f>
        <v>Benedito</v>
      </c>
      <c r="O1451" s="2"/>
      <c r="P1451" s="16">
        <v>2700</v>
      </c>
      <c r="Q1451" s="2">
        <f>VLOOKUP(B1451,'Cadastro Produtos'!A:F,5,2)</f>
        <v>12</v>
      </c>
      <c r="R1451" s="14">
        <f t="shared" si="110"/>
        <v>32400</v>
      </c>
    </row>
    <row r="1452" spans="1:18" x14ac:dyDescent="0.25">
      <c r="A1452">
        <v>1451</v>
      </c>
      <c r="B1452">
        <v>3</v>
      </c>
      <c r="C1452" t="str">
        <f>VLOOKUP(B1452,'Cadastro Produtos'!A:E,2,2)</f>
        <v>Limonada Alfa Zero 500 ml</v>
      </c>
      <c r="D1452">
        <v>3</v>
      </c>
      <c r="E1452" t="str">
        <f>VLOOKUP(D1452,'Cadatro Clientes'!A:O,2,2)</f>
        <v>Limonada Suíça Ltda</v>
      </c>
      <c r="F1452" t="str">
        <f>VLOOKUP(D1452,'Cadatro Clientes'!A:O,9,2)</f>
        <v>Nordeste</v>
      </c>
      <c r="G1452" s="15">
        <v>42177</v>
      </c>
      <c r="H1452">
        <f t="shared" si="111"/>
        <v>2</v>
      </c>
      <c r="I1452">
        <f t="shared" si="112"/>
        <v>22</v>
      </c>
      <c r="J1452">
        <f t="shared" si="113"/>
        <v>6</v>
      </c>
      <c r="K1452">
        <f t="shared" si="114"/>
        <v>2015</v>
      </c>
      <c r="M1452">
        <v>3</v>
      </c>
      <c r="N1452" t="str">
        <f>VLOOKUP(M1452,'Cadastro Vendedores'!A:H,2,2)</f>
        <v>Antônia</v>
      </c>
      <c r="O1452" s="2"/>
      <c r="P1452" s="16">
        <v>1700</v>
      </c>
      <c r="Q1452" s="2">
        <f>VLOOKUP(B1452,'Cadastro Produtos'!A:F,5,2)</f>
        <v>9</v>
      </c>
      <c r="R1452" s="14">
        <f t="shared" si="110"/>
        <v>15300</v>
      </c>
    </row>
    <row r="1453" spans="1:18" x14ac:dyDescent="0.25">
      <c r="A1453">
        <v>1452</v>
      </c>
      <c r="B1453">
        <v>8</v>
      </c>
      <c r="C1453" t="str">
        <f>VLOOKUP(B1453,'Cadastro Produtos'!A:E,2,2)</f>
        <v>Limonada Beta Zero 1 L</v>
      </c>
      <c r="D1453">
        <v>18</v>
      </c>
      <c r="E1453" t="str">
        <f>VLOOKUP(D1453,'Cadatro Clientes'!A:O,2,2)</f>
        <v>Rio Branco Limonada Ltda</v>
      </c>
      <c r="F1453" t="str">
        <f>VLOOKUP(D1453,'Cadatro Clientes'!A:O,9,2)</f>
        <v>Norte</v>
      </c>
      <c r="G1453" s="15">
        <v>42177</v>
      </c>
      <c r="H1453">
        <f t="shared" si="111"/>
        <v>2</v>
      </c>
      <c r="I1453">
        <f t="shared" si="112"/>
        <v>22</v>
      </c>
      <c r="J1453">
        <f t="shared" si="113"/>
        <v>6</v>
      </c>
      <c r="K1453">
        <f t="shared" si="114"/>
        <v>2015</v>
      </c>
      <c r="M1453">
        <v>2</v>
      </c>
      <c r="N1453" t="str">
        <f>VLOOKUP(M1453,'Cadastro Vendedores'!A:H,2,2)</f>
        <v>Luis</v>
      </c>
      <c r="O1453" s="2"/>
      <c r="P1453" s="16">
        <v>2500</v>
      </c>
      <c r="Q1453" s="2">
        <f>VLOOKUP(B1453,'Cadastro Produtos'!A:F,5,2)</f>
        <v>12</v>
      </c>
      <c r="R1453" s="14">
        <f t="shared" si="110"/>
        <v>30000</v>
      </c>
    </row>
    <row r="1454" spans="1:18" x14ac:dyDescent="0.25">
      <c r="A1454">
        <v>1453</v>
      </c>
      <c r="B1454">
        <v>5</v>
      </c>
      <c r="C1454" t="str">
        <f>VLOOKUP(B1454,'Cadastro Produtos'!A:E,2,2)</f>
        <v>Limonada Alfa com Açúcar 1 L</v>
      </c>
      <c r="D1454">
        <v>6</v>
      </c>
      <c r="E1454" t="str">
        <f>VLOOKUP(D1454,'Cadatro Clientes'!A:O,2,2)</f>
        <v>Lemonade</v>
      </c>
      <c r="F1454" t="str">
        <f>VLOOKUP(D1454,'Cadatro Clientes'!A:O,9,2)</f>
        <v>Norte</v>
      </c>
      <c r="G1454" s="15">
        <v>42177</v>
      </c>
      <c r="H1454">
        <f t="shared" si="111"/>
        <v>2</v>
      </c>
      <c r="I1454">
        <f t="shared" si="112"/>
        <v>22</v>
      </c>
      <c r="J1454">
        <f t="shared" si="113"/>
        <v>6</v>
      </c>
      <c r="K1454">
        <f t="shared" si="114"/>
        <v>2015</v>
      </c>
      <c r="M1454">
        <v>6</v>
      </c>
      <c r="N1454" t="str">
        <f>VLOOKUP(M1454,'Cadastro Vendedores'!A:H,2,2)</f>
        <v>Antônia</v>
      </c>
      <c r="O1454" s="2"/>
      <c r="P1454" s="16">
        <v>3400</v>
      </c>
      <c r="Q1454" s="2">
        <f>VLOOKUP(B1454,'Cadastro Produtos'!A:F,5,2)</f>
        <v>15</v>
      </c>
      <c r="R1454" s="14">
        <f t="shared" si="110"/>
        <v>51000</v>
      </c>
    </row>
    <row r="1455" spans="1:18" x14ac:dyDescent="0.25">
      <c r="A1455">
        <v>1454</v>
      </c>
      <c r="B1455">
        <v>7</v>
      </c>
      <c r="C1455" t="str">
        <f>VLOOKUP(B1455,'Cadastro Produtos'!A:E,2,2)</f>
        <v>Limonada Alfa Zero 1 L</v>
      </c>
      <c r="D1455">
        <v>11</v>
      </c>
      <c r="E1455" t="str">
        <f>VLOOKUP(D1455,'Cadatro Clientes'!A:O,2,2)</f>
        <v>Red Lemon</v>
      </c>
      <c r="F1455" t="str">
        <f>VLOOKUP(D1455,'Cadatro Clientes'!A:O,9,2)</f>
        <v>Sul</v>
      </c>
      <c r="G1455" s="15">
        <v>42177</v>
      </c>
      <c r="H1455">
        <f t="shared" si="111"/>
        <v>2</v>
      </c>
      <c r="I1455">
        <f t="shared" si="112"/>
        <v>22</v>
      </c>
      <c r="J1455">
        <f t="shared" si="113"/>
        <v>6</v>
      </c>
      <c r="K1455">
        <f t="shared" si="114"/>
        <v>2015</v>
      </c>
      <c r="M1455">
        <v>15</v>
      </c>
      <c r="N1455" t="str">
        <f>VLOOKUP(M1455,'Cadastro Vendedores'!A:H,2,2)</f>
        <v>Luis</v>
      </c>
      <c r="O1455" s="2"/>
      <c r="P1455" s="16">
        <v>1300</v>
      </c>
      <c r="Q1455" s="2">
        <f>VLOOKUP(B1455,'Cadastro Produtos'!A:F,5,2)</f>
        <v>15</v>
      </c>
      <c r="R1455" s="14">
        <f t="shared" si="110"/>
        <v>19500</v>
      </c>
    </row>
    <row r="1456" spans="1:18" x14ac:dyDescent="0.25">
      <c r="A1456">
        <v>1455</v>
      </c>
      <c r="B1456">
        <v>9</v>
      </c>
      <c r="C1456" t="str">
        <f>VLOOKUP(B1456,'Cadastro Produtos'!A:E,2,2)</f>
        <v>Limonada Alfa com Hortelã e Açúcar 1 L</v>
      </c>
      <c r="D1456">
        <v>10</v>
      </c>
      <c r="E1456" t="str">
        <f>VLOOKUP(D1456,'Cadatro Clientes'!A:O,2,2)</f>
        <v>Lemon Gator</v>
      </c>
      <c r="F1456" t="str">
        <f>VLOOKUP(D1456,'Cadatro Clientes'!A:O,9,2)</f>
        <v>Nordeste</v>
      </c>
      <c r="G1456" s="15">
        <v>42177</v>
      </c>
      <c r="H1456">
        <f t="shared" si="111"/>
        <v>2</v>
      </c>
      <c r="I1456">
        <f t="shared" si="112"/>
        <v>22</v>
      </c>
      <c r="J1456">
        <f t="shared" si="113"/>
        <v>6</v>
      </c>
      <c r="K1456">
        <f t="shared" si="114"/>
        <v>2015</v>
      </c>
      <c r="M1456">
        <v>16</v>
      </c>
      <c r="N1456" t="str">
        <f>VLOOKUP(M1456,'Cadastro Vendedores'!A:H,2,2)</f>
        <v>Jose</v>
      </c>
      <c r="O1456" s="2"/>
      <c r="P1456" s="16">
        <v>1800</v>
      </c>
      <c r="Q1456" s="2">
        <f>VLOOKUP(B1456,'Cadastro Produtos'!A:F,5,2)</f>
        <v>17.5</v>
      </c>
      <c r="R1456" s="14">
        <f t="shared" si="110"/>
        <v>31500</v>
      </c>
    </row>
    <row r="1457" spans="1:18" x14ac:dyDescent="0.25">
      <c r="A1457">
        <v>1456</v>
      </c>
      <c r="B1457">
        <v>7</v>
      </c>
      <c r="C1457" t="str">
        <f>VLOOKUP(B1457,'Cadastro Produtos'!A:E,2,2)</f>
        <v>Limonada Alfa Zero 1 L</v>
      </c>
      <c r="D1457">
        <v>3</v>
      </c>
      <c r="E1457" t="str">
        <f>VLOOKUP(D1457,'Cadatro Clientes'!A:O,2,2)</f>
        <v>Limonada Suíça Ltda</v>
      </c>
      <c r="F1457" t="str">
        <f>VLOOKUP(D1457,'Cadatro Clientes'!A:O,9,2)</f>
        <v>Nordeste</v>
      </c>
      <c r="G1457" s="15">
        <v>42178</v>
      </c>
      <c r="H1457">
        <f t="shared" si="111"/>
        <v>3</v>
      </c>
      <c r="I1457">
        <f t="shared" si="112"/>
        <v>23</v>
      </c>
      <c r="J1457">
        <f t="shared" si="113"/>
        <v>6</v>
      </c>
      <c r="K1457">
        <f t="shared" si="114"/>
        <v>2015</v>
      </c>
      <c r="M1457">
        <v>3</v>
      </c>
      <c r="N1457" t="str">
        <f>VLOOKUP(M1457,'Cadastro Vendedores'!A:H,2,2)</f>
        <v>Antônia</v>
      </c>
      <c r="O1457" s="2"/>
      <c r="P1457" s="16">
        <v>2500</v>
      </c>
      <c r="Q1457" s="2">
        <f>VLOOKUP(B1457,'Cadastro Produtos'!A:F,5,2)</f>
        <v>15</v>
      </c>
      <c r="R1457" s="14">
        <f t="shared" si="110"/>
        <v>37500</v>
      </c>
    </row>
    <row r="1458" spans="1:18" x14ac:dyDescent="0.25">
      <c r="A1458">
        <v>1457</v>
      </c>
      <c r="B1458">
        <v>10</v>
      </c>
      <c r="C1458" t="str">
        <f>VLOOKUP(B1458,'Cadastro Produtos'!A:E,2,2)</f>
        <v>Limonada Alfa com Hortelã Zero 1 L</v>
      </c>
      <c r="D1458">
        <v>1</v>
      </c>
      <c r="E1458" t="str">
        <f>VLOOKUP(D1458,'Cadatro Clientes'!A:O,2,2)</f>
        <v>Meu Suco de Limão</v>
      </c>
      <c r="F1458" t="str">
        <f>VLOOKUP(D1458,'Cadatro Clientes'!A:O,9,2)</f>
        <v>Norte</v>
      </c>
      <c r="G1458" s="15">
        <v>42178</v>
      </c>
      <c r="H1458">
        <f t="shared" si="111"/>
        <v>3</v>
      </c>
      <c r="I1458">
        <f t="shared" si="112"/>
        <v>23</v>
      </c>
      <c r="J1458">
        <f t="shared" si="113"/>
        <v>6</v>
      </c>
      <c r="K1458">
        <f t="shared" si="114"/>
        <v>2015</v>
      </c>
      <c r="M1458">
        <v>13</v>
      </c>
      <c r="N1458" t="str">
        <f>VLOOKUP(M1458,'Cadastro Vendedores'!A:H,2,2)</f>
        <v>Andre</v>
      </c>
      <c r="O1458" s="2"/>
      <c r="P1458" s="16">
        <v>2000</v>
      </c>
      <c r="Q1458" s="2">
        <f>VLOOKUP(B1458,'Cadastro Produtos'!A:F,5,2)</f>
        <v>21</v>
      </c>
      <c r="R1458" s="14">
        <f t="shared" si="110"/>
        <v>42000</v>
      </c>
    </row>
    <row r="1459" spans="1:18" x14ac:dyDescent="0.25">
      <c r="A1459">
        <v>1458</v>
      </c>
      <c r="B1459">
        <v>10</v>
      </c>
      <c r="C1459" t="str">
        <f>VLOOKUP(B1459,'Cadastro Produtos'!A:E,2,2)</f>
        <v>Limonada Alfa com Hortelã Zero 1 L</v>
      </c>
      <c r="D1459">
        <v>7</v>
      </c>
      <c r="E1459" t="str">
        <f>VLOOKUP(D1459,'Cadatro Clientes'!A:O,2,2)</f>
        <v>Limo</v>
      </c>
      <c r="F1459" t="str">
        <f>VLOOKUP(D1459,'Cadatro Clientes'!A:O,9,2)</f>
        <v>Centro-Oeste</v>
      </c>
      <c r="G1459" s="15">
        <v>42178</v>
      </c>
      <c r="H1459">
        <f t="shared" si="111"/>
        <v>3</v>
      </c>
      <c r="I1459">
        <f t="shared" si="112"/>
        <v>23</v>
      </c>
      <c r="J1459">
        <f t="shared" si="113"/>
        <v>6</v>
      </c>
      <c r="K1459">
        <f t="shared" si="114"/>
        <v>2015</v>
      </c>
      <c r="M1459">
        <v>6</v>
      </c>
      <c r="N1459" t="str">
        <f>VLOOKUP(M1459,'Cadastro Vendedores'!A:H,2,2)</f>
        <v>Antônia</v>
      </c>
      <c r="O1459" s="2"/>
      <c r="P1459" s="16">
        <v>800</v>
      </c>
      <c r="Q1459" s="2">
        <f>VLOOKUP(B1459,'Cadastro Produtos'!A:F,5,2)</f>
        <v>21</v>
      </c>
      <c r="R1459" s="14">
        <f t="shared" si="110"/>
        <v>16800</v>
      </c>
    </row>
    <row r="1460" spans="1:18" x14ac:dyDescent="0.25">
      <c r="A1460">
        <v>1459</v>
      </c>
      <c r="B1460">
        <v>2</v>
      </c>
      <c r="C1460" t="str">
        <f>VLOOKUP(B1460,'Cadastro Produtos'!A:E,2,2)</f>
        <v>Limonada Beta com Açúcar 500 ml</v>
      </c>
      <c r="D1460">
        <v>6</v>
      </c>
      <c r="E1460" t="str">
        <f>VLOOKUP(D1460,'Cadatro Clientes'!A:O,2,2)</f>
        <v>Lemonade</v>
      </c>
      <c r="F1460" t="str">
        <f>VLOOKUP(D1460,'Cadatro Clientes'!A:O,9,2)</f>
        <v>Norte</v>
      </c>
      <c r="G1460" s="15">
        <v>42178</v>
      </c>
      <c r="H1460">
        <f t="shared" si="111"/>
        <v>3</v>
      </c>
      <c r="I1460">
        <f t="shared" si="112"/>
        <v>23</v>
      </c>
      <c r="J1460">
        <f t="shared" si="113"/>
        <v>6</v>
      </c>
      <c r="K1460">
        <f t="shared" si="114"/>
        <v>2015</v>
      </c>
      <c r="M1460">
        <v>4</v>
      </c>
      <c r="N1460" t="str">
        <f>VLOOKUP(M1460,'Cadastro Vendedores'!A:H,2,2)</f>
        <v>José</v>
      </c>
      <c r="O1460" s="2"/>
      <c r="P1460" s="16">
        <v>2500</v>
      </c>
      <c r="Q1460" s="2">
        <f>VLOOKUP(B1460,'Cadastro Produtos'!A:F,5,2)</f>
        <v>6.5</v>
      </c>
      <c r="R1460" s="14">
        <f t="shared" si="110"/>
        <v>16250</v>
      </c>
    </row>
    <row r="1461" spans="1:18" x14ac:dyDescent="0.25">
      <c r="A1461">
        <v>1460</v>
      </c>
      <c r="B1461">
        <v>6</v>
      </c>
      <c r="C1461" t="str">
        <f>VLOOKUP(B1461,'Cadastro Produtos'!A:E,2,2)</f>
        <v>Limonada Beta com Açúcar 1 L</v>
      </c>
      <c r="D1461">
        <v>11</v>
      </c>
      <c r="E1461" t="str">
        <f>VLOOKUP(D1461,'Cadatro Clientes'!A:O,2,2)</f>
        <v>Red Lemon</v>
      </c>
      <c r="F1461" t="str">
        <f>VLOOKUP(D1461,'Cadatro Clientes'!A:O,9,2)</f>
        <v>Sul</v>
      </c>
      <c r="G1461" s="15">
        <v>42178</v>
      </c>
      <c r="H1461">
        <f t="shared" si="111"/>
        <v>3</v>
      </c>
      <c r="I1461">
        <f t="shared" si="112"/>
        <v>23</v>
      </c>
      <c r="J1461">
        <f t="shared" si="113"/>
        <v>6</v>
      </c>
      <c r="K1461">
        <f t="shared" si="114"/>
        <v>2015</v>
      </c>
      <c r="M1461">
        <v>6</v>
      </c>
      <c r="N1461" t="str">
        <f>VLOOKUP(M1461,'Cadastro Vendedores'!A:H,2,2)</f>
        <v>Antônia</v>
      </c>
      <c r="O1461" s="2"/>
      <c r="P1461" s="16">
        <v>1400</v>
      </c>
      <c r="Q1461" s="2">
        <f>VLOOKUP(B1461,'Cadastro Produtos'!A:F,5,2)</f>
        <v>12</v>
      </c>
      <c r="R1461" s="14">
        <f t="shared" si="110"/>
        <v>16800</v>
      </c>
    </row>
    <row r="1462" spans="1:18" x14ac:dyDescent="0.25">
      <c r="A1462">
        <v>1461</v>
      </c>
      <c r="B1462">
        <v>6</v>
      </c>
      <c r="C1462" t="str">
        <f>VLOOKUP(B1462,'Cadastro Produtos'!A:E,2,2)</f>
        <v>Limonada Beta com Açúcar 1 L</v>
      </c>
      <c r="D1462">
        <v>3</v>
      </c>
      <c r="E1462" t="str">
        <f>VLOOKUP(D1462,'Cadatro Clientes'!A:O,2,2)</f>
        <v>Limonada Suíça Ltda</v>
      </c>
      <c r="F1462" t="str">
        <f>VLOOKUP(D1462,'Cadatro Clientes'!A:O,9,2)</f>
        <v>Nordeste</v>
      </c>
      <c r="G1462" s="15">
        <v>42179</v>
      </c>
      <c r="H1462">
        <f t="shared" si="111"/>
        <v>4</v>
      </c>
      <c r="I1462">
        <f t="shared" si="112"/>
        <v>24</v>
      </c>
      <c r="J1462">
        <f t="shared" si="113"/>
        <v>6</v>
      </c>
      <c r="K1462">
        <f t="shared" si="114"/>
        <v>2015</v>
      </c>
      <c r="M1462">
        <v>13</v>
      </c>
      <c r="N1462" t="str">
        <f>VLOOKUP(M1462,'Cadastro Vendedores'!A:H,2,2)</f>
        <v>Andre</v>
      </c>
      <c r="O1462" s="2"/>
      <c r="P1462" s="16">
        <v>2000</v>
      </c>
      <c r="Q1462" s="2">
        <f>VLOOKUP(B1462,'Cadastro Produtos'!A:F,5,2)</f>
        <v>12</v>
      </c>
      <c r="R1462" s="14">
        <f t="shared" si="110"/>
        <v>24000</v>
      </c>
    </row>
    <row r="1463" spans="1:18" x14ac:dyDescent="0.25">
      <c r="A1463">
        <v>1462</v>
      </c>
      <c r="B1463">
        <v>8</v>
      </c>
      <c r="C1463" t="str">
        <f>VLOOKUP(B1463,'Cadastro Produtos'!A:E,2,2)</f>
        <v>Limonada Beta Zero 1 L</v>
      </c>
      <c r="D1463">
        <v>8</v>
      </c>
      <c r="E1463" t="str">
        <f>VLOOKUP(D1463,'Cadatro Clientes'!A:O,2,2)</f>
        <v>Refresko</v>
      </c>
      <c r="F1463" t="str">
        <f>VLOOKUP(D1463,'Cadatro Clientes'!A:O,9,2)</f>
        <v>Sul</v>
      </c>
      <c r="G1463" s="15">
        <v>42179</v>
      </c>
      <c r="H1463">
        <f t="shared" si="111"/>
        <v>4</v>
      </c>
      <c r="I1463">
        <f t="shared" si="112"/>
        <v>24</v>
      </c>
      <c r="J1463">
        <f t="shared" si="113"/>
        <v>6</v>
      </c>
      <c r="K1463">
        <f t="shared" si="114"/>
        <v>2015</v>
      </c>
      <c r="M1463">
        <v>15</v>
      </c>
      <c r="N1463" t="str">
        <f>VLOOKUP(M1463,'Cadastro Vendedores'!A:H,2,2)</f>
        <v>Luis</v>
      </c>
      <c r="O1463" s="2"/>
      <c r="P1463" s="16">
        <v>2900</v>
      </c>
      <c r="Q1463" s="2">
        <f>VLOOKUP(B1463,'Cadastro Produtos'!A:F,5,2)</f>
        <v>12</v>
      </c>
      <c r="R1463" s="14">
        <f t="shared" si="110"/>
        <v>34800</v>
      </c>
    </row>
    <row r="1464" spans="1:18" x14ac:dyDescent="0.25">
      <c r="A1464">
        <v>1463</v>
      </c>
      <c r="B1464">
        <v>4</v>
      </c>
      <c r="C1464" t="str">
        <f>VLOOKUP(B1464,'Cadastro Produtos'!A:E,2,2)</f>
        <v>Limonada Beta Zero 500 ml</v>
      </c>
      <c r="D1464">
        <v>17</v>
      </c>
      <c r="E1464" t="str">
        <f>VLOOKUP(D1464,'Cadatro Clientes'!A:O,2,2)</f>
        <v>Aracasuco</v>
      </c>
      <c r="F1464" t="str">
        <f>VLOOKUP(D1464,'Cadatro Clientes'!A:O,9,2)</f>
        <v>Nordeste</v>
      </c>
      <c r="G1464" s="15">
        <v>42179</v>
      </c>
      <c r="H1464">
        <f t="shared" si="111"/>
        <v>4</v>
      </c>
      <c r="I1464">
        <f t="shared" si="112"/>
        <v>24</v>
      </c>
      <c r="J1464">
        <f t="shared" si="113"/>
        <v>6</v>
      </c>
      <c r="K1464">
        <f t="shared" si="114"/>
        <v>2015</v>
      </c>
      <c r="M1464">
        <v>15</v>
      </c>
      <c r="N1464" t="str">
        <f>VLOOKUP(M1464,'Cadastro Vendedores'!A:H,2,2)</f>
        <v>Luis</v>
      </c>
      <c r="O1464" s="2"/>
      <c r="P1464" s="16">
        <v>3000</v>
      </c>
      <c r="Q1464" s="2">
        <f>VLOOKUP(B1464,'Cadastro Produtos'!A:F,5,2)</f>
        <v>7</v>
      </c>
      <c r="R1464" s="14">
        <f t="shared" si="110"/>
        <v>21000</v>
      </c>
    </row>
    <row r="1465" spans="1:18" x14ac:dyDescent="0.25">
      <c r="A1465">
        <v>1464</v>
      </c>
      <c r="B1465">
        <v>1</v>
      </c>
      <c r="C1465" t="str">
        <f>VLOOKUP(B1465,'Cadastro Produtos'!A:E,2,2)</f>
        <v>Limonada Alfa com Açúcar 500 ml</v>
      </c>
      <c r="D1465">
        <v>19</v>
      </c>
      <c r="E1465" t="str">
        <f>VLOOKUP(D1465,'Cadatro Clientes'!A:O,2,2)</f>
        <v>Lima Limão</v>
      </c>
      <c r="F1465" t="str">
        <f>VLOOKUP(D1465,'Cadatro Clientes'!A:O,9,2)</f>
        <v>Sudeste</v>
      </c>
      <c r="G1465" s="15">
        <v>42179</v>
      </c>
      <c r="H1465">
        <f t="shared" si="111"/>
        <v>4</v>
      </c>
      <c r="I1465">
        <f t="shared" si="112"/>
        <v>24</v>
      </c>
      <c r="J1465">
        <f t="shared" si="113"/>
        <v>6</v>
      </c>
      <c r="K1465">
        <f t="shared" si="114"/>
        <v>2015</v>
      </c>
      <c r="M1465">
        <v>8</v>
      </c>
      <c r="N1465" t="str">
        <f>VLOOKUP(M1465,'Cadastro Vendedores'!A:H,2,2)</f>
        <v>Sérgio</v>
      </c>
      <c r="O1465" s="2"/>
      <c r="P1465" s="16">
        <v>3600</v>
      </c>
      <c r="Q1465" s="2">
        <f>VLOOKUP(B1465,'Cadastro Produtos'!A:F,5,2)</f>
        <v>8.5</v>
      </c>
      <c r="R1465" s="14">
        <f t="shared" si="110"/>
        <v>30600</v>
      </c>
    </row>
    <row r="1466" spans="1:18" x14ac:dyDescent="0.25">
      <c r="A1466">
        <v>1465</v>
      </c>
      <c r="B1466">
        <v>7</v>
      </c>
      <c r="C1466" t="str">
        <f>VLOOKUP(B1466,'Cadastro Produtos'!A:E,2,2)</f>
        <v>Limonada Alfa Zero 1 L</v>
      </c>
      <c r="D1466">
        <v>12</v>
      </c>
      <c r="E1466" t="str">
        <f>VLOOKUP(D1466,'Cadatro Clientes'!A:O,2,2)</f>
        <v>Limão da Ilha</v>
      </c>
      <c r="F1466" t="str">
        <f>VLOOKUP(D1466,'Cadatro Clientes'!A:O,9,2)</f>
        <v>Sul</v>
      </c>
      <c r="G1466" s="15">
        <v>42179</v>
      </c>
      <c r="H1466">
        <f t="shared" si="111"/>
        <v>4</v>
      </c>
      <c r="I1466">
        <f t="shared" si="112"/>
        <v>24</v>
      </c>
      <c r="J1466">
        <f t="shared" si="113"/>
        <v>6</v>
      </c>
      <c r="K1466">
        <f t="shared" si="114"/>
        <v>2015</v>
      </c>
      <c r="M1466">
        <v>15</v>
      </c>
      <c r="N1466" t="str">
        <f>VLOOKUP(M1466,'Cadastro Vendedores'!A:H,2,2)</f>
        <v>Luis</v>
      </c>
      <c r="O1466" s="2"/>
      <c r="P1466" s="16">
        <v>1900</v>
      </c>
      <c r="Q1466" s="2">
        <f>VLOOKUP(B1466,'Cadastro Produtos'!A:F,5,2)</f>
        <v>15</v>
      </c>
      <c r="R1466" s="14">
        <f t="shared" si="110"/>
        <v>28500</v>
      </c>
    </row>
    <row r="1467" spans="1:18" x14ac:dyDescent="0.25">
      <c r="A1467">
        <v>1466</v>
      </c>
      <c r="B1467">
        <v>9</v>
      </c>
      <c r="C1467" t="str">
        <f>VLOOKUP(B1467,'Cadastro Produtos'!A:E,2,2)</f>
        <v>Limonada Alfa com Hortelã e Açúcar 1 L</v>
      </c>
      <c r="D1467">
        <v>14</v>
      </c>
      <c r="E1467" t="str">
        <f>VLOOKUP(D1467,'Cadatro Clientes'!A:O,2,2)</f>
        <v>Sprite</v>
      </c>
      <c r="F1467" t="str">
        <f>VLOOKUP(D1467,'Cadatro Clientes'!A:O,9,2)</f>
        <v>Norte</v>
      </c>
      <c r="G1467" s="15">
        <v>42180</v>
      </c>
      <c r="H1467">
        <f t="shared" si="111"/>
        <v>5</v>
      </c>
      <c r="I1467">
        <f t="shared" si="112"/>
        <v>25</v>
      </c>
      <c r="J1467">
        <f t="shared" si="113"/>
        <v>6</v>
      </c>
      <c r="K1467">
        <f t="shared" si="114"/>
        <v>2015</v>
      </c>
      <c r="M1467">
        <v>4</v>
      </c>
      <c r="N1467" t="str">
        <f>VLOOKUP(M1467,'Cadastro Vendedores'!A:H,2,2)</f>
        <v>José</v>
      </c>
      <c r="O1467" s="2"/>
      <c r="P1467" s="16">
        <v>2300</v>
      </c>
      <c r="Q1467" s="2">
        <f>VLOOKUP(B1467,'Cadastro Produtos'!A:F,5,2)</f>
        <v>17.5</v>
      </c>
      <c r="R1467" s="14">
        <f t="shared" si="110"/>
        <v>40250</v>
      </c>
    </row>
    <row r="1468" spans="1:18" x14ac:dyDescent="0.25">
      <c r="A1468">
        <v>1467</v>
      </c>
      <c r="B1468">
        <v>8</v>
      </c>
      <c r="C1468" t="str">
        <f>VLOOKUP(B1468,'Cadastro Produtos'!A:E,2,2)</f>
        <v>Limonada Beta Zero 1 L</v>
      </c>
      <c r="D1468">
        <v>3</v>
      </c>
      <c r="E1468" t="str">
        <f>VLOOKUP(D1468,'Cadatro Clientes'!A:O,2,2)</f>
        <v>Limonada Suíça Ltda</v>
      </c>
      <c r="F1468" t="str">
        <f>VLOOKUP(D1468,'Cadatro Clientes'!A:O,9,2)</f>
        <v>Nordeste</v>
      </c>
      <c r="G1468" s="15">
        <v>42181</v>
      </c>
      <c r="H1468">
        <f t="shared" si="111"/>
        <v>6</v>
      </c>
      <c r="I1468">
        <f t="shared" si="112"/>
        <v>26</v>
      </c>
      <c r="J1468">
        <f t="shared" si="113"/>
        <v>6</v>
      </c>
      <c r="K1468">
        <f t="shared" si="114"/>
        <v>2015</v>
      </c>
      <c r="M1468">
        <v>7</v>
      </c>
      <c r="N1468" t="str">
        <f>VLOOKUP(M1468,'Cadastro Vendedores'!A:H,2,2)</f>
        <v>Benedito</v>
      </c>
      <c r="O1468" s="2"/>
      <c r="P1468" s="16">
        <v>3200</v>
      </c>
      <c r="Q1468" s="2">
        <f>VLOOKUP(B1468,'Cadastro Produtos'!A:F,5,2)</f>
        <v>12</v>
      </c>
      <c r="R1468" s="14">
        <f t="shared" si="110"/>
        <v>38400</v>
      </c>
    </row>
    <row r="1469" spans="1:18" x14ac:dyDescent="0.25">
      <c r="A1469">
        <v>1468</v>
      </c>
      <c r="B1469">
        <v>10</v>
      </c>
      <c r="C1469" t="str">
        <f>VLOOKUP(B1469,'Cadastro Produtos'!A:E,2,2)</f>
        <v>Limonada Alfa com Hortelã Zero 1 L</v>
      </c>
      <c r="D1469">
        <v>6</v>
      </c>
      <c r="E1469" t="str">
        <f>VLOOKUP(D1469,'Cadatro Clientes'!A:O,2,2)</f>
        <v>Lemonade</v>
      </c>
      <c r="F1469" t="str">
        <f>VLOOKUP(D1469,'Cadatro Clientes'!A:O,9,2)</f>
        <v>Norte</v>
      </c>
      <c r="G1469" s="15">
        <v>42181</v>
      </c>
      <c r="H1469">
        <f t="shared" si="111"/>
        <v>6</v>
      </c>
      <c r="I1469">
        <f t="shared" si="112"/>
        <v>26</v>
      </c>
      <c r="J1469">
        <f t="shared" si="113"/>
        <v>6</v>
      </c>
      <c r="K1469">
        <f t="shared" si="114"/>
        <v>2015</v>
      </c>
      <c r="M1469">
        <v>15</v>
      </c>
      <c r="N1469" t="str">
        <f>VLOOKUP(M1469,'Cadastro Vendedores'!A:H,2,2)</f>
        <v>Luis</v>
      </c>
      <c r="O1469" s="2"/>
      <c r="P1469" s="16">
        <v>1200</v>
      </c>
      <c r="Q1469" s="2">
        <f>VLOOKUP(B1469,'Cadastro Produtos'!A:F,5,2)</f>
        <v>21</v>
      </c>
      <c r="R1469" s="14">
        <f t="shared" si="110"/>
        <v>25200</v>
      </c>
    </row>
    <row r="1470" spans="1:18" x14ac:dyDescent="0.25">
      <c r="A1470">
        <v>1469</v>
      </c>
      <c r="B1470">
        <v>3</v>
      </c>
      <c r="C1470" t="str">
        <f>VLOOKUP(B1470,'Cadastro Produtos'!A:E,2,2)</f>
        <v>Limonada Alfa Zero 500 ml</v>
      </c>
      <c r="D1470">
        <v>20</v>
      </c>
      <c r="E1470" t="str">
        <f>VLOOKUP(D1470,'Cadatro Clientes'!A:O,2,2)</f>
        <v>Brasil Saúde</v>
      </c>
      <c r="F1470" t="str">
        <f>VLOOKUP(D1470,'Cadatro Clientes'!A:O,9,2)</f>
        <v>Nordeste</v>
      </c>
      <c r="G1470" s="15">
        <v>42181</v>
      </c>
      <c r="H1470">
        <f t="shared" si="111"/>
        <v>6</v>
      </c>
      <c r="I1470">
        <f t="shared" si="112"/>
        <v>26</v>
      </c>
      <c r="J1470">
        <f t="shared" si="113"/>
        <v>6</v>
      </c>
      <c r="K1470">
        <f t="shared" si="114"/>
        <v>2015</v>
      </c>
      <c r="M1470">
        <v>15</v>
      </c>
      <c r="N1470" t="str">
        <f>VLOOKUP(M1470,'Cadastro Vendedores'!A:H,2,2)</f>
        <v>Luis</v>
      </c>
      <c r="O1470" s="2"/>
      <c r="P1470" s="16">
        <v>4800</v>
      </c>
      <c r="Q1470" s="2">
        <f>VLOOKUP(B1470,'Cadastro Produtos'!A:F,5,2)</f>
        <v>9</v>
      </c>
      <c r="R1470" s="14">
        <f t="shared" si="110"/>
        <v>43200</v>
      </c>
    </row>
    <row r="1471" spans="1:18" x14ac:dyDescent="0.25">
      <c r="A1471">
        <v>1470</v>
      </c>
      <c r="B1471">
        <v>3</v>
      </c>
      <c r="C1471" t="str">
        <f>VLOOKUP(B1471,'Cadastro Produtos'!A:E,2,2)</f>
        <v>Limonada Alfa Zero 500 ml</v>
      </c>
      <c r="D1471">
        <v>12</v>
      </c>
      <c r="E1471" t="str">
        <f>VLOOKUP(D1471,'Cadatro Clientes'!A:O,2,2)</f>
        <v>Limão da Ilha</v>
      </c>
      <c r="F1471" t="str">
        <f>VLOOKUP(D1471,'Cadatro Clientes'!A:O,9,2)</f>
        <v>Sul</v>
      </c>
      <c r="G1471" s="15">
        <v>42182</v>
      </c>
      <c r="H1471">
        <f t="shared" si="111"/>
        <v>7</v>
      </c>
      <c r="I1471">
        <f t="shared" si="112"/>
        <v>27</v>
      </c>
      <c r="J1471">
        <f t="shared" si="113"/>
        <v>6</v>
      </c>
      <c r="K1471">
        <f t="shared" si="114"/>
        <v>2015</v>
      </c>
      <c r="M1471">
        <v>9</v>
      </c>
      <c r="N1471" t="str">
        <f>VLOOKUP(M1471,'Cadastro Vendedores'!A:H,2,2)</f>
        <v>Adriana</v>
      </c>
      <c r="O1471" s="2"/>
      <c r="P1471" s="16">
        <v>2600</v>
      </c>
      <c r="Q1471" s="2">
        <f>VLOOKUP(B1471,'Cadastro Produtos'!A:F,5,2)</f>
        <v>9</v>
      </c>
      <c r="R1471" s="14">
        <f t="shared" si="110"/>
        <v>23400</v>
      </c>
    </row>
    <row r="1472" spans="1:18" x14ac:dyDescent="0.25">
      <c r="A1472">
        <v>1471</v>
      </c>
      <c r="B1472">
        <v>7</v>
      </c>
      <c r="C1472" t="str">
        <f>VLOOKUP(B1472,'Cadastro Produtos'!A:E,2,2)</f>
        <v>Limonada Alfa Zero 1 L</v>
      </c>
      <c r="D1472">
        <v>10</v>
      </c>
      <c r="E1472" t="str">
        <f>VLOOKUP(D1472,'Cadatro Clientes'!A:O,2,2)</f>
        <v>Lemon Gator</v>
      </c>
      <c r="F1472" t="str">
        <f>VLOOKUP(D1472,'Cadatro Clientes'!A:O,9,2)</f>
        <v>Nordeste</v>
      </c>
      <c r="G1472" s="15">
        <v>42182</v>
      </c>
      <c r="H1472">
        <f t="shared" si="111"/>
        <v>7</v>
      </c>
      <c r="I1472">
        <f t="shared" si="112"/>
        <v>27</v>
      </c>
      <c r="J1472">
        <f t="shared" si="113"/>
        <v>6</v>
      </c>
      <c r="K1472">
        <f t="shared" si="114"/>
        <v>2015</v>
      </c>
      <c r="M1472">
        <v>2</v>
      </c>
      <c r="N1472" t="str">
        <f>VLOOKUP(M1472,'Cadastro Vendedores'!A:H,2,2)</f>
        <v>Luis</v>
      </c>
      <c r="O1472" s="2"/>
      <c r="P1472" s="16">
        <v>1000</v>
      </c>
      <c r="Q1472" s="2">
        <f>VLOOKUP(B1472,'Cadastro Produtos'!A:F,5,2)</f>
        <v>15</v>
      </c>
      <c r="R1472" s="14">
        <f t="shared" si="110"/>
        <v>15000</v>
      </c>
    </row>
    <row r="1473" spans="1:18" x14ac:dyDescent="0.25">
      <c r="A1473">
        <v>1472</v>
      </c>
      <c r="B1473">
        <v>2</v>
      </c>
      <c r="C1473" t="str">
        <f>VLOOKUP(B1473,'Cadastro Produtos'!A:E,2,2)</f>
        <v>Limonada Beta com Açúcar 500 ml</v>
      </c>
      <c r="D1473">
        <v>1</v>
      </c>
      <c r="E1473" t="str">
        <f>VLOOKUP(D1473,'Cadatro Clientes'!A:O,2,2)</f>
        <v>Meu Suco de Limão</v>
      </c>
      <c r="F1473" t="str">
        <f>VLOOKUP(D1473,'Cadatro Clientes'!A:O,9,2)</f>
        <v>Norte</v>
      </c>
      <c r="G1473" s="15">
        <v>42183</v>
      </c>
      <c r="H1473">
        <f t="shared" si="111"/>
        <v>1</v>
      </c>
      <c r="I1473">
        <f t="shared" si="112"/>
        <v>28</v>
      </c>
      <c r="J1473">
        <f t="shared" si="113"/>
        <v>6</v>
      </c>
      <c r="K1473">
        <f t="shared" si="114"/>
        <v>2015</v>
      </c>
      <c r="M1473">
        <v>6</v>
      </c>
      <c r="N1473" t="str">
        <f>VLOOKUP(M1473,'Cadastro Vendedores'!A:H,2,2)</f>
        <v>Antônia</v>
      </c>
      <c r="O1473" s="2"/>
      <c r="P1473" s="16">
        <v>5000</v>
      </c>
      <c r="Q1473" s="2">
        <f>VLOOKUP(B1473,'Cadastro Produtos'!A:F,5,2)</f>
        <v>6.5</v>
      </c>
      <c r="R1473" s="14">
        <f t="shared" si="110"/>
        <v>32500</v>
      </c>
    </row>
    <row r="1474" spans="1:18" x14ac:dyDescent="0.25">
      <c r="A1474">
        <v>1473</v>
      </c>
      <c r="B1474">
        <v>1</v>
      </c>
      <c r="C1474" t="str">
        <f>VLOOKUP(B1474,'Cadastro Produtos'!A:E,2,2)</f>
        <v>Limonada Alfa com Açúcar 500 ml</v>
      </c>
      <c r="D1474">
        <v>7</v>
      </c>
      <c r="E1474" t="str">
        <f>VLOOKUP(D1474,'Cadatro Clientes'!A:O,2,2)</f>
        <v>Limo</v>
      </c>
      <c r="F1474" t="str">
        <f>VLOOKUP(D1474,'Cadatro Clientes'!A:O,9,2)</f>
        <v>Centro-Oeste</v>
      </c>
      <c r="G1474" s="15">
        <v>42183</v>
      </c>
      <c r="H1474">
        <f t="shared" si="111"/>
        <v>1</v>
      </c>
      <c r="I1474">
        <f t="shared" si="112"/>
        <v>28</v>
      </c>
      <c r="J1474">
        <f t="shared" si="113"/>
        <v>6</v>
      </c>
      <c r="K1474">
        <f t="shared" si="114"/>
        <v>2015</v>
      </c>
      <c r="M1474">
        <v>16</v>
      </c>
      <c r="N1474" t="str">
        <f>VLOOKUP(M1474,'Cadastro Vendedores'!A:H,2,2)</f>
        <v>Jose</v>
      </c>
      <c r="O1474" s="2"/>
      <c r="P1474" s="16">
        <v>2800</v>
      </c>
      <c r="Q1474" s="2">
        <f>VLOOKUP(B1474,'Cadastro Produtos'!A:F,5,2)</f>
        <v>8.5</v>
      </c>
      <c r="R1474" s="14">
        <f t="shared" ref="R1474:R1537" si="115">Q1474*P1474</f>
        <v>23800</v>
      </c>
    </row>
    <row r="1475" spans="1:18" x14ac:dyDescent="0.25">
      <c r="A1475">
        <v>1474</v>
      </c>
      <c r="B1475">
        <v>7</v>
      </c>
      <c r="C1475" t="str">
        <f>VLOOKUP(B1475,'Cadastro Produtos'!A:E,2,2)</f>
        <v>Limonada Alfa Zero 1 L</v>
      </c>
      <c r="D1475">
        <v>6</v>
      </c>
      <c r="E1475" t="str">
        <f>VLOOKUP(D1475,'Cadatro Clientes'!A:O,2,2)</f>
        <v>Lemonade</v>
      </c>
      <c r="F1475" t="str">
        <f>VLOOKUP(D1475,'Cadatro Clientes'!A:O,9,2)</f>
        <v>Norte</v>
      </c>
      <c r="G1475" s="15">
        <v>42183</v>
      </c>
      <c r="H1475">
        <f t="shared" ref="H1475:H1538" si="116">WEEKDAY(G1475)</f>
        <v>1</v>
      </c>
      <c r="I1475">
        <f t="shared" ref="I1475:I1538" si="117">DAY(G1475)</f>
        <v>28</v>
      </c>
      <c r="J1475">
        <f t="shared" ref="J1475:J1538" si="118">MONTH(G1475)</f>
        <v>6</v>
      </c>
      <c r="K1475">
        <f t="shared" ref="K1475:K1538" si="119">YEAR(G1475)</f>
        <v>2015</v>
      </c>
      <c r="M1475">
        <v>13</v>
      </c>
      <c r="N1475" t="str">
        <f>VLOOKUP(M1475,'Cadastro Vendedores'!A:H,2,2)</f>
        <v>Andre</v>
      </c>
      <c r="O1475" s="2"/>
      <c r="P1475" s="16">
        <v>1600</v>
      </c>
      <c r="Q1475" s="2">
        <f>VLOOKUP(B1475,'Cadastro Produtos'!A:F,5,2)</f>
        <v>15</v>
      </c>
      <c r="R1475" s="14">
        <f t="shared" si="115"/>
        <v>24000</v>
      </c>
    </row>
    <row r="1476" spans="1:18" x14ac:dyDescent="0.25">
      <c r="A1476">
        <v>1475</v>
      </c>
      <c r="B1476">
        <v>3</v>
      </c>
      <c r="C1476" t="str">
        <f>VLOOKUP(B1476,'Cadastro Produtos'!A:E,2,2)</f>
        <v>Limonada Alfa Zero 500 ml</v>
      </c>
      <c r="D1476">
        <v>6</v>
      </c>
      <c r="E1476" t="str">
        <f>VLOOKUP(D1476,'Cadatro Clientes'!A:O,2,2)</f>
        <v>Lemonade</v>
      </c>
      <c r="F1476" t="str">
        <f>VLOOKUP(D1476,'Cadatro Clientes'!A:O,9,2)</f>
        <v>Norte</v>
      </c>
      <c r="G1476" s="15">
        <v>42183</v>
      </c>
      <c r="H1476">
        <f t="shared" si="116"/>
        <v>1</v>
      </c>
      <c r="I1476">
        <f t="shared" si="117"/>
        <v>28</v>
      </c>
      <c r="J1476">
        <f t="shared" si="118"/>
        <v>6</v>
      </c>
      <c r="K1476">
        <f t="shared" si="119"/>
        <v>2015</v>
      </c>
      <c r="M1476">
        <v>16</v>
      </c>
      <c r="N1476" t="str">
        <f>VLOOKUP(M1476,'Cadastro Vendedores'!A:H,2,2)</f>
        <v>Jose</v>
      </c>
      <c r="O1476" s="2"/>
      <c r="P1476" s="16">
        <v>3100</v>
      </c>
      <c r="Q1476" s="2">
        <f>VLOOKUP(B1476,'Cadastro Produtos'!A:F,5,2)</f>
        <v>9</v>
      </c>
      <c r="R1476" s="14">
        <f t="shared" si="115"/>
        <v>27900</v>
      </c>
    </row>
    <row r="1477" spans="1:18" x14ac:dyDescent="0.25">
      <c r="A1477">
        <v>1476</v>
      </c>
      <c r="B1477">
        <v>5</v>
      </c>
      <c r="C1477" t="str">
        <f>VLOOKUP(B1477,'Cadastro Produtos'!A:E,2,2)</f>
        <v>Limonada Alfa com Açúcar 1 L</v>
      </c>
      <c r="D1477">
        <v>2</v>
      </c>
      <c r="E1477" t="str">
        <f>VLOOKUP(D1477,'Cadatro Clientes'!A:O,2,2)</f>
        <v>Limão S/A</v>
      </c>
      <c r="F1477" t="str">
        <f>VLOOKUP(D1477,'Cadatro Clientes'!A:O,9,2)</f>
        <v>Centro-Oeste</v>
      </c>
      <c r="G1477" s="15">
        <v>42186</v>
      </c>
      <c r="H1477">
        <f t="shared" si="116"/>
        <v>4</v>
      </c>
      <c r="I1477">
        <f t="shared" si="117"/>
        <v>1</v>
      </c>
      <c r="J1477">
        <f t="shared" si="118"/>
        <v>7</v>
      </c>
      <c r="K1477">
        <f t="shared" si="119"/>
        <v>2015</v>
      </c>
      <c r="M1477">
        <v>8</v>
      </c>
      <c r="N1477" t="str">
        <f>VLOOKUP(M1477,'Cadastro Vendedores'!A:H,2,2)</f>
        <v>Sérgio</v>
      </c>
      <c r="O1477" s="2"/>
      <c r="P1477" s="16">
        <v>2100</v>
      </c>
      <c r="Q1477" s="2">
        <f>VLOOKUP(B1477,'Cadastro Produtos'!A:F,5,2)</f>
        <v>15</v>
      </c>
      <c r="R1477" s="14">
        <f t="shared" si="115"/>
        <v>31500</v>
      </c>
    </row>
    <row r="1478" spans="1:18" x14ac:dyDescent="0.25">
      <c r="A1478">
        <v>1477</v>
      </c>
      <c r="B1478">
        <v>8</v>
      </c>
      <c r="C1478" t="str">
        <f>VLOOKUP(B1478,'Cadastro Produtos'!A:E,2,2)</f>
        <v>Limonada Beta Zero 1 L</v>
      </c>
      <c r="D1478">
        <v>19</v>
      </c>
      <c r="E1478" t="str">
        <f>VLOOKUP(D1478,'Cadatro Clientes'!A:O,2,2)</f>
        <v>Lima Limão</v>
      </c>
      <c r="F1478" t="str">
        <f>VLOOKUP(D1478,'Cadatro Clientes'!A:O,9,2)</f>
        <v>Sudeste</v>
      </c>
      <c r="G1478" s="15">
        <v>42186</v>
      </c>
      <c r="H1478">
        <f t="shared" si="116"/>
        <v>4</v>
      </c>
      <c r="I1478">
        <f t="shared" si="117"/>
        <v>1</v>
      </c>
      <c r="J1478">
        <f t="shared" si="118"/>
        <v>7</v>
      </c>
      <c r="K1478">
        <f t="shared" si="119"/>
        <v>2015</v>
      </c>
      <c r="M1478">
        <v>2</v>
      </c>
      <c r="N1478" t="str">
        <f>VLOOKUP(M1478,'Cadastro Vendedores'!A:H,2,2)</f>
        <v>Luis</v>
      </c>
      <c r="O1478" s="2"/>
      <c r="P1478" s="16">
        <v>1400</v>
      </c>
      <c r="Q1478" s="2">
        <f>VLOOKUP(B1478,'Cadastro Produtos'!A:F,5,2)</f>
        <v>12</v>
      </c>
      <c r="R1478" s="14">
        <f t="shared" si="115"/>
        <v>16800</v>
      </c>
    </row>
    <row r="1479" spans="1:18" x14ac:dyDescent="0.25">
      <c r="A1479">
        <v>1478</v>
      </c>
      <c r="B1479">
        <v>2</v>
      </c>
      <c r="C1479" t="str">
        <f>VLOOKUP(B1479,'Cadastro Produtos'!A:E,2,2)</f>
        <v>Limonada Beta com Açúcar 500 ml</v>
      </c>
      <c r="D1479">
        <v>6</v>
      </c>
      <c r="E1479" t="str">
        <f>VLOOKUP(D1479,'Cadatro Clientes'!A:O,2,2)</f>
        <v>Lemonade</v>
      </c>
      <c r="F1479" t="str">
        <f>VLOOKUP(D1479,'Cadatro Clientes'!A:O,9,2)</f>
        <v>Norte</v>
      </c>
      <c r="G1479" s="15">
        <v>42186</v>
      </c>
      <c r="H1479">
        <f t="shared" si="116"/>
        <v>4</v>
      </c>
      <c r="I1479">
        <f t="shared" si="117"/>
        <v>1</v>
      </c>
      <c r="J1479">
        <f t="shared" si="118"/>
        <v>7</v>
      </c>
      <c r="K1479">
        <f t="shared" si="119"/>
        <v>2015</v>
      </c>
      <c r="M1479">
        <v>13</v>
      </c>
      <c r="N1479" t="str">
        <f>VLOOKUP(M1479,'Cadastro Vendedores'!A:H,2,2)</f>
        <v>Andre</v>
      </c>
      <c r="O1479" s="2"/>
      <c r="P1479" s="16">
        <v>1400</v>
      </c>
      <c r="Q1479" s="2">
        <f>VLOOKUP(B1479,'Cadastro Produtos'!A:F,5,2)</f>
        <v>6.5</v>
      </c>
      <c r="R1479" s="14">
        <f t="shared" si="115"/>
        <v>9100</v>
      </c>
    </row>
    <row r="1480" spans="1:18" x14ac:dyDescent="0.25">
      <c r="A1480">
        <v>1479</v>
      </c>
      <c r="B1480">
        <v>1</v>
      </c>
      <c r="C1480" t="str">
        <f>VLOOKUP(B1480,'Cadastro Produtos'!A:E,2,2)</f>
        <v>Limonada Alfa com Açúcar 500 ml</v>
      </c>
      <c r="D1480">
        <v>12</v>
      </c>
      <c r="E1480" t="str">
        <f>VLOOKUP(D1480,'Cadatro Clientes'!A:O,2,2)</f>
        <v>Limão da Ilha</v>
      </c>
      <c r="F1480" t="str">
        <f>VLOOKUP(D1480,'Cadatro Clientes'!A:O,9,2)</f>
        <v>Sul</v>
      </c>
      <c r="G1480" s="15">
        <v>42186</v>
      </c>
      <c r="H1480">
        <f t="shared" si="116"/>
        <v>4</v>
      </c>
      <c r="I1480">
        <f t="shared" si="117"/>
        <v>1</v>
      </c>
      <c r="J1480">
        <f t="shared" si="118"/>
        <v>7</v>
      </c>
      <c r="K1480">
        <f t="shared" si="119"/>
        <v>2015</v>
      </c>
      <c r="M1480">
        <v>12</v>
      </c>
      <c r="N1480" t="str">
        <f>VLOOKUP(M1480,'Cadastro Vendedores'!A:H,2,2)</f>
        <v>Paulo</v>
      </c>
      <c r="O1480" s="2"/>
      <c r="P1480" s="16">
        <v>3000</v>
      </c>
      <c r="Q1480" s="2">
        <f>VLOOKUP(B1480,'Cadastro Produtos'!A:F,5,2)</f>
        <v>8.5</v>
      </c>
      <c r="R1480" s="14">
        <f t="shared" si="115"/>
        <v>25500</v>
      </c>
    </row>
    <row r="1481" spans="1:18" x14ac:dyDescent="0.25">
      <c r="A1481">
        <v>1480</v>
      </c>
      <c r="B1481">
        <v>3</v>
      </c>
      <c r="C1481" t="str">
        <f>VLOOKUP(B1481,'Cadastro Produtos'!A:E,2,2)</f>
        <v>Limonada Alfa Zero 500 ml</v>
      </c>
      <c r="D1481">
        <v>20</v>
      </c>
      <c r="E1481" t="str">
        <f>VLOOKUP(D1481,'Cadatro Clientes'!A:O,2,2)</f>
        <v>Brasil Saúde</v>
      </c>
      <c r="F1481" t="str">
        <f>VLOOKUP(D1481,'Cadatro Clientes'!A:O,9,2)</f>
        <v>Nordeste</v>
      </c>
      <c r="G1481" s="15">
        <v>42187</v>
      </c>
      <c r="H1481">
        <f t="shared" si="116"/>
        <v>5</v>
      </c>
      <c r="I1481">
        <f t="shared" si="117"/>
        <v>2</v>
      </c>
      <c r="J1481">
        <f t="shared" si="118"/>
        <v>7</v>
      </c>
      <c r="K1481">
        <f t="shared" si="119"/>
        <v>2015</v>
      </c>
      <c r="M1481">
        <v>13</v>
      </c>
      <c r="N1481" t="str">
        <f>VLOOKUP(M1481,'Cadastro Vendedores'!A:H,2,2)</f>
        <v>Andre</v>
      </c>
      <c r="O1481" s="2"/>
      <c r="P1481" s="16">
        <v>4400</v>
      </c>
      <c r="Q1481" s="2">
        <f>VLOOKUP(B1481,'Cadastro Produtos'!A:F,5,2)</f>
        <v>9</v>
      </c>
      <c r="R1481" s="14">
        <f t="shared" si="115"/>
        <v>39600</v>
      </c>
    </row>
    <row r="1482" spans="1:18" x14ac:dyDescent="0.25">
      <c r="A1482">
        <v>1481</v>
      </c>
      <c r="B1482">
        <v>7</v>
      </c>
      <c r="C1482" t="str">
        <f>VLOOKUP(B1482,'Cadastro Produtos'!A:E,2,2)</f>
        <v>Limonada Alfa Zero 1 L</v>
      </c>
      <c r="D1482">
        <v>20</v>
      </c>
      <c r="E1482" t="str">
        <f>VLOOKUP(D1482,'Cadatro Clientes'!A:O,2,2)</f>
        <v>Brasil Saúde</v>
      </c>
      <c r="F1482" t="str">
        <f>VLOOKUP(D1482,'Cadatro Clientes'!A:O,9,2)</f>
        <v>Nordeste</v>
      </c>
      <c r="G1482" s="15">
        <v>42187</v>
      </c>
      <c r="H1482">
        <f t="shared" si="116"/>
        <v>5</v>
      </c>
      <c r="I1482">
        <f t="shared" si="117"/>
        <v>2</v>
      </c>
      <c r="J1482">
        <f t="shared" si="118"/>
        <v>7</v>
      </c>
      <c r="K1482">
        <f t="shared" si="119"/>
        <v>2015</v>
      </c>
      <c r="M1482">
        <v>12</v>
      </c>
      <c r="N1482" t="str">
        <f>VLOOKUP(M1482,'Cadastro Vendedores'!A:H,2,2)</f>
        <v>Paulo</v>
      </c>
      <c r="O1482" s="2"/>
      <c r="P1482" s="16">
        <v>1500</v>
      </c>
      <c r="Q1482" s="2">
        <f>VLOOKUP(B1482,'Cadastro Produtos'!A:F,5,2)</f>
        <v>15</v>
      </c>
      <c r="R1482" s="14">
        <f t="shared" si="115"/>
        <v>22500</v>
      </c>
    </row>
    <row r="1483" spans="1:18" x14ac:dyDescent="0.25">
      <c r="A1483">
        <v>1482</v>
      </c>
      <c r="B1483">
        <v>4</v>
      </c>
      <c r="C1483" t="str">
        <f>VLOOKUP(B1483,'Cadastro Produtos'!A:E,2,2)</f>
        <v>Limonada Beta Zero 500 ml</v>
      </c>
      <c r="D1483">
        <v>8</v>
      </c>
      <c r="E1483" t="str">
        <f>VLOOKUP(D1483,'Cadatro Clientes'!A:O,2,2)</f>
        <v>Refresko</v>
      </c>
      <c r="F1483" t="str">
        <f>VLOOKUP(D1483,'Cadatro Clientes'!A:O,9,2)</f>
        <v>Sul</v>
      </c>
      <c r="G1483" s="15">
        <v>42188</v>
      </c>
      <c r="H1483">
        <f t="shared" si="116"/>
        <v>6</v>
      </c>
      <c r="I1483">
        <f t="shared" si="117"/>
        <v>3</v>
      </c>
      <c r="J1483">
        <f t="shared" si="118"/>
        <v>7</v>
      </c>
      <c r="K1483">
        <f t="shared" si="119"/>
        <v>2015</v>
      </c>
      <c r="M1483">
        <v>2</v>
      </c>
      <c r="N1483" t="str">
        <f>VLOOKUP(M1483,'Cadastro Vendedores'!A:H,2,2)</f>
        <v>Luis</v>
      </c>
      <c r="O1483" s="2"/>
      <c r="P1483" s="16">
        <v>4000</v>
      </c>
      <c r="Q1483" s="2">
        <f>VLOOKUP(B1483,'Cadastro Produtos'!A:F,5,2)</f>
        <v>7</v>
      </c>
      <c r="R1483" s="14">
        <f t="shared" si="115"/>
        <v>28000</v>
      </c>
    </row>
    <row r="1484" spans="1:18" x14ac:dyDescent="0.25">
      <c r="A1484">
        <v>1483</v>
      </c>
      <c r="B1484">
        <v>3</v>
      </c>
      <c r="C1484" t="str">
        <f>VLOOKUP(B1484,'Cadastro Produtos'!A:E,2,2)</f>
        <v>Limonada Alfa Zero 500 ml</v>
      </c>
      <c r="D1484">
        <v>16</v>
      </c>
      <c r="E1484" t="str">
        <f>VLOOKUP(D1484,'Cadatro Clientes'!A:O,2,2)</f>
        <v>Norte Suco</v>
      </c>
      <c r="F1484" t="str">
        <f>VLOOKUP(D1484,'Cadatro Clientes'!A:O,9,2)</f>
        <v>Nordeste</v>
      </c>
      <c r="G1484" s="15">
        <v>42188</v>
      </c>
      <c r="H1484">
        <f t="shared" si="116"/>
        <v>6</v>
      </c>
      <c r="I1484">
        <f t="shared" si="117"/>
        <v>3</v>
      </c>
      <c r="J1484">
        <f t="shared" si="118"/>
        <v>7</v>
      </c>
      <c r="K1484">
        <f t="shared" si="119"/>
        <v>2015</v>
      </c>
      <c r="M1484">
        <v>6</v>
      </c>
      <c r="N1484" t="str">
        <f>VLOOKUP(M1484,'Cadastro Vendedores'!A:H,2,2)</f>
        <v>Antônia</v>
      </c>
      <c r="O1484" s="2"/>
      <c r="P1484" s="16">
        <v>2600</v>
      </c>
      <c r="Q1484" s="2">
        <f>VLOOKUP(B1484,'Cadastro Produtos'!A:F,5,2)</f>
        <v>9</v>
      </c>
      <c r="R1484" s="14">
        <f t="shared" si="115"/>
        <v>23400</v>
      </c>
    </row>
    <row r="1485" spans="1:18" x14ac:dyDescent="0.25">
      <c r="A1485">
        <v>1484</v>
      </c>
      <c r="B1485">
        <v>1</v>
      </c>
      <c r="C1485" t="str">
        <f>VLOOKUP(B1485,'Cadastro Produtos'!A:E,2,2)</f>
        <v>Limonada Alfa com Açúcar 500 ml</v>
      </c>
      <c r="D1485">
        <v>6</v>
      </c>
      <c r="E1485" t="str">
        <f>VLOOKUP(D1485,'Cadatro Clientes'!A:O,2,2)</f>
        <v>Lemonade</v>
      </c>
      <c r="F1485" t="str">
        <f>VLOOKUP(D1485,'Cadatro Clientes'!A:O,9,2)</f>
        <v>Norte</v>
      </c>
      <c r="G1485" s="15">
        <v>42188</v>
      </c>
      <c r="H1485">
        <f t="shared" si="116"/>
        <v>6</v>
      </c>
      <c r="I1485">
        <f t="shared" si="117"/>
        <v>3</v>
      </c>
      <c r="J1485">
        <f t="shared" si="118"/>
        <v>7</v>
      </c>
      <c r="K1485">
        <f t="shared" si="119"/>
        <v>2015</v>
      </c>
      <c r="M1485">
        <v>13</v>
      </c>
      <c r="N1485" t="str">
        <f>VLOOKUP(M1485,'Cadastro Vendedores'!A:H,2,2)</f>
        <v>Andre</v>
      </c>
      <c r="O1485" s="2"/>
      <c r="P1485" s="16">
        <v>1200</v>
      </c>
      <c r="Q1485" s="2">
        <f>VLOOKUP(B1485,'Cadastro Produtos'!A:F,5,2)</f>
        <v>8.5</v>
      </c>
      <c r="R1485" s="14">
        <f t="shared" si="115"/>
        <v>10200</v>
      </c>
    </row>
    <row r="1486" spans="1:18" x14ac:dyDescent="0.25">
      <c r="A1486">
        <v>1485</v>
      </c>
      <c r="B1486">
        <v>9</v>
      </c>
      <c r="C1486" t="str">
        <f>VLOOKUP(B1486,'Cadastro Produtos'!A:E,2,2)</f>
        <v>Limonada Alfa com Hortelã e Açúcar 1 L</v>
      </c>
      <c r="D1486">
        <v>17</v>
      </c>
      <c r="E1486" t="str">
        <f>VLOOKUP(D1486,'Cadatro Clientes'!A:O,2,2)</f>
        <v>Aracasuco</v>
      </c>
      <c r="F1486" t="str">
        <f>VLOOKUP(D1486,'Cadatro Clientes'!A:O,9,2)</f>
        <v>Nordeste</v>
      </c>
      <c r="G1486" s="15">
        <v>42188</v>
      </c>
      <c r="H1486">
        <f t="shared" si="116"/>
        <v>6</v>
      </c>
      <c r="I1486">
        <f t="shared" si="117"/>
        <v>3</v>
      </c>
      <c r="J1486">
        <f t="shared" si="118"/>
        <v>7</v>
      </c>
      <c r="K1486">
        <f t="shared" si="119"/>
        <v>2015</v>
      </c>
      <c r="M1486">
        <v>15</v>
      </c>
      <c r="N1486" t="str">
        <f>VLOOKUP(M1486,'Cadastro Vendedores'!A:H,2,2)</f>
        <v>Luis</v>
      </c>
      <c r="O1486" s="2"/>
      <c r="P1486" s="16">
        <v>1700</v>
      </c>
      <c r="Q1486" s="2">
        <f>VLOOKUP(B1486,'Cadastro Produtos'!A:F,5,2)</f>
        <v>17.5</v>
      </c>
      <c r="R1486" s="14">
        <f t="shared" si="115"/>
        <v>29750</v>
      </c>
    </row>
    <row r="1487" spans="1:18" x14ac:dyDescent="0.25">
      <c r="A1487">
        <v>1486</v>
      </c>
      <c r="B1487">
        <v>9</v>
      </c>
      <c r="C1487" t="str">
        <f>VLOOKUP(B1487,'Cadastro Produtos'!A:E,2,2)</f>
        <v>Limonada Alfa com Hortelã e Açúcar 1 L</v>
      </c>
      <c r="D1487">
        <v>3</v>
      </c>
      <c r="E1487" t="str">
        <f>VLOOKUP(D1487,'Cadatro Clientes'!A:O,2,2)</f>
        <v>Limonada Suíça Ltda</v>
      </c>
      <c r="F1487" t="str">
        <f>VLOOKUP(D1487,'Cadatro Clientes'!A:O,9,2)</f>
        <v>Nordeste</v>
      </c>
      <c r="G1487" s="15">
        <v>42189</v>
      </c>
      <c r="H1487">
        <f t="shared" si="116"/>
        <v>7</v>
      </c>
      <c r="I1487">
        <f t="shared" si="117"/>
        <v>4</v>
      </c>
      <c r="J1487">
        <f t="shared" si="118"/>
        <v>7</v>
      </c>
      <c r="K1487">
        <f t="shared" si="119"/>
        <v>2015</v>
      </c>
      <c r="M1487">
        <v>9</v>
      </c>
      <c r="N1487" t="str">
        <f>VLOOKUP(M1487,'Cadastro Vendedores'!A:H,2,2)</f>
        <v>Adriana</v>
      </c>
      <c r="O1487" s="2"/>
      <c r="P1487" s="16">
        <v>1300</v>
      </c>
      <c r="Q1487" s="2">
        <f>VLOOKUP(B1487,'Cadastro Produtos'!A:F,5,2)</f>
        <v>17.5</v>
      </c>
      <c r="R1487" s="14">
        <f t="shared" si="115"/>
        <v>22750</v>
      </c>
    </row>
    <row r="1488" spans="1:18" x14ac:dyDescent="0.25">
      <c r="A1488">
        <v>1487</v>
      </c>
      <c r="B1488">
        <v>6</v>
      </c>
      <c r="C1488" t="str">
        <f>VLOOKUP(B1488,'Cadastro Produtos'!A:E,2,2)</f>
        <v>Limonada Beta com Açúcar 1 L</v>
      </c>
      <c r="D1488">
        <v>3</v>
      </c>
      <c r="E1488" t="str">
        <f>VLOOKUP(D1488,'Cadatro Clientes'!A:O,2,2)</f>
        <v>Limonada Suíça Ltda</v>
      </c>
      <c r="F1488" t="str">
        <f>VLOOKUP(D1488,'Cadatro Clientes'!A:O,9,2)</f>
        <v>Nordeste</v>
      </c>
      <c r="G1488" s="15">
        <v>42190</v>
      </c>
      <c r="H1488">
        <f t="shared" si="116"/>
        <v>1</v>
      </c>
      <c r="I1488">
        <f t="shared" si="117"/>
        <v>5</v>
      </c>
      <c r="J1488">
        <f t="shared" si="118"/>
        <v>7</v>
      </c>
      <c r="K1488">
        <f t="shared" si="119"/>
        <v>2015</v>
      </c>
      <c r="M1488">
        <v>6</v>
      </c>
      <c r="N1488" t="str">
        <f>VLOOKUP(M1488,'Cadastro Vendedores'!A:H,2,2)</f>
        <v>Antônia</v>
      </c>
      <c r="O1488" s="2"/>
      <c r="P1488" s="16">
        <v>2000</v>
      </c>
      <c r="Q1488" s="2">
        <f>VLOOKUP(B1488,'Cadastro Produtos'!A:F,5,2)</f>
        <v>12</v>
      </c>
      <c r="R1488" s="14">
        <f t="shared" si="115"/>
        <v>24000</v>
      </c>
    </row>
    <row r="1489" spans="1:18" x14ac:dyDescent="0.25">
      <c r="A1489">
        <v>1488</v>
      </c>
      <c r="B1489">
        <v>4</v>
      </c>
      <c r="C1489" t="str">
        <f>VLOOKUP(B1489,'Cadastro Produtos'!A:E,2,2)</f>
        <v>Limonada Beta Zero 500 ml</v>
      </c>
      <c r="D1489">
        <v>20</v>
      </c>
      <c r="E1489" t="str">
        <f>VLOOKUP(D1489,'Cadatro Clientes'!A:O,2,2)</f>
        <v>Brasil Saúde</v>
      </c>
      <c r="F1489" t="str">
        <f>VLOOKUP(D1489,'Cadatro Clientes'!A:O,9,2)</f>
        <v>Nordeste</v>
      </c>
      <c r="G1489" s="15">
        <v>42190</v>
      </c>
      <c r="H1489">
        <f t="shared" si="116"/>
        <v>1</v>
      </c>
      <c r="I1489">
        <f t="shared" si="117"/>
        <v>5</v>
      </c>
      <c r="J1489">
        <f t="shared" si="118"/>
        <v>7</v>
      </c>
      <c r="K1489">
        <f t="shared" si="119"/>
        <v>2015</v>
      </c>
      <c r="M1489">
        <v>16</v>
      </c>
      <c r="N1489" t="str">
        <f>VLOOKUP(M1489,'Cadastro Vendedores'!A:H,2,2)</f>
        <v>Jose</v>
      </c>
      <c r="O1489" s="2"/>
      <c r="P1489" s="16">
        <v>2500</v>
      </c>
      <c r="Q1489" s="2">
        <f>VLOOKUP(B1489,'Cadastro Produtos'!A:F,5,2)</f>
        <v>7</v>
      </c>
      <c r="R1489" s="14">
        <f t="shared" si="115"/>
        <v>17500</v>
      </c>
    </row>
    <row r="1490" spans="1:18" x14ac:dyDescent="0.25">
      <c r="A1490">
        <v>1489</v>
      </c>
      <c r="B1490">
        <v>1</v>
      </c>
      <c r="C1490" t="str">
        <f>VLOOKUP(B1490,'Cadastro Produtos'!A:E,2,2)</f>
        <v>Limonada Alfa com Açúcar 500 ml</v>
      </c>
      <c r="D1490">
        <v>7</v>
      </c>
      <c r="E1490" t="str">
        <f>VLOOKUP(D1490,'Cadatro Clientes'!A:O,2,2)</f>
        <v>Limo</v>
      </c>
      <c r="F1490" t="str">
        <f>VLOOKUP(D1490,'Cadatro Clientes'!A:O,9,2)</f>
        <v>Centro-Oeste</v>
      </c>
      <c r="G1490" s="15">
        <v>42191</v>
      </c>
      <c r="H1490">
        <f t="shared" si="116"/>
        <v>2</v>
      </c>
      <c r="I1490">
        <f t="shared" si="117"/>
        <v>6</v>
      </c>
      <c r="J1490">
        <f t="shared" si="118"/>
        <v>7</v>
      </c>
      <c r="K1490">
        <f t="shared" si="119"/>
        <v>2015</v>
      </c>
      <c r="M1490">
        <v>3</v>
      </c>
      <c r="N1490" t="str">
        <f>VLOOKUP(M1490,'Cadastro Vendedores'!A:H,2,2)</f>
        <v>Antônia</v>
      </c>
      <c r="O1490" s="2"/>
      <c r="P1490" s="16">
        <v>2700</v>
      </c>
      <c r="Q1490" s="2">
        <f>VLOOKUP(B1490,'Cadastro Produtos'!A:F,5,2)</f>
        <v>8.5</v>
      </c>
      <c r="R1490" s="14">
        <f t="shared" si="115"/>
        <v>22950</v>
      </c>
    </row>
    <row r="1491" spans="1:18" x14ac:dyDescent="0.25">
      <c r="A1491">
        <v>1490</v>
      </c>
      <c r="B1491">
        <v>4</v>
      </c>
      <c r="C1491" t="str">
        <f>VLOOKUP(B1491,'Cadastro Produtos'!A:E,2,2)</f>
        <v>Limonada Beta Zero 500 ml</v>
      </c>
      <c r="D1491">
        <v>13</v>
      </c>
      <c r="E1491" t="str">
        <f>VLOOKUP(D1491,'Cadatro Clientes'!A:O,2,2)</f>
        <v>Monster Lemon</v>
      </c>
      <c r="F1491" t="str">
        <f>VLOOKUP(D1491,'Cadatro Clientes'!A:O,9,2)</f>
        <v>Nordeste</v>
      </c>
      <c r="G1491" s="15">
        <v>42191</v>
      </c>
      <c r="H1491">
        <f t="shared" si="116"/>
        <v>2</v>
      </c>
      <c r="I1491">
        <f t="shared" si="117"/>
        <v>6</v>
      </c>
      <c r="J1491">
        <f t="shared" si="118"/>
        <v>7</v>
      </c>
      <c r="K1491">
        <f t="shared" si="119"/>
        <v>2015</v>
      </c>
      <c r="M1491">
        <v>9</v>
      </c>
      <c r="N1491" t="str">
        <f>VLOOKUP(M1491,'Cadastro Vendedores'!A:H,2,2)</f>
        <v>Adriana</v>
      </c>
      <c r="O1491" s="2"/>
      <c r="P1491" s="16">
        <v>5100</v>
      </c>
      <c r="Q1491" s="2">
        <f>VLOOKUP(B1491,'Cadastro Produtos'!A:F,5,2)</f>
        <v>7</v>
      </c>
      <c r="R1491" s="14">
        <f t="shared" si="115"/>
        <v>35700</v>
      </c>
    </row>
    <row r="1492" spans="1:18" x14ac:dyDescent="0.25">
      <c r="A1492">
        <v>1491</v>
      </c>
      <c r="B1492">
        <v>9</v>
      </c>
      <c r="C1492" t="str">
        <f>VLOOKUP(B1492,'Cadastro Produtos'!A:E,2,2)</f>
        <v>Limonada Alfa com Hortelã e Açúcar 1 L</v>
      </c>
      <c r="D1492">
        <v>14</v>
      </c>
      <c r="E1492" t="str">
        <f>VLOOKUP(D1492,'Cadatro Clientes'!A:O,2,2)</f>
        <v>Sprite</v>
      </c>
      <c r="F1492" t="str">
        <f>VLOOKUP(D1492,'Cadatro Clientes'!A:O,9,2)</f>
        <v>Norte</v>
      </c>
      <c r="G1492" s="15">
        <v>42191</v>
      </c>
      <c r="H1492">
        <f t="shared" si="116"/>
        <v>2</v>
      </c>
      <c r="I1492">
        <f t="shared" si="117"/>
        <v>6</v>
      </c>
      <c r="J1492">
        <f t="shared" si="118"/>
        <v>7</v>
      </c>
      <c r="K1492">
        <f t="shared" si="119"/>
        <v>2015</v>
      </c>
      <c r="M1492">
        <v>9</v>
      </c>
      <c r="N1492" t="str">
        <f>VLOOKUP(M1492,'Cadastro Vendedores'!A:H,2,2)</f>
        <v>Adriana</v>
      </c>
      <c r="O1492" s="2"/>
      <c r="P1492" s="16">
        <v>1300</v>
      </c>
      <c r="Q1492" s="2">
        <f>VLOOKUP(B1492,'Cadastro Produtos'!A:F,5,2)</f>
        <v>17.5</v>
      </c>
      <c r="R1492" s="14">
        <f t="shared" si="115"/>
        <v>22750</v>
      </c>
    </row>
    <row r="1493" spans="1:18" x14ac:dyDescent="0.25">
      <c r="A1493">
        <v>1492</v>
      </c>
      <c r="B1493">
        <v>10</v>
      </c>
      <c r="C1493" t="str">
        <f>VLOOKUP(B1493,'Cadastro Produtos'!A:E,2,2)</f>
        <v>Limonada Alfa com Hortelã Zero 1 L</v>
      </c>
      <c r="D1493">
        <v>3</v>
      </c>
      <c r="E1493" t="str">
        <f>VLOOKUP(D1493,'Cadatro Clientes'!A:O,2,2)</f>
        <v>Limonada Suíça Ltda</v>
      </c>
      <c r="F1493" t="str">
        <f>VLOOKUP(D1493,'Cadatro Clientes'!A:O,9,2)</f>
        <v>Nordeste</v>
      </c>
      <c r="G1493" s="15">
        <v>42192</v>
      </c>
      <c r="H1493">
        <f t="shared" si="116"/>
        <v>3</v>
      </c>
      <c r="I1493">
        <f t="shared" si="117"/>
        <v>7</v>
      </c>
      <c r="J1493">
        <f t="shared" si="118"/>
        <v>7</v>
      </c>
      <c r="K1493">
        <f t="shared" si="119"/>
        <v>2015</v>
      </c>
      <c r="M1493">
        <v>9</v>
      </c>
      <c r="N1493" t="str">
        <f>VLOOKUP(M1493,'Cadastro Vendedores'!A:H,2,2)</f>
        <v>Adriana</v>
      </c>
      <c r="O1493" s="2"/>
      <c r="P1493" s="16">
        <v>2000</v>
      </c>
      <c r="Q1493" s="2">
        <f>VLOOKUP(B1493,'Cadastro Produtos'!A:F,5,2)</f>
        <v>21</v>
      </c>
      <c r="R1493" s="14">
        <f t="shared" si="115"/>
        <v>42000</v>
      </c>
    </row>
    <row r="1494" spans="1:18" x14ac:dyDescent="0.25">
      <c r="A1494">
        <v>1493</v>
      </c>
      <c r="B1494">
        <v>5</v>
      </c>
      <c r="C1494" t="str">
        <f>VLOOKUP(B1494,'Cadastro Produtos'!A:E,2,2)</f>
        <v>Limonada Alfa com Açúcar 1 L</v>
      </c>
      <c r="D1494">
        <v>6</v>
      </c>
      <c r="E1494" t="str">
        <f>VLOOKUP(D1494,'Cadatro Clientes'!A:O,2,2)</f>
        <v>Lemonade</v>
      </c>
      <c r="F1494" t="str">
        <f>VLOOKUP(D1494,'Cadatro Clientes'!A:O,9,2)</f>
        <v>Norte</v>
      </c>
      <c r="G1494" s="15">
        <v>42192</v>
      </c>
      <c r="H1494">
        <f t="shared" si="116"/>
        <v>3</v>
      </c>
      <c r="I1494">
        <f t="shared" si="117"/>
        <v>7</v>
      </c>
      <c r="J1494">
        <f t="shared" si="118"/>
        <v>7</v>
      </c>
      <c r="K1494">
        <f t="shared" si="119"/>
        <v>2015</v>
      </c>
      <c r="M1494">
        <v>6</v>
      </c>
      <c r="N1494" t="str">
        <f>VLOOKUP(M1494,'Cadastro Vendedores'!A:H,2,2)</f>
        <v>Antônia</v>
      </c>
      <c r="O1494" s="2"/>
      <c r="P1494" s="16">
        <v>2400</v>
      </c>
      <c r="Q1494" s="2">
        <f>VLOOKUP(B1494,'Cadastro Produtos'!A:F,5,2)</f>
        <v>15</v>
      </c>
      <c r="R1494" s="14">
        <f t="shared" si="115"/>
        <v>36000</v>
      </c>
    </row>
    <row r="1495" spans="1:18" x14ac:dyDescent="0.25">
      <c r="A1495">
        <v>1494</v>
      </c>
      <c r="B1495">
        <v>8</v>
      </c>
      <c r="C1495" t="str">
        <f>VLOOKUP(B1495,'Cadastro Produtos'!A:E,2,2)</f>
        <v>Limonada Beta Zero 1 L</v>
      </c>
      <c r="D1495">
        <v>12</v>
      </c>
      <c r="E1495" t="str">
        <f>VLOOKUP(D1495,'Cadatro Clientes'!A:O,2,2)</f>
        <v>Limão da Ilha</v>
      </c>
      <c r="F1495" t="str">
        <f>VLOOKUP(D1495,'Cadatro Clientes'!A:O,9,2)</f>
        <v>Sul</v>
      </c>
      <c r="G1495" s="15">
        <v>42192</v>
      </c>
      <c r="H1495">
        <f t="shared" si="116"/>
        <v>3</v>
      </c>
      <c r="I1495">
        <f t="shared" si="117"/>
        <v>7</v>
      </c>
      <c r="J1495">
        <f t="shared" si="118"/>
        <v>7</v>
      </c>
      <c r="K1495">
        <f t="shared" si="119"/>
        <v>2015</v>
      </c>
      <c r="M1495">
        <v>4</v>
      </c>
      <c r="N1495" t="str">
        <f>VLOOKUP(M1495,'Cadastro Vendedores'!A:H,2,2)</f>
        <v>José</v>
      </c>
      <c r="O1495" s="2"/>
      <c r="P1495" s="16">
        <v>1800</v>
      </c>
      <c r="Q1495" s="2">
        <f>VLOOKUP(B1495,'Cadastro Produtos'!A:F,5,2)</f>
        <v>12</v>
      </c>
      <c r="R1495" s="14">
        <f t="shared" si="115"/>
        <v>21600</v>
      </c>
    </row>
    <row r="1496" spans="1:18" x14ac:dyDescent="0.25">
      <c r="A1496">
        <v>1495</v>
      </c>
      <c r="B1496">
        <v>10</v>
      </c>
      <c r="C1496" t="str">
        <f>VLOOKUP(B1496,'Cadastro Produtos'!A:E,2,2)</f>
        <v>Limonada Alfa com Hortelã Zero 1 L</v>
      </c>
      <c r="D1496">
        <v>15</v>
      </c>
      <c r="E1496" t="str">
        <f>VLOOKUP(D1496,'Cadatro Clientes'!A:O,2,2)</f>
        <v>Limão do Mané</v>
      </c>
      <c r="F1496" t="str">
        <f>VLOOKUP(D1496,'Cadatro Clientes'!A:O,9,2)</f>
        <v>Sul</v>
      </c>
      <c r="G1496" s="15">
        <v>42192</v>
      </c>
      <c r="H1496">
        <f t="shared" si="116"/>
        <v>3</v>
      </c>
      <c r="I1496">
        <f t="shared" si="117"/>
        <v>7</v>
      </c>
      <c r="J1496">
        <f t="shared" si="118"/>
        <v>7</v>
      </c>
      <c r="K1496">
        <f t="shared" si="119"/>
        <v>2015</v>
      </c>
      <c r="M1496">
        <v>3</v>
      </c>
      <c r="N1496" t="str">
        <f>VLOOKUP(M1496,'Cadastro Vendedores'!A:H,2,2)</f>
        <v>Antônia</v>
      </c>
      <c r="O1496" s="2"/>
      <c r="P1496" s="16">
        <v>1300</v>
      </c>
      <c r="Q1496" s="2">
        <f>VLOOKUP(B1496,'Cadastro Produtos'!A:F,5,2)</f>
        <v>21</v>
      </c>
      <c r="R1496" s="14">
        <f t="shared" si="115"/>
        <v>27300</v>
      </c>
    </row>
    <row r="1497" spans="1:18" x14ac:dyDescent="0.25">
      <c r="A1497">
        <v>1496</v>
      </c>
      <c r="B1497">
        <v>10</v>
      </c>
      <c r="C1497" t="str">
        <f>VLOOKUP(B1497,'Cadastro Produtos'!A:E,2,2)</f>
        <v>Limonada Alfa com Hortelã Zero 1 L</v>
      </c>
      <c r="D1497">
        <v>1</v>
      </c>
      <c r="E1497" t="str">
        <f>VLOOKUP(D1497,'Cadatro Clientes'!A:O,2,2)</f>
        <v>Meu Suco de Limão</v>
      </c>
      <c r="F1497" t="str">
        <f>VLOOKUP(D1497,'Cadatro Clientes'!A:O,9,2)</f>
        <v>Norte</v>
      </c>
      <c r="G1497" s="15">
        <v>42193</v>
      </c>
      <c r="H1497">
        <f t="shared" si="116"/>
        <v>4</v>
      </c>
      <c r="I1497">
        <f t="shared" si="117"/>
        <v>8</v>
      </c>
      <c r="J1497">
        <f t="shared" si="118"/>
        <v>7</v>
      </c>
      <c r="K1497">
        <f t="shared" si="119"/>
        <v>2015</v>
      </c>
      <c r="M1497">
        <v>13</v>
      </c>
      <c r="N1497" t="str">
        <f>VLOOKUP(M1497,'Cadastro Vendedores'!A:H,2,2)</f>
        <v>Andre</v>
      </c>
      <c r="O1497" s="2"/>
      <c r="P1497" s="16">
        <v>2200</v>
      </c>
      <c r="Q1497" s="2">
        <f>VLOOKUP(B1497,'Cadastro Produtos'!A:F,5,2)</f>
        <v>21</v>
      </c>
      <c r="R1497" s="14">
        <f t="shared" si="115"/>
        <v>46200</v>
      </c>
    </row>
    <row r="1498" spans="1:18" x14ac:dyDescent="0.25">
      <c r="A1498">
        <v>1497</v>
      </c>
      <c r="B1498">
        <v>7</v>
      </c>
      <c r="C1498" t="str">
        <f>VLOOKUP(B1498,'Cadastro Produtos'!A:E,2,2)</f>
        <v>Limonada Alfa Zero 1 L</v>
      </c>
      <c r="D1498">
        <v>7</v>
      </c>
      <c r="E1498" t="str">
        <f>VLOOKUP(D1498,'Cadatro Clientes'!A:O,2,2)</f>
        <v>Limo</v>
      </c>
      <c r="F1498" t="str">
        <f>VLOOKUP(D1498,'Cadatro Clientes'!A:O,9,2)</f>
        <v>Centro-Oeste</v>
      </c>
      <c r="G1498" s="15">
        <v>42193</v>
      </c>
      <c r="H1498">
        <f t="shared" si="116"/>
        <v>4</v>
      </c>
      <c r="I1498">
        <f t="shared" si="117"/>
        <v>8</v>
      </c>
      <c r="J1498">
        <f t="shared" si="118"/>
        <v>7</v>
      </c>
      <c r="K1498">
        <f t="shared" si="119"/>
        <v>2015</v>
      </c>
      <c r="M1498">
        <v>15</v>
      </c>
      <c r="N1498" t="str">
        <f>VLOOKUP(M1498,'Cadastro Vendedores'!A:H,2,2)</f>
        <v>Luis</v>
      </c>
      <c r="O1498" s="2"/>
      <c r="P1498" s="16">
        <v>2600</v>
      </c>
      <c r="Q1498" s="2">
        <f>VLOOKUP(B1498,'Cadastro Produtos'!A:F,5,2)</f>
        <v>15</v>
      </c>
      <c r="R1498" s="14">
        <f t="shared" si="115"/>
        <v>39000</v>
      </c>
    </row>
    <row r="1499" spans="1:18" x14ac:dyDescent="0.25">
      <c r="A1499">
        <v>1498</v>
      </c>
      <c r="B1499">
        <v>7</v>
      </c>
      <c r="C1499" t="str">
        <f>VLOOKUP(B1499,'Cadastro Produtos'!A:E,2,2)</f>
        <v>Limonada Alfa Zero 1 L</v>
      </c>
      <c r="D1499">
        <v>16</v>
      </c>
      <c r="E1499" t="str">
        <f>VLOOKUP(D1499,'Cadatro Clientes'!A:O,2,2)</f>
        <v>Norte Suco</v>
      </c>
      <c r="F1499" t="str">
        <f>VLOOKUP(D1499,'Cadatro Clientes'!A:O,9,2)</f>
        <v>Nordeste</v>
      </c>
      <c r="G1499" s="15">
        <v>42193</v>
      </c>
      <c r="H1499">
        <f t="shared" si="116"/>
        <v>4</v>
      </c>
      <c r="I1499">
        <f t="shared" si="117"/>
        <v>8</v>
      </c>
      <c r="J1499">
        <f t="shared" si="118"/>
        <v>7</v>
      </c>
      <c r="K1499">
        <f t="shared" si="119"/>
        <v>2015</v>
      </c>
      <c r="M1499">
        <v>4</v>
      </c>
      <c r="N1499" t="str">
        <f>VLOOKUP(M1499,'Cadastro Vendedores'!A:H,2,2)</f>
        <v>José</v>
      </c>
      <c r="O1499" s="2"/>
      <c r="P1499" s="16">
        <v>2000</v>
      </c>
      <c r="Q1499" s="2">
        <f>VLOOKUP(B1499,'Cadastro Produtos'!A:F,5,2)</f>
        <v>15</v>
      </c>
      <c r="R1499" s="14">
        <f t="shared" si="115"/>
        <v>30000</v>
      </c>
    </row>
    <row r="1500" spans="1:18" x14ac:dyDescent="0.25">
      <c r="A1500">
        <v>1499</v>
      </c>
      <c r="B1500">
        <v>9</v>
      </c>
      <c r="C1500" t="str">
        <f>VLOOKUP(B1500,'Cadastro Produtos'!A:E,2,2)</f>
        <v>Limonada Alfa com Hortelã e Açúcar 1 L</v>
      </c>
      <c r="D1500">
        <v>1</v>
      </c>
      <c r="E1500" t="str">
        <f>VLOOKUP(D1500,'Cadatro Clientes'!A:O,2,2)</f>
        <v>Meu Suco de Limão</v>
      </c>
      <c r="F1500" t="str">
        <f>VLOOKUP(D1500,'Cadatro Clientes'!A:O,9,2)</f>
        <v>Norte</v>
      </c>
      <c r="G1500" s="15">
        <v>42194</v>
      </c>
      <c r="H1500">
        <f t="shared" si="116"/>
        <v>5</v>
      </c>
      <c r="I1500">
        <f t="shared" si="117"/>
        <v>9</v>
      </c>
      <c r="J1500">
        <f t="shared" si="118"/>
        <v>7</v>
      </c>
      <c r="K1500">
        <f t="shared" si="119"/>
        <v>2015</v>
      </c>
      <c r="M1500">
        <v>16</v>
      </c>
      <c r="N1500" t="str">
        <f>VLOOKUP(M1500,'Cadastro Vendedores'!A:H,2,2)</f>
        <v>Jose</v>
      </c>
      <c r="O1500" s="2"/>
      <c r="P1500" s="16">
        <v>800</v>
      </c>
      <c r="Q1500" s="2">
        <f>VLOOKUP(B1500,'Cadastro Produtos'!A:F,5,2)</f>
        <v>17.5</v>
      </c>
      <c r="R1500" s="14">
        <f t="shared" si="115"/>
        <v>14000</v>
      </c>
    </row>
    <row r="1501" spans="1:18" x14ac:dyDescent="0.25">
      <c r="A1501">
        <v>1500</v>
      </c>
      <c r="B1501">
        <v>2</v>
      </c>
      <c r="C1501" t="str">
        <f>VLOOKUP(B1501,'Cadastro Produtos'!A:E,2,2)</f>
        <v>Limonada Beta com Açúcar 500 ml</v>
      </c>
      <c r="D1501">
        <v>18</v>
      </c>
      <c r="E1501" t="str">
        <f>VLOOKUP(D1501,'Cadatro Clientes'!A:O,2,2)</f>
        <v>Rio Branco Limonada Ltda</v>
      </c>
      <c r="F1501" t="str">
        <f>VLOOKUP(D1501,'Cadatro Clientes'!A:O,9,2)</f>
        <v>Norte</v>
      </c>
      <c r="G1501" s="15">
        <v>42194</v>
      </c>
      <c r="H1501">
        <f t="shared" si="116"/>
        <v>5</v>
      </c>
      <c r="I1501">
        <f t="shared" si="117"/>
        <v>9</v>
      </c>
      <c r="J1501">
        <f t="shared" si="118"/>
        <v>7</v>
      </c>
      <c r="K1501">
        <f t="shared" si="119"/>
        <v>2015</v>
      </c>
      <c r="M1501">
        <v>15</v>
      </c>
      <c r="N1501" t="str">
        <f>VLOOKUP(M1501,'Cadastro Vendedores'!A:H,2,2)</f>
        <v>Luis</v>
      </c>
      <c r="O1501" s="2"/>
      <c r="P1501" s="16">
        <v>4500</v>
      </c>
      <c r="Q1501" s="2">
        <f>VLOOKUP(B1501,'Cadastro Produtos'!A:F,5,2)</f>
        <v>6.5</v>
      </c>
      <c r="R1501" s="14">
        <f t="shared" si="115"/>
        <v>29250</v>
      </c>
    </row>
    <row r="1502" spans="1:18" x14ac:dyDescent="0.25">
      <c r="A1502">
        <v>1501</v>
      </c>
      <c r="B1502">
        <v>2</v>
      </c>
      <c r="C1502" t="str">
        <f>VLOOKUP(B1502,'Cadastro Produtos'!A:E,2,2)</f>
        <v>Limonada Beta com Açúcar 500 ml</v>
      </c>
      <c r="D1502">
        <v>19</v>
      </c>
      <c r="E1502" t="str">
        <f>VLOOKUP(D1502,'Cadatro Clientes'!A:O,2,2)</f>
        <v>Lima Limão</v>
      </c>
      <c r="F1502" t="str">
        <f>VLOOKUP(D1502,'Cadatro Clientes'!A:O,9,2)</f>
        <v>Sudeste</v>
      </c>
      <c r="G1502" s="15">
        <v>42194</v>
      </c>
      <c r="H1502">
        <f t="shared" si="116"/>
        <v>5</v>
      </c>
      <c r="I1502">
        <f t="shared" si="117"/>
        <v>9</v>
      </c>
      <c r="J1502">
        <f t="shared" si="118"/>
        <v>7</v>
      </c>
      <c r="K1502">
        <f t="shared" si="119"/>
        <v>2015</v>
      </c>
      <c r="M1502">
        <v>12</v>
      </c>
      <c r="N1502" t="str">
        <f>VLOOKUP(M1502,'Cadastro Vendedores'!A:H,2,2)</f>
        <v>Paulo</v>
      </c>
      <c r="O1502" s="2"/>
      <c r="P1502" s="16">
        <v>3900</v>
      </c>
      <c r="Q1502" s="2">
        <f>VLOOKUP(B1502,'Cadastro Produtos'!A:F,5,2)</f>
        <v>6.5</v>
      </c>
      <c r="R1502" s="14">
        <f t="shared" si="115"/>
        <v>25350</v>
      </c>
    </row>
    <row r="1503" spans="1:18" x14ac:dyDescent="0.25">
      <c r="A1503">
        <v>1502</v>
      </c>
      <c r="B1503">
        <v>2</v>
      </c>
      <c r="C1503" t="str">
        <f>VLOOKUP(B1503,'Cadastro Produtos'!A:E,2,2)</f>
        <v>Limonada Beta com Açúcar 500 ml</v>
      </c>
      <c r="D1503">
        <v>12</v>
      </c>
      <c r="E1503" t="str">
        <f>VLOOKUP(D1503,'Cadatro Clientes'!A:O,2,2)</f>
        <v>Limão da Ilha</v>
      </c>
      <c r="F1503" t="str">
        <f>VLOOKUP(D1503,'Cadatro Clientes'!A:O,9,2)</f>
        <v>Sul</v>
      </c>
      <c r="G1503" s="15">
        <v>42194</v>
      </c>
      <c r="H1503">
        <f t="shared" si="116"/>
        <v>5</v>
      </c>
      <c r="I1503">
        <f t="shared" si="117"/>
        <v>9</v>
      </c>
      <c r="J1503">
        <f t="shared" si="118"/>
        <v>7</v>
      </c>
      <c r="K1503">
        <f t="shared" si="119"/>
        <v>2015</v>
      </c>
      <c r="M1503">
        <v>16</v>
      </c>
      <c r="N1503" t="str">
        <f>VLOOKUP(M1503,'Cadastro Vendedores'!A:H,2,2)</f>
        <v>Jose</v>
      </c>
      <c r="O1503" s="2"/>
      <c r="P1503" s="16">
        <v>3200</v>
      </c>
      <c r="Q1503" s="2">
        <f>VLOOKUP(B1503,'Cadastro Produtos'!A:F,5,2)</f>
        <v>6.5</v>
      </c>
      <c r="R1503" s="14">
        <f t="shared" si="115"/>
        <v>20800</v>
      </c>
    </row>
    <row r="1504" spans="1:18" x14ac:dyDescent="0.25">
      <c r="A1504">
        <v>1503</v>
      </c>
      <c r="B1504">
        <v>5</v>
      </c>
      <c r="C1504" t="str">
        <f>VLOOKUP(B1504,'Cadastro Produtos'!A:E,2,2)</f>
        <v>Limonada Alfa com Açúcar 1 L</v>
      </c>
      <c r="D1504">
        <v>15</v>
      </c>
      <c r="E1504" t="str">
        <f>VLOOKUP(D1504,'Cadatro Clientes'!A:O,2,2)</f>
        <v>Limão do Mané</v>
      </c>
      <c r="F1504" t="str">
        <f>VLOOKUP(D1504,'Cadatro Clientes'!A:O,9,2)</f>
        <v>Sul</v>
      </c>
      <c r="G1504" s="15">
        <v>42194</v>
      </c>
      <c r="H1504">
        <f t="shared" si="116"/>
        <v>5</v>
      </c>
      <c r="I1504">
        <f t="shared" si="117"/>
        <v>9</v>
      </c>
      <c r="J1504">
        <f t="shared" si="118"/>
        <v>7</v>
      </c>
      <c r="K1504">
        <f t="shared" si="119"/>
        <v>2015</v>
      </c>
      <c r="M1504">
        <v>6</v>
      </c>
      <c r="N1504" t="str">
        <f>VLOOKUP(M1504,'Cadastro Vendedores'!A:H,2,2)</f>
        <v>Antônia</v>
      </c>
      <c r="O1504" s="2"/>
      <c r="P1504" s="16">
        <v>3000</v>
      </c>
      <c r="Q1504" s="2">
        <f>VLOOKUP(B1504,'Cadastro Produtos'!A:F,5,2)</f>
        <v>15</v>
      </c>
      <c r="R1504" s="14">
        <f t="shared" si="115"/>
        <v>45000</v>
      </c>
    </row>
    <row r="1505" spans="1:18" x14ac:dyDescent="0.25">
      <c r="A1505">
        <v>1504</v>
      </c>
      <c r="B1505">
        <v>3</v>
      </c>
      <c r="C1505" t="str">
        <f>VLOOKUP(B1505,'Cadastro Produtos'!A:E,2,2)</f>
        <v>Limonada Alfa Zero 500 ml</v>
      </c>
      <c r="D1505">
        <v>5</v>
      </c>
      <c r="E1505" t="str">
        <f>VLOOKUP(D1505,'Cadatro Clientes'!A:O,2,2)</f>
        <v>Axé com Limão</v>
      </c>
      <c r="F1505" t="str">
        <f>VLOOKUP(D1505,'Cadatro Clientes'!A:O,9,2)</f>
        <v>Nordeste</v>
      </c>
      <c r="G1505" s="15">
        <v>42195</v>
      </c>
      <c r="H1505">
        <f t="shared" si="116"/>
        <v>6</v>
      </c>
      <c r="I1505">
        <f t="shared" si="117"/>
        <v>10</v>
      </c>
      <c r="J1505">
        <f t="shared" si="118"/>
        <v>7</v>
      </c>
      <c r="K1505">
        <f t="shared" si="119"/>
        <v>2015</v>
      </c>
      <c r="M1505">
        <v>13</v>
      </c>
      <c r="N1505" t="str">
        <f>VLOOKUP(M1505,'Cadastro Vendedores'!A:H,2,2)</f>
        <v>Andre</v>
      </c>
      <c r="O1505" s="2"/>
      <c r="P1505" s="16">
        <v>2100</v>
      </c>
      <c r="Q1505" s="2">
        <f>VLOOKUP(B1505,'Cadastro Produtos'!A:F,5,2)</f>
        <v>9</v>
      </c>
      <c r="R1505" s="14">
        <f t="shared" si="115"/>
        <v>18900</v>
      </c>
    </row>
    <row r="1506" spans="1:18" x14ac:dyDescent="0.25">
      <c r="A1506">
        <v>1505</v>
      </c>
      <c r="B1506">
        <v>1</v>
      </c>
      <c r="C1506" t="str">
        <f>VLOOKUP(B1506,'Cadastro Produtos'!A:E,2,2)</f>
        <v>Limonada Alfa com Açúcar 500 ml</v>
      </c>
      <c r="D1506">
        <v>19</v>
      </c>
      <c r="E1506" t="str">
        <f>VLOOKUP(D1506,'Cadatro Clientes'!A:O,2,2)</f>
        <v>Lima Limão</v>
      </c>
      <c r="F1506" t="str">
        <f>VLOOKUP(D1506,'Cadatro Clientes'!A:O,9,2)</f>
        <v>Sudeste</v>
      </c>
      <c r="G1506" s="15">
        <v>42195</v>
      </c>
      <c r="H1506">
        <f t="shared" si="116"/>
        <v>6</v>
      </c>
      <c r="I1506">
        <f t="shared" si="117"/>
        <v>10</v>
      </c>
      <c r="J1506">
        <f t="shared" si="118"/>
        <v>7</v>
      </c>
      <c r="K1506">
        <f t="shared" si="119"/>
        <v>2015</v>
      </c>
      <c r="M1506">
        <v>8</v>
      </c>
      <c r="N1506" t="str">
        <f>VLOOKUP(M1506,'Cadastro Vendedores'!A:H,2,2)</f>
        <v>Sérgio</v>
      </c>
      <c r="O1506" s="2"/>
      <c r="P1506" s="16">
        <v>2000</v>
      </c>
      <c r="Q1506" s="2">
        <f>VLOOKUP(B1506,'Cadastro Produtos'!A:F,5,2)</f>
        <v>8.5</v>
      </c>
      <c r="R1506" s="14">
        <f t="shared" si="115"/>
        <v>17000</v>
      </c>
    </row>
    <row r="1507" spans="1:18" x14ac:dyDescent="0.25">
      <c r="A1507">
        <v>1506</v>
      </c>
      <c r="B1507">
        <v>3</v>
      </c>
      <c r="C1507" t="str">
        <f>VLOOKUP(B1507,'Cadastro Produtos'!A:E,2,2)</f>
        <v>Limonada Alfa Zero 500 ml</v>
      </c>
      <c r="D1507">
        <v>1</v>
      </c>
      <c r="E1507" t="str">
        <f>VLOOKUP(D1507,'Cadatro Clientes'!A:O,2,2)</f>
        <v>Meu Suco de Limão</v>
      </c>
      <c r="F1507" t="str">
        <f>VLOOKUP(D1507,'Cadatro Clientes'!A:O,9,2)</f>
        <v>Norte</v>
      </c>
      <c r="G1507" s="15">
        <v>42196</v>
      </c>
      <c r="H1507">
        <f t="shared" si="116"/>
        <v>7</v>
      </c>
      <c r="I1507">
        <f t="shared" si="117"/>
        <v>11</v>
      </c>
      <c r="J1507">
        <f t="shared" si="118"/>
        <v>7</v>
      </c>
      <c r="K1507">
        <f t="shared" si="119"/>
        <v>2015</v>
      </c>
      <c r="M1507">
        <v>6</v>
      </c>
      <c r="N1507" t="str">
        <f>VLOOKUP(M1507,'Cadastro Vendedores'!A:H,2,2)</f>
        <v>Antônia</v>
      </c>
      <c r="O1507" s="2"/>
      <c r="P1507" s="16">
        <v>2600</v>
      </c>
      <c r="Q1507" s="2">
        <f>VLOOKUP(B1507,'Cadastro Produtos'!A:F,5,2)</f>
        <v>9</v>
      </c>
      <c r="R1507" s="14">
        <f t="shared" si="115"/>
        <v>23400</v>
      </c>
    </row>
    <row r="1508" spans="1:18" x14ac:dyDescent="0.25">
      <c r="A1508">
        <v>1507</v>
      </c>
      <c r="B1508">
        <v>1</v>
      </c>
      <c r="C1508" t="str">
        <f>VLOOKUP(B1508,'Cadastro Produtos'!A:E,2,2)</f>
        <v>Limonada Alfa com Açúcar 500 ml</v>
      </c>
      <c r="D1508">
        <v>16</v>
      </c>
      <c r="E1508" t="str">
        <f>VLOOKUP(D1508,'Cadatro Clientes'!A:O,2,2)</f>
        <v>Norte Suco</v>
      </c>
      <c r="F1508" t="str">
        <f>VLOOKUP(D1508,'Cadatro Clientes'!A:O,9,2)</f>
        <v>Nordeste</v>
      </c>
      <c r="G1508" s="15">
        <v>42196</v>
      </c>
      <c r="H1508">
        <f t="shared" si="116"/>
        <v>7</v>
      </c>
      <c r="I1508">
        <f t="shared" si="117"/>
        <v>11</v>
      </c>
      <c r="J1508">
        <f t="shared" si="118"/>
        <v>7</v>
      </c>
      <c r="K1508">
        <f t="shared" si="119"/>
        <v>2015</v>
      </c>
      <c r="M1508">
        <v>12</v>
      </c>
      <c r="N1508" t="str">
        <f>VLOOKUP(M1508,'Cadastro Vendedores'!A:H,2,2)</f>
        <v>Paulo</v>
      </c>
      <c r="O1508" s="2"/>
      <c r="P1508" s="16">
        <v>5100</v>
      </c>
      <c r="Q1508" s="2">
        <f>VLOOKUP(B1508,'Cadastro Produtos'!A:F,5,2)</f>
        <v>8.5</v>
      </c>
      <c r="R1508" s="14">
        <f t="shared" si="115"/>
        <v>43350</v>
      </c>
    </row>
    <row r="1509" spans="1:18" x14ac:dyDescent="0.25">
      <c r="A1509">
        <v>1508</v>
      </c>
      <c r="B1509">
        <v>2</v>
      </c>
      <c r="C1509" t="str">
        <f>VLOOKUP(B1509,'Cadastro Produtos'!A:E,2,2)</f>
        <v>Limonada Beta com Açúcar 500 ml</v>
      </c>
      <c r="D1509">
        <v>9</v>
      </c>
      <c r="E1509" t="str">
        <f>VLOOKUP(D1509,'Cadatro Clientes'!A:O,2,2)</f>
        <v>Fresh Lemon</v>
      </c>
      <c r="F1509" t="str">
        <f>VLOOKUP(D1509,'Cadatro Clientes'!A:O,9,2)</f>
        <v>Sudeste</v>
      </c>
      <c r="G1509" s="15">
        <v>42196</v>
      </c>
      <c r="H1509">
        <f t="shared" si="116"/>
        <v>7</v>
      </c>
      <c r="I1509">
        <f t="shared" si="117"/>
        <v>11</v>
      </c>
      <c r="J1509">
        <f t="shared" si="118"/>
        <v>7</v>
      </c>
      <c r="K1509">
        <f t="shared" si="119"/>
        <v>2015</v>
      </c>
      <c r="M1509">
        <v>8</v>
      </c>
      <c r="N1509" t="str">
        <f>VLOOKUP(M1509,'Cadastro Vendedores'!A:H,2,2)</f>
        <v>Sérgio</v>
      </c>
      <c r="O1509" s="2"/>
      <c r="P1509" s="16">
        <v>1800</v>
      </c>
      <c r="Q1509" s="2">
        <f>VLOOKUP(B1509,'Cadastro Produtos'!A:F,5,2)</f>
        <v>6.5</v>
      </c>
      <c r="R1509" s="14">
        <f t="shared" si="115"/>
        <v>11700</v>
      </c>
    </row>
    <row r="1510" spans="1:18" x14ac:dyDescent="0.25">
      <c r="A1510">
        <v>1509</v>
      </c>
      <c r="B1510">
        <v>2</v>
      </c>
      <c r="C1510" t="str">
        <f>VLOOKUP(B1510,'Cadastro Produtos'!A:E,2,2)</f>
        <v>Limonada Beta com Açúcar 500 ml</v>
      </c>
      <c r="D1510">
        <v>10</v>
      </c>
      <c r="E1510" t="str">
        <f>VLOOKUP(D1510,'Cadatro Clientes'!A:O,2,2)</f>
        <v>Lemon Gator</v>
      </c>
      <c r="F1510" t="str">
        <f>VLOOKUP(D1510,'Cadatro Clientes'!A:O,9,2)</f>
        <v>Nordeste</v>
      </c>
      <c r="G1510" s="15">
        <v>42196</v>
      </c>
      <c r="H1510">
        <f t="shared" si="116"/>
        <v>7</v>
      </c>
      <c r="I1510">
        <f t="shared" si="117"/>
        <v>11</v>
      </c>
      <c r="J1510">
        <f t="shared" si="118"/>
        <v>7</v>
      </c>
      <c r="K1510">
        <f t="shared" si="119"/>
        <v>2015</v>
      </c>
      <c r="M1510">
        <v>3</v>
      </c>
      <c r="N1510" t="str">
        <f>VLOOKUP(M1510,'Cadastro Vendedores'!A:H,2,2)</f>
        <v>Antônia</v>
      </c>
      <c r="O1510" s="2"/>
      <c r="P1510" s="16">
        <v>4300</v>
      </c>
      <c r="Q1510" s="2">
        <f>VLOOKUP(B1510,'Cadastro Produtos'!A:F,5,2)</f>
        <v>6.5</v>
      </c>
      <c r="R1510" s="14">
        <f t="shared" si="115"/>
        <v>27950</v>
      </c>
    </row>
    <row r="1511" spans="1:18" x14ac:dyDescent="0.25">
      <c r="A1511">
        <v>1510</v>
      </c>
      <c r="B1511">
        <v>7</v>
      </c>
      <c r="C1511" t="str">
        <f>VLOOKUP(B1511,'Cadastro Produtos'!A:E,2,2)</f>
        <v>Limonada Alfa Zero 1 L</v>
      </c>
      <c r="D1511">
        <v>1</v>
      </c>
      <c r="E1511" t="str">
        <f>VLOOKUP(D1511,'Cadatro Clientes'!A:O,2,2)</f>
        <v>Meu Suco de Limão</v>
      </c>
      <c r="F1511" t="str">
        <f>VLOOKUP(D1511,'Cadatro Clientes'!A:O,9,2)</f>
        <v>Norte</v>
      </c>
      <c r="G1511" s="15">
        <v>42197</v>
      </c>
      <c r="H1511">
        <f t="shared" si="116"/>
        <v>1</v>
      </c>
      <c r="I1511">
        <f t="shared" si="117"/>
        <v>12</v>
      </c>
      <c r="J1511">
        <f t="shared" si="118"/>
        <v>7</v>
      </c>
      <c r="K1511">
        <f t="shared" si="119"/>
        <v>2015</v>
      </c>
      <c r="M1511">
        <v>16</v>
      </c>
      <c r="N1511" t="str">
        <f>VLOOKUP(M1511,'Cadastro Vendedores'!A:H,2,2)</f>
        <v>Jose</v>
      </c>
      <c r="O1511" s="2"/>
      <c r="P1511" s="16">
        <v>1700</v>
      </c>
      <c r="Q1511" s="2">
        <f>VLOOKUP(B1511,'Cadastro Produtos'!A:F,5,2)</f>
        <v>15</v>
      </c>
      <c r="R1511" s="14">
        <f t="shared" si="115"/>
        <v>25500</v>
      </c>
    </row>
    <row r="1512" spans="1:18" x14ac:dyDescent="0.25">
      <c r="A1512">
        <v>1511</v>
      </c>
      <c r="B1512">
        <v>7</v>
      </c>
      <c r="C1512" t="str">
        <f>VLOOKUP(B1512,'Cadastro Produtos'!A:E,2,2)</f>
        <v>Limonada Alfa Zero 1 L</v>
      </c>
      <c r="D1512">
        <v>7</v>
      </c>
      <c r="E1512" t="str">
        <f>VLOOKUP(D1512,'Cadatro Clientes'!A:O,2,2)</f>
        <v>Limo</v>
      </c>
      <c r="F1512" t="str">
        <f>VLOOKUP(D1512,'Cadatro Clientes'!A:O,9,2)</f>
        <v>Centro-Oeste</v>
      </c>
      <c r="G1512" s="15">
        <v>42197</v>
      </c>
      <c r="H1512">
        <f t="shared" si="116"/>
        <v>1</v>
      </c>
      <c r="I1512">
        <f t="shared" si="117"/>
        <v>12</v>
      </c>
      <c r="J1512">
        <f t="shared" si="118"/>
        <v>7</v>
      </c>
      <c r="K1512">
        <f t="shared" si="119"/>
        <v>2015</v>
      </c>
      <c r="M1512">
        <v>3</v>
      </c>
      <c r="N1512" t="str">
        <f>VLOOKUP(M1512,'Cadastro Vendedores'!A:H,2,2)</f>
        <v>Antônia</v>
      </c>
      <c r="O1512" s="2"/>
      <c r="P1512" s="16">
        <v>2000</v>
      </c>
      <c r="Q1512" s="2">
        <f>VLOOKUP(B1512,'Cadastro Produtos'!A:F,5,2)</f>
        <v>15</v>
      </c>
      <c r="R1512" s="14">
        <f t="shared" si="115"/>
        <v>30000</v>
      </c>
    </row>
    <row r="1513" spans="1:18" x14ac:dyDescent="0.25">
      <c r="A1513">
        <v>1512</v>
      </c>
      <c r="B1513">
        <v>6</v>
      </c>
      <c r="C1513" t="str">
        <f>VLOOKUP(B1513,'Cadastro Produtos'!A:E,2,2)</f>
        <v>Limonada Beta com Açúcar 1 L</v>
      </c>
      <c r="D1513">
        <v>10</v>
      </c>
      <c r="E1513" t="str">
        <f>VLOOKUP(D1513,'Cadatro Clientes'!A:O,2,2)</f>
        <v>Lemon Gator</v>
      </c>
      <c r="F1513" t="str">
        <f>VLOOKUP(D1513,'Cadatro Clientes'!A:O,9,2)</f>
        <v>Nordeste</v>
      </c>
      <c r="G1513" s="15">
        <v>42197</v>
      </c>
      <c r="H1513">
        <f t="shared" si="116"/>
        <v>1</v>
      </c>
      <c r="I1513">
        <f t="shared" si="117"/>
        <v>12</v>
      </c>
      <c r="J1513">
        <f t="shared" si="118"/>
        <v>7</v>
      </c>
      <c r="K1513">
        <f t="shared" si="119"/>
        <v>2015</v>
      </c>
      <c r="M1513">
        <v>3</v>
      </c>
      <c r="N1513" t="str">
        <f>VLOOKUP(M1513,'Cadastro Vendedores'!A:H,2,2)</f>
        <v>Antônia</v>
      </c>
      <c r="O1513" s="2"/>
      <c r="P1513" s="16">
        <v>3500</v>
      </c>
      <c r="Q1513" s="2">
        <f>VLOOKUP(B1513,'Cadastro Produtos'!A:F,5,2)</f>
        <v>12</v>
      </c>
      <c r="R1513" s="14">
        <f t="shared" si="115"/>
        <v>42000</v>
      </c>
    </row>
    <row r="1514" spans="1:18" x14ac:dyDescent="0.25">
      <c r="A1514">
        <v>1513</v>
      </c>
      <c r="B1514">
        <v>7</v>
      </c>
      <c r="C1514" t="str">
        <f>VLOOKUP(B1514,'Cadastro Produtos'!A:E,2,2)</f>
        <v>Limonada Alfa Zero 1 L</v>
      </c>
      <c r="D1514">
        <v>17</v>
      </c>
      <c r="E1514" t="str">
        <f>VLOOKUP(D1514,'Cadatro Clientes'!A:O,2,2)</f>
        <v>Aracasuco</v>
      </c>
      <c r="F1514" t="str">
        <f>VLOOKUP(D1514,'Cadatro Clientes'!A:O,9,2)</f>
        <v>Nordeste</v>
      </c>
      <c r="G1514" s="15">
        <v>42198</v>
      </c>
      <c r="H1514">
        <f t="shared" si="116"/>
        <v>2</v>
      </c>
      <c r="I1514">
        <f t="shared" si="117"/>
        <v>13</v>
      </c>
      <c r="J1514">
        <f t="shared" si="118"/>
        <v>7</v>
      </c>
      <c r="K1514">
        <f t="shared" si="119"/>
        <v>2015</v>
      </c>
      <c r="M1514">
        <v>12</v>
      </c>
      <c r="N1514" t="str">
        <f>VLOOKUP(M1514,'Cadastro Vendedores'!A:H,2,2)</f>
        <v>Paulo</v>
      </c>
      <c r="O1514" s="2"/>
      <c r="P1514" s="16">
        <v>1000</v>
      </c>
      <c r="Q1514" s="2">
        <f>VLOOKUP(B1514,'Cadastro Produtos'!A:F,5,2)</f>
        <v>15</v>
      </c>
      <c r="R1514" s="14">
        <f t="shared" si="115"/>
        <v>15000</v>
      </c>
    </row>
    <row r="1515" spans="1:18" x14ac:dyDescent="0.25">
      <c r="A1515">
        <v>1514</v>
      </c>
      <c r="B1515">
        <v>2</v>
      </c>
      <c r="C1515" t="str">
        <f>VLOOKUP(B1515,'Cadastro Produtos'!A:E,2,2)</f>
        <v>Limonada Beta com Açúcar 500 ml</v>
      </c>
      <c r="D1515">
        <v>11</v>
      </c>
      <c r="E1515" t="str">
        <f>VLOOKUP(D1515,'Cadatro Clientes'!A:O,2,2)</f>
        <v>Red Lemon</v>
      </c>
      <c r="F1515" t="str">
        <f>VLOOKUP(D1515,'Cadatro Clientes'!A:O,9,2)</f>
        <v>Sul</v>
      </c>
      <c r="G1515" s="15">
        <v>42198</v>
      </c>
      <c r="H1515">
        <f t="shared" si="116"/>
        <v>2</v>
      </c>
      <c r="I1515">
        <f t="shared" si="117"/>
        <v>13</v>
      </c>
      <c r="J1515">
        <f t="shared" si="118"/>
        <v>7</v>
      </c>
      <c r="K1515">
        <f t="shared" si="119"/>
        <v>2015</v>
      </c>
      <c r="M1515">
        <v>3</v>
      </c>
      <c r="N1515" t="str">
        <f>VLOOKUP(M1515,'Cadastro Vendedores'!A:H,2,2)</f>
        <v>Antônia</v>
      </c>
      <c r="O1515" s="2"/>
      <c r="P1515" s="16">
        <v>1400</v>
      </c>
      <c r="Q1515" s="2">
        <f>VLOOKUP(B1515,'Cadastro Produtos'!A:F,5,2)</f>
        <v>6.5</v>
      </c>
      <c r="R1515" s="14">
        <f t="shared" si="115"/>
        <v>9100</v>
      </c>
    </row>
    <row r="1516" spans="1:18" x14ac:dyDescent="0.25">
      <c r="A1516">
        <v>1515</v>
      </c>
      <c r="B1516">
        <v>10</v>
      </c>
      <c r="C1516" t="str">
        <f>VLOOKUP(B1516,'Cadastro Produtos'!A:E,2,2)</f>
        <v>Limonada Alfa com Hortelã Zero 1 L</v>
      </c>
      <c r="D1516">
        <v>12</v>
      </c>
      <c r="E1516" t="str">
        <f>VLOOKUP(D1516,'Cadatro Clientes'!A:O,2,2)</f>
        <v>Limão da Ilha</v>
      </c>
      <c r="F1516" t="str">
        <f>VLOOKUP(D1516,'Cadatro Clientes'!A:O,9,2)</f>
        <v>Sul</v>
      </c>
      <c r="G1516" s="15">
        <v>42198</v>
      </c>
      <c r="H1516">
        <f t="shared" si="116"/>
        <v>2</v>
      </c>
      <c r="I1516">
        <f t="shared" si="117"/>
        <v>13</v>
      </c>
      <c r="J1516">
        <f t="shared" si="118"/>
        <v>7</v>
      </c>
      <c r="K1516">
        <f t="shared" si="119"/>
        <v>2015</v>
      </c>
      <c r="M1516">
        <v>16</v>
      </c>
      <c r="N1516" t="str">
        <f>VLOOKUP(M1516,'Cadastro Vendedores'!A:H,2,2)</f>
        <v>Jose</v>
      </c>
      <c r="O1516" s="2"/>
      <c r="P1516" s="16">
        <v>1400</v>
      </c>
      <c r="Q1516" s="2">
        <f>VLOOKUP(B1516,'Cadastro Produtos'!A:F,5,2)</f>
        <v>21</v>
      </c>
      <c r="R1516" s="14">
        <f t="shared" si="115"/>
        <v>29400</v>
      </c>
    </row>
    <row r="1517" spans="1:18" x14ac:dyDescent="0.25">
      <c r="A1517">
        <v>1516</v>
      </c>
      <c r="B1517">
        <v>4</v>
      </c>
      <c r="C1517" t="str">
        <f>VLOOKUP(B1517,'Cadastro Produtos'!A:E,2,2)</f>
        <v>Limonada Beta Zero 500 ml</v>
      </c>
      <c r="D1517">
        <v>6</v>
      </c>
      <c r="E1517" t="str">
        <f>VLOOKUP(D1517,'Cadatro Clientes'!A:O,2,2)</f>
        <v>Lemonade</v>
      </c>
      <c r="F1517" t="str">
        <f>VLOOKUP(D1517,'Cadatro Clientes'!A:O,9,2)</f>
        <v>Norte</v>
      </c>
      <c r="G1517" s="15">
        <v>42199</v>
      </c>
      <c r="H1517">
        <f t="shared" si="116"/>
        <v>3</v>
      </c>
      <c r="I1517">
        <f t="shared" si="117"/>
        <v>14</v>
      </c>
      <c r="J1517">
        <f t="shared" si="118"/>
        <v>7</v>
      </c>
      <c r="K1517">
        <f t="shared" si="119"/>
        <v>2015</v>
      </c>
      <c r="M1517">
        <v>13</v>
      </c>
      <c r="N1517" t="str">
        <f>VLOOKUP(M1517,'Cadastro Vendedores'!A:H,2,2)</f>
        <v>Andre</v>
      </c>
      <c r="O1517" s="2"/>
      <c r="P1517" s="16">
        <v>2200</v>
      </c>
      <c r="Q1517" s="2">
        <f>VLOOKUP(B1517,'Cadastro Produtos'!A:F,5,2)</f>
        <v>7</v>
      </c>
      <c r="R1517" s="14">
        <f t="shared" si="115"/>
        <v>15400</v>
      </c>
    </row>
    <row r="1518" spans="1:18" x14ac:dyDescent="0.25">
      <c r="A1518">
        <v>1517</v>
      </c>
      <c r="B1518">
        <v>10</v>
      </c>
      <c r="C1518" t="str">
        <f>VLOOKUP(B1518,'Cadastro Produtos'!A:E,2,2)</f>
        <v>Limonada Alfa com Hortelã Zero 1 L</v>
      </c>
      <c r="D1518">
        <v>16</v>
      </c>
      <c r="E1518" t="str">
        <f>VLOOKUP(D1518,'Cadatro Clientes'!A:O,2,2)</f>
        <v>Norte Suco</v>
      </c>
      <c r="F1518" t="str">
        <f>VLOOKUP(D1518,'Cadatro Clientes'!A:O,9,2)</f>
        <v>Nordeste</v>
      </c>
      <c r="G1518" s="15">
        <v>42199</v>
      </c>
      <c r="H1518">
        <f t="shared" si="116"/>
        <v>3</v>
      </c>
      <c r="I1518">
        <f t="shared" si="117"/>
        <v>14</v>
      </c>
      <c r="J1518">
        <f t="shared" si="118"/>
        <v>7</v>
      </c>
      <c r="K1518">
        <f t="shared" si="119"/>
        <v>2015</v>
      </c>
      <c r="M1518">
        <v>9</v>
      </c>
      <c r="N1518" t="str">
        <f>VLOOKUP(M1518,'Cadastro Vendedores'!A:H,2,2)</f>
        <v>Adriana</v>
      </c>
      <c r="O1518" s="2"/>
      <c r="P1518" s="16">
        <v>500</v>
      </c>
      <c r="Q1518" s="2">
        <f>VLOOKUP(B1518,'Cadastro Produtos'!A:F,5,2)</f>
        <v>21</v>
      </c>
      <c r="R1518" s="14">
        <f t="shared" si="115"/>
        <v>10500</v>
      </c>
    </row>
    <row r="1519" spans="1:18" x14ac:dyDescent="0.25">
      <c r="A1519">
        <v>1518</v>
      </c>
      <c r="B1519">
        <v>6</v>
      </c>
      <c r="C1519" t="str">
        <f>VLOOKUP(B1519,'Cadastro Produtos'!A:E,2,2)</f>
        <v>Limonada Beta com Açúcar 1 L</v>
      </c>
      <c r="D1519">
        <v>8</v>
      </c>
      <c r="E1519" t="str">
        <f>VLOOKUP(D1519,'Cadatro Clientes'!A:O,2,2)</f>
        <v>Refresko</v>
      </c>
      <c r="F1519" t="str">
        <f>VLOOKUP(D1519,'Cadatro Clientes'!A:O,9,2)</f>
        <v>Sul</v>
      </c>
      <c r="G1519" s="15">
        <v>42200</v>
      </c>
      <c r="H1519">
        <f t="shared" si="116"/>
        <v>4</v>
      </c>
      <c r="I1519">
        <f t="shared" si="117"/>
        <v>15</v>
      </c>
      <c r="J1519">
        <f t="shared" si="118"/>
        <v>7</v>
      </c>
      <c r="K1519">
        <f t="shared" si="119"/>
        <v>2015</v>
      </c>
      <c r="M1519">
        <v>8</v>
      </c>
      <c r="N1519" t="str">
        <f>VLOOKUP(M1519,'Cadastro Vendedores'!A:H,2,2)</f>
        <v>Sérgio</v>
      </c>
      <c r="O1519" s="2"/>
      <c r="P1519" s="16">
        <v>3100</v>
      </c>
      <c r="Q1519" s="2">
        <f>VLOOKUP(B1519,'Cadastro Produtos'!A:F,5,2)</f>
        <v>12</v>
      </c>
      <c r="R1519" s="14">
        <f t="shared" si="115"/>
        <v>37200</v>
      </c>
    </row>
    <row r="1520" spans="1:18" x14ac:dyDescent="0.25">
      <c r="A1520">
        <v>1519</v>
      </c>
      <c r="B1520">
        <v>3</v>
      </c>
      <c r="C1520" t="str">
        <f>VLOOKUP(B1520,'Cadastro Produtos'!A:E,2,2)</f>
        <v>Limonada Alfa Zero 500 ml</v>
      </c>
      <c r="D1520">
        <v>9</v>
      </c>
      <c r="E1520" t="str">
        <f>VLOOKUP(D1520,'Cadatro Clientes'!A:O,2,2)</f>
        <v>Fresh Lemon</v>
      </c>
      <c r="F1520" t="str">
        <f>VLOOKUP(D1520,'Cadatro Clientes'!A:O,9,2)</f>
        <v>Sudeste</v>
      </c>
      <c r="G1520" s="15">
        <v>42200</v>
      </c>
      <c r="H1520">
        <f t="shared" si="116"/>
        <v>4</v>
      </c>
      <c r="I1520">
        <f t="shared" si="117"/>
        <v>15</v>
      </c>
      <c r="J1520">
        <f t="shared" si="118"/>
        <v>7</v>
      </c>
      <c r="K1520">
        <f t="shared" si="119"/>
        <v>2015</v>
      </c>
      <c r="M1520">
        <v>7</v>
      </c>
      <c r="N1520" t="str">
        <f>VLOOKUP(M1520,'Cadastro Vendedores'!A:H,2,2)</f>
        <v>Benedito</v>
      </c>
      <c r="O1520" s="2"/>
      <c r="P1520" s="16">
        <v>1900</v>
      </c>
      <c r="Q1520" s="2">
        <f>VLOOKUP(B1520,'Cadastro Produtos'!A:F,5,2)</f>
        <v>9</v>
      </c>
      <c r="R1520" s="14">
        <f t="shared" si="115"/>
        <v>17100</v>
      </c>
    </row>
    <row r="1521" spans="1:18" x14ac:dyDescent="0.25">
      <c r="A1521">
        <v>1520</v>
      </c>
      <c r="B1521">
        <v>8</v>
      </c>
      <c r="C1521" t="str">
        <f>VLOOKUP(B1521,'Cadastro Produtos'!A:E,2,2)</f>
        <v>Limonada Beta Zero 1 L</v>
      </c>
      <c r="D1521">
        <v>6</v>
      </c>
      <c r="E1521" t="str">
        <f>VLOOKUP(D1521,'Cadatro Clientes'!A:O,2,2)</f>
        <v>Lemonade</v>
      </c>
      <c r="F1521" t="str">
        <f>VLOOKUP(D1521,'Cadatro Clientes'!A:O,9,2)</f>
        <v>Norte</v>
      </c>
      <c r="G1521" s="15">
        <v>42200</v>
      </c>
      <c r="H1521">
        <f t="shared" si="116"/>
        <v>4</v>
      </c>
      <c r="I1521">
        <f t="shared" si="117"/>
        <v>15</v>
      </c>
      <c r="J1521">
        <f t="shared" si="118"/>
        <v>7</v>
      </c>
      <c r="K1521">
        <f t="shared" si="119"/>
        <v>2015</v>
      </c>
      <c r="M1521">
        <v>12</v>
      </c>
      <c r="N1521" t="str">
        <f>VLOOKUP(M1521,'Cadastro Vendedores'!A:H,2,2)</f>
        <v>Paulo</v>
      </c>
      <c r="O1521" s="2"/>
      <c r="P1521" s="16">
        <v>1800</v>
      </c>
      <c r="Q1521" s="2">
        <f>VLOOKUP(B1521,'Cadastro Produtos'!A:F,5,2)</f>
        <v>12</v>
      </c>
      <c r="R1521" s="14">
        <f t="shared" si="115"/>
        <v>21600</v>
      </c>
    </row>
    <row r="1522" spans="1:18" x14ac:dyDescent="0.25">
      <c r="A1522">
        <v>1521</v>
      </c>
      <c r="B1522">
        <v>6</v>
      </c>
      <c r="C1522" t="str">
        <f>VLOOKUP(B1522,'Cadastro Produtos'!A:E,2,2)</f>
        <v>Limonada Beta com Açúcar 1 L</v>
      </c>
      <c r="D1522">
        <v>16</v>
      </c>
      <c r="E1522" t="str">
        <f>VLOOKUP(D1522,'Cadatro Clientes'!A:O,2,2)</f>
        <v>Norte Suco</v>
      </c>
      <c r="F1522" t="str">
        <f>VLOOKUP(D1522,'Cadatro Clientes'!A:O,9,2)</f>
        <v>Nordeste</v>
      </c>
      <c r="G1522" s="15">
        <v>42201</v>
      </c>
      <c r="H1522">
        <f t="shared" si="116"/>
        <v>5</v>
      </c>
      <c r="I1522">
        <f t="shared" si="117"/>
        <v>16</v>
      </c>
      <c r="J1522">
        <f t="shared" si="118"/>
        <v>7</v>
      </c>
      <c r="K1522">
        <f t="shared" si="119"/>
        <v>2015</v>
      </c>
      <c r="M1522">
        <v>8</v>
      </c>
      <c r="N1522" t="str">
        <f>VLOOKUP(M1522,'Cadastro Vendedores'!A:H,2,2)</f>
        <v>Sérgio</v>
      </c>
      <c r="O1522" s="2"/>
      <c r="P1522" s="16">
        <v>1100</v>
      </c>
      <c r="Q1522" s="2">
        <f>VLOOKUP(B1522,'Cadastro Produtos'!A:F,5,2)</f>
        <v>12</v>
      </c>
      <c r="R1522" s="14">
        <f t="shared" si="115"/>
        <v>13200</v>
      </c>
    </row>
    <row r="1523" spans="1:18" x14ac:dyDescent="0.25">
      <c r="A1523">
        <v>1522</v>
      </c>
      <c r="B1523">
        <v>3</v>
      </c>
      <c r="C1523" t="str">
        <f>VLOOKUP(B1523,'Cadastro Produtos'!A:E,2,2)</f>
        <v>Limonada Alfa Zero 500 ml</v>
      </c>
      <c r="D1523">
        <v>8</v>
      </c>
      <c r="E1523" t="str">
        <f>VLOOKUP(D1523,'Cadatro Clientes'!A:O,2,2)</f>
        <v>Refresko</v>
      </c>
      <c r="F1523" t="str">
        <f>VLOOKUP(D1523,'Cadatro Clientes'!A:O,9,2)</f>
        <v>Sul</v>
      </c>
      <c r="G1523" s="15">
        <v>42202</v>
      </c>
      <c r="H1523">
        <f t="shared" si="116"/>
        <v>6</v>
      </c>
      <c r="I1523">
        <f t="shared" si="117"/>
        <v>17</v>
      </c>
      <c r="J1523">
        <f t="shared" si="118"/>
        <v>7</v>
      </c>
      <c r="K1523">
        <f t="shared" si="119"/>
        <v>2015</v>
      </c>
      <c r="M1523">
        <v>6</v>
      </c>
      <c r="N1523" t="str">
        <f>VLOOKUP(M1523,'Cadastro Vendedores'!A:H,2,2)</f>
        <v>Antônia</v>
      </c>
      <c r="O1523" s="2"/>
      <c r="P1523" s="16">
        <v>4000</v>
      </c>
      <c r="Q1523" s="2">
        <f>VLOOKUP(B1523,'Cadastro Produtos'!A:F,5,2)</f>
        <v>9</v>
      </c>
      <c r="R1523" s="14">
        <f t="shared" si="115"/>
        <v>36000</v>
      </c>
    </row>
    <row r="1524" spans="1:18" x14ac:dyDescent="0.25">
      <c r="A1524">
        <v>1523</v>
      </c>
      <c r="B1524">
        <v>9</v>
      </c>
      <c r="C1524" t="str">
        <f>VLOOKUP(B1524,'Cadastro Produtos'!A:E,2,2)</f>
        <v>Limonada Alfa com Hortelã e Açúcar 1 L</v>
      </c>
      <c r="D1524">
        <v>7</v>
      </c>
      <c r="E1524" t="str">
        <f>VLOOKUP(D1524,'Cadatro Clientes'!A:O,2,2)</f>
        <v>Limo</v>
      </c>
      <c r="F1524" t="str">
        <f>VLOOKUP(D1524,'Cadatro Clientes'!A:O,9,2)</f>
        <v>Centro-Oeste</v>
      </c>
      <c r="G1524" s="15">
        <v>42202</v>
      </c>
      <c r="H1524">
        <f t="shared" si="116"/>
        <v>6</v>
      </c>
      <c r="I1524">
        <f t="shared" si="117"/>
        <v>17</v>
      </c>
      <c r="J1524">
        <f t="shared" si="118"/>
        <v>7</v>
      </c>
      <c r="K1524">
        <f t="shared" si="119"/>
        <v>2015</v>
      </c>
      <c r="M1524">
        <v>13</v>
      </c>
      <c r="N1524" t="str">
        <f>VLOOKUP(M1524,'Cadastro Vendedores'!A:H,2,2)</f>
        <v>Andre</v>
      </c>
      <c r="O1524" s="2"/>
      <c r="P1524" s="16">
        <v>1100</v>
      </c>
      <c r="Q1524" s="2">
        <f>VLOOKUP(B1524,'Cadastro Produtos'!A:F,5,2)</f>
        <v>17.5</v>
      </c>
      <c r="R1524" s="14">
        <f t="shared" si="115"/>
        <v>19250</v>
      </c>
    </row>
    <row r="1525" spans="1:18" x14ac:dyDescent="0.25">
      <c r="A1525">
        <v>1524</v>
      </c>
      <c r="B1525">
        <v>8</v>
      </c>
      <c r="C1525" t="str">
        <f>VLOOKUP(B1525,'Cadastro Produtos'!A:E,2,2)</f>
        <v>Limonada Beta Zero 1 L</v>
      </c>
      <c r="D1525">
        <v>17</v>
      </c>
      <c r="E1525" t="str">
        <f>VLOOKUP(D1525,'Cadatro Clientes'!A:O,2,2)</f>
        <v>Aracasuco</v>
      </c>
      <c r="F1525" t="str">
        <f>VLOOKUP(D1525,'Cadatro Clientes'!A:O,9,2)</f>
        <v>Nordeste</v>
      </c>
      <c r="G1525" s="15">
        <v>42202</v>
      </c>
      <c r="H1525">
        <f t="shared" si="116"/>
        <v>6</v>
      </c>
      <c r="I1525">
        <f t="shared" si="117"/>
        <v>17</v>
      </c>
      <c r="J1525">
        <f t="shared" si="118"/>
        <v>7</v>
      </c>
      <c r="K1525">
        <f t="shared" si="119"/>
        <v>2015</v>
      </c>
      <c r="M1525">
        <v>8</v>
      </c>
      <c r="N1525" t="str">
        <f>VLOOKUP(M1525,'Cadastro Vendedores'!A:H,2,2)</f>
        <v>Sérgio</v>
      </c>
      <c r="O1525" s="2"/>
      <c r="P1525" s="16">
        <v>1800</v>
      </c>
      <c r="Q1525" s="2">
        <f>VLOOKUP(B1525,'Cadastro Produtos'!A:F,5,2)</f>
        <v>12</v>
      </c>
      <c r="R1525" s="14">
        <f t="shared" si="115"/>
        <v>21600</v>
      </c>
    </row>
    <row r="1526" spans="1:18" x14ac:dyDescent="0.25">
      <c r="A1526">
        <v>1525</v>
      </c>
      <c r="B1526">
        <v>10</v>
      </c>
      <c r="C1526" t="str">
        <f>VLOOKUP(B1526,'Cadastro Produtos'!A:E,2,2)</f>
        <v>Limonada Alfa com Hortelã Zero 1 L</v>
      </c>
      <c r="D1526">
        <v>10</v>
      </c>
      <c r="E1526" t="str">
        <f>VLOOKUP(D1526,'Cadatro Clientes'!A:O,2,2)</f>
        <v>Lemon Gator</v>
      </c>
      <c r="F1526" t="str">
        <f>VLOOKUP(D1526,'Cadatro Clientes'!A:O,9,2)</f>
        <v>Nordeste</v>
      </c>
      <c r="G1526" s="15">
        <v>42202</v>
      </c>
      <c r="H1526">
        <f t="shared" si="116"/>
        <v>6</v>
      </c>
      <c r="I1526">
        <f t="shared" si="117"/>
        <v>17</v>
      </c>
      <c r="J1526">
        <f t="shared" si="118"/>
        <v>7</v>
      </c>
      <c r="K1526">
        <f t="shared" si="119"/>
        <v>2015</v>
      </c>
      <c r="M1526">
        <v>8</v>
      </c>
      <c r="N1526" t="str">
        <f>VLOOKUP(M1526,'Cadastro Vendedores'!A:H,2,2)</f>
        <v>Sérgio</v>
      </c>
      <c r="O1526" s="2"/>
      <c r="P1526" s="16">
        <v>900</v>
      </c>
      <c r="Q1526" s="2">
        <f>VLOOKUP(B1526,'Cadastro Produtos'!A:F,5,2)</f>
        <v>21</v>
      </c>
      <c r="R1526" s="14">
        <f t="shared" si="115"/>
        <v>18900</v>
      </c>
    </row>
    <row r="1527" spans="1:18" x14ac:dyDescent="0.25">
      <c r="A1527">
        <v>1526</v>
      </c>
      <c r="B1527">
        <v>2</v>
      </c>
      <c r="C1527" t="str">
        <f>VLOOKUP(B1527,'Cadastro Produtos'!A:E,2,2)</f>
        <v>Limonada Beta com Açúcar 500 ml</v>
      </c>
      <c r="D1527">
        <v>5</v>
      </c>
      <c r="E1527" t="str">
        <f>VLOOKUP(D1527,'Cadatro Clientes'!A:O,2,2)</f>
        <v>Axé com Limão</v>
      </c>
      <c r="F1527" t="str">
        <f>VLOOKUP(D1527,'Cadatro Clientes'!A:O,9,2)</f>
        <v>Nordeste</v>
      </c>
      <c r="G1527" s="15">
        <v>42203</v>
      </c>
      <c r="H1527">
        <f t="shared" si="116"/>
        <v>7</v>
      </c>
      <c r="I1527">
        <f t="shared" si="117"/>
        <v>18</v>
      </c>
      <c r="J1527">
        <f t="shared" si="118"/>
        <v>7</v>
      </c>
      <c r="K1527">
        <f t="shared" si="119"/>
        <v>2015</v>
      </c>
      <c r="M1527">
        <v>16</v>
      </c>
      <c r="N1527" t="str">
        <f>VLOOKUP(M1527,'Cadastro Vendedores'!A:H,2,2)</f>
        <v>Jose</v>
      </c>
      <c r="O1527" s="2"/>
      <c r="P1527" s="16">
        <v>5000</v>
      </c>
      <c r="Q1527" s="2">
        <f>VLOOKUP(B1527,'Cadastro Produtos'!A:F,5,2)</f>
        <v>6.5</v>
      </c>
      <c r="R1527" s="14">
        <f t="shared" si="115"/>
        <v>32500</v>
      </c>
    </row>
    <row r="1528" spans="1:18" x14ac:dyDescent="0.25">
      <c r="A1528">
        <v>1527</v>
      </c>
      <c r="B1528">
        <v>7</v>
      </c>
      <c r="C1528" t="str">
        <f>VLOOKUP(B1528,'Cadastro Produtos'!A:E,2,2)</f>
        <v>Limonada Alfa Zero 1 L</v>
      </c>
      <c r="D1528">
        <v>14</v>
      </c>
      <c r="E1528" t="str">
        <f>VLOOKUP(D1528,'Cadatro Clientes'!A:O,2,2)</f>
        <v>Sprite</v>
      </c>
      <c r="F1528" t="str">
        <f>VLOOKUP(D1528,'Cadatro Clientes'!A:O,9,2)</f>
        <v>Norte</v>
      </c>
      <c r="G1528" s="15">
        <v>42203</v>
      </c>
      <c r="H1528">
        <f t="shared" si="116"/>
        <v>7</v>
      </c>
      <c r="I1528">
        <f t="shared" si="117"/>
        <v>18</v>
      </c>
      <c r="J1528">
        <f t="shared" si="118"/>
        <v>7</v>
      </c>
      <c r="K1528">
        <f t="shared" si="119"/>
        <v>2015</v>
      </c>
      <c r="M1528">
        <v>4</v>
      </c>
      <c r="N1528" t="str">
        <f>VLOOKUP(M1528,'Cadastro Vendedores'!A:H,2,2)</f>
        <v>José</v>
      </c>
      <c r="O1528" s="2"/>
      <c r="P1528" s="16">
        <v>1000</v>
      </c>
      <c r="Q1528" s="2">
        <f>VLOOKUP(B1528,'Cadastro Produtos'!A:F,5,2)</f>
        <v>15</v>
      </c>
      <c r="R1528" s="14">
        <f t="shared" si="115"/>
        <v>15000</v>
      </c>
    </row>
    <row r="1529" spans="1:18" x14ac:dyDescent="0.25">
      <c r="A1529">
        <v>1528</v>
      </c>
      <c r="B1529">
        <v>10</v>
      </c>
      <c r="C1529" t="str">
        <f>VLOOKUP(B1529,'Cadastro Produtos'!A:E,2,2)</f>
        <v>Limonada Alfa com Hortelã Zero 1 L</v>
      </c>
      <c r="D1529">
        <v>13</v>
      </c>
      <c r="E1529" t="str">
        <f>VLOOKUP(D1529,'Cadatro Clientes'!A:O,2,2)</f>
        <v>Monster Lemon</v>
      </c>
      <c r="F1529" t="str">
        <f>VLOOKUP(D1529,'Cadatro Clientes'!A:O,9,2)</f>
        <v>Nordeste</v>
      </c>
      <c r="G1529" s="15">
        <v>42203</v>
      </c>
      <c r="H1529">
        <f t="shared" si="116"/>
        <v>7</v>
      </c>
      <c r="I1529">
        <f t="shared" si="117"/>
        <v>18</v>
      </c>
      <c r="J1529">
        <f t="shared" si="118"/>
        <v>7</v>
      </c>
      <c r="K1529">
        <f t="shared" si="119"/>
        <v>2015</v>
      </c>
      <c r="M1529">
        <v>8</v>
      </c>
      <c r="N1529" t="str">
        <f>VLOOKUP(M1529,'Cadastro Vendedores'!A:H,2,2)</f>
        <v>Sérgio</v>
      </c>
      <c r="O1529" s="2"/>
      <c r="P1529" s="16">
        <v>1800</v>
      </c>
      <c r="Q1529" s="2">
        <f>VLOOKUP(B1529,'Cadastro Produtos'!A:F,5,2)</f>
        <v>21</v>
      </c>
      <c r="R1529" s="14">
        <f t="shared" si="115"/>
        <v>37800</v>
      </c>
    </row>
    <row r="1530" spans="1:18" x14ac:dyDescent="0.25">
      <c r="A1530">
        <v>1529</v>
      </c>
      <c r="B1530">
        <v>1</v>
      </c>
      <c r="C1530" t="str">
        <f>VLOOKUP(B1530,'Cadastro Produtos'!A:E,2,2)</f>
        <v>Limonada Alfa com Açúcar 500 ml</v>
      </c>
      <c r="D1530">
        <v>2</v>
      </c>
      <c r="E1530" t="str">
        <f>VLOOKUP(D1530,'Cadatro Clientes'!A:O,2,2)</f>
        <v>Limão S/A</v>
      </c>
      <c r="F1530" t="str">
        <f>VLOOKUP(D1530,'Cadatro Clientes'!A:O,9,2)</f>
        <v>Centro-Oeste</v>
      </c>
      <c r="G1530" s="15">
        <v>42203</v>
      </c>
      <c r="H1530">
        <f t="shared" si="116"/>
        <v>7</v>
      </c>
      <c r="I1530">
        <f t="shared" si="117"/>
        <v>18</v>
      </c>
      <c r="J1530">
        <f t="shared" si="118"/>
        <v>7</v>
      </c>
      <c r="K1530">
        <f t="shared" si="119"/>
        <v>2015</v>
      </c>
      <c r="M1530">
        <v>16</v>
      </c>
      <c r="N1530" t="str">
        <f>VLOOKUP(M1530,'Cadastro Vendedores'!A:H,2,2)</f>
        <v>Jose</v>
      </c>
      <c r="O1530" s="2"/>
      <c r="P1530" s="16">
        <v>3600</v>
      </c>
      <c r="Q1530" s="2">
        <f>VLOOKUP(B1530,'Cadastro Produtos'!A:F,5,2)</f>
        <v>8.5</v>
      </c>
      <c r="R1530" s="14">
        <f t="shared" si="115"/>
        <v>30600</v>
      </c>
    </row>
    <row r="1531" spans="1:18" x14ac:dyDescent="0.25">
      <c r="A1531">
        <v>1530</v>
      </c>
      <c r="B1531">
        <v>8</v>
      </c>
      <c r="C1531" t="str">
        <f>VLOOKUP(B1531,'Cadastro Produtos'!A:E,2,2)</f>
        <v>Limonada Beta Zero 1 L</v>
      </c>
      <c r="D1531">
        <v>11</v>
      </c>
      <c r="E1531" t="str">
        <f>VLOOKUP(D1531,'Cadatro Clientes'!A:O,2,2)</f>
        <v>Red Lemon</v>
      </c>
      <c r="F1531" t="str">
        <f>VLOOKUP(D1531,'Cadatro Clientes'!A:O,9,2)</f>
        <v>Sul</v>
      </c>
      <c r="G1531" s="15">
        <v>42203</v>
      </c>
      <c r="H1531">
        <f t="shared" si="116"/>
        <v>7</v>
      </c>
      <c r="I1531">
        <f t="shared" si="117"/>
        <v>18</v>
      </c>
      <c r="J1531">
        <f t="shared" si="118"/>
        <v>7</v>
      </c>
      <c r="K1531">
        <f t="shared" si="119"/>
        <v>2015</v>
      </c>
      <c r="M1531">
        <v>7</v>
      </c>
      <c r="N1531" t="str">
        <f>VLOOKUP(M1531,'Cadastro Vendedores'!A:H,2,2)</f>
        <v>Benedito</v>
      </c>
      <c r="O1531" s="2"/>
      <c r="P1531" s="16">
        <v>3100</v>
      </c>
      <c r="Q1531" s="2">
        <f>VLOOKUP(B1531,'Cadastro Produtos'!A:F,5,2)</f>
        <v>12</v>
      </c>
      <c r="R1531" s="14">
        <f t="shared" si="115"/>
        <v>37200</v>
      </c>
    </row>
    <row r="1532" spans="1:18" x14ac:dyDescent="0.25">
      <c r="A1532">
        <v>1531</v>
      </c>
      <c r="B1532">
        <v>3</v>
      </c>
      <c r="C1532" t="str">
        <f>VLOOKUP(B1532,'Cadastro Produtos'!A:E,2,2)</f>
        <v>Limonada Alfa Zero 500 ml</v>
      </c>
      <c r="D1532">
        <v>3</v>
      </c>
      <c r="E1532" t="str">
        <f>VLOOKUP(D1532,'Cadatro Clientes'!A:O,2,2)</f>
        <v>Limonada Suíça Ltda</v>
      </c>
      <c r="F1532" t="str">
        <f>VLOOKUP(D1532,'Cadatro Clientes'!A:O,9,2)</f>
        <v>Nordeste</v>
      </c>
      <c r="G1532" s="15">
        <v>42205</v>
      </c>
      <c r="H1532">
        <f t="shared" si="116"/>
        <v>2</v>
      </c>
      <c r="I1532">
        <f t="shared" si="117"/>
        <v>20</v>
      </c>
      <c r="J1532">
        <f t="shared" si="118"/>
        <v>7</v>
      </c>
      <c r="K1532">
        <f t="shared" si="119"/>
        <v>2015</v>
      </c>
      <c r="M1532">
        <v>16</v>
      </c>
      <c r="N1532" t="str">
        <f>VLOOKUP(M1532,'Cadastro Vendedores'!A:H,2,2)</f>
        <v>Jose</v>
      </c>
      <c r="O1532" s="2"/>
      <c r="P1532" s="16">
        <v>3400</v>
      </c>
      <c r="Q1532" s="2">
        <f>VLOOKUP(B1532,'Cadastro Produtos'!A:F,5,2)</f>
        <v>9</v>
      </c>
      <c r="R1532" s="14">
        <f t="shared" si="115"/>
        <v>30600</v>
      </c>
    </row>
    <row r="1533" spans="1:18" x14ac:dyDescent="0.25">
      <c r="A1533">
        <v>1532</v>
      </c>
      <c r="B1533">
        <v>5</v>
      </c>
      <c r="C1533" t="str">
        <f>VLOOKUP(B1533,'Cadastro Produtos'!A:E,2,2)</f>
        <v>Limonada Alfa com Açúcar 1 L</v>
      </c>
      <c r="D1533">
        <v>8</v>
      </c>
      <c r="E1533" t="str">
        <f>VLOOKUP(D1533,'Cadatro Clientes'!A:O,2,2)</f>
        <v>Refresko</v>
      </c>
      <c r="F1533" t="str">
        <f>VLOOKUP(D1533,'Cadatro Clientes'!A:O,9,2)</f>
        <v>Sul</v>
      </c>
      <c r="G1533" s="15">
        <v>42206</v>
      </c>
      <c r="H1533">
        <f t="shared" si="116"/>
        <v>3</v>
      </c>
      <c r="I1533">
        <f t="shared" si="117"/>
        <v>21</v>
      </c>
      <c r="J1533">
        <f t="shared" si="118"/>
        <v>7</v>
      </c>
      <c r="K1533">
        <f t="shared" si="119"/>
        <v>2015</v>
      </c>
      <c r="M1533">
        <v>7</v>
      </c>
      <c r="N1533" t="str">
        <f>VLOOKUP(M1533,'Cadastro Vendedores'!A:H,2,2)</f>
        <v>Benedito</v>
      </c>
      <c r="O1533" s="2"/>
      <c r="P1533" s="16">
        <v>1100</v>
      </c>
      <c r="Q1533" s="2">
        <f>VLOOKUP(B1533,'Cadastro Produtos'!A:F,5,2)</f>
        <v>15</v>
      </c>
      <c r="R1533" s="14">
        <f t="shared" si="115"/>
        <v>16500</v>
      </c>
    </row>
    <row r="1534" spans="1:18" x14ac:dyDescent="0.25">
      <c r="A1534">
        <v>1533</v>
      </c>
      <c r="B1534">
        <v>5</v>
      </c>
      <c r="C1534" t="str">
        <f>VLOOKUP(B1534,'Cadastro Produtos'!A:E,2,2)</f>
        <v>Limonada Alfa com Açúcar 1 L</v>
      </c>
      <c r="D1534">
        <v>8</v>
      </c>
      <c r="E1534" t="str">
        <f>VLOOKUP(D1534,'Cadatro Clientes'!A:O,2,2)</f>
        <v>Refresko</v>
      </c>
      <c r="F1534" t="str">
        <f>VLOOKUP(D1534,'Cadatro Clientes'!A:O,9,2)</f>
        <v>Sul</v>
      </c>
      <c r="G1534" s="15">
        <v>42206</v>
      </c>
      <c r="H1534">
        <f t="shared" si="116"/>
        <v>3</v>
      </c>
      <c r="I1534">
        <f t="shared" si="117"/>
        <v>21</v>
      </c>
      <c r="J1534">
        <f t="shared" si="118"/>
        <v>7</v>
      </c>
      <c r="K1534">
        <f t="shared" si="119"/>
        <v>2015</v>
      </c>
      <c r="M1534">
        <v>16</v>
      </c>
      <c r="N1534" t="str">
        <f>VLOOKUP(M1534,'Cadastro Vendedores'!A:H,2,2)</f>
        <v>Jose</v>
      </c>
      <c r="O1534" s="2"/>
      <c r="P1534" s="16">
        <v>2400</v>
      </c>
      <c r="Q1534" s="2">
        <f>VLOOKUP(B1534,'Cadastro Produtos'!A:F,5,2)</f>
        <v>15</v>
      </c>
      <c r="R1534" s="14">
        <f t="shared" si="115"/>
        <v>36000</v>
      </c>
    </row>
    <row r="1535" spans="1:18" x14ac:dyDescent="0.25">
      <c r="A1535">
        <v>1534</v>
      </c>
      <c r="B1535">
        <v>1</v>
      </c>
      <c r="C1535" t="str">
        <f>VLOOKUP(B1535,'Cadastro Produtos'!A:E,2,2)</f>
        <v>Limonada Alfa com Açúcar 500 ml</v>
      </c>
      <c r="D1535">
        <v>16</v>
      </c>
      <c r="E1535" t="str">
        <f>VLOOKUP(D1535,'Cadatro Clientes'!A:O,2,2)</f>
        <v>Norte Suco</v>
      </c>
      <c r="F1535" t="str">
        <f>VLOOKUP(D1535,'Cadatro Clientes'!A:O,9,2)</f>
        <v>Nordeste</v>
      </c>
      <c r="G1535" s="15">
        <v>42206</v>
      </c>
      <c r="H1535">
        <f t="shared" si="116"/>
        <v>3</v>
      </c>
      <c r="I1535">
        <f t="shared" si="117"/>
        <v>21</v>
      </c>
      <c r="J1535">
        <f t="shared" si="118"/>
        <v>7</v>
      </c>
      <c r="K1535">
        <f t="shared" si="119"/>
        <v>2015</v>
      </c>
      <c r="M1535">
        <v>4</v>
      </c>
      <c r="N1535" t="str">
        <f>VLOOKUP(M1535,'Cadastro Vendedores'!A:H,2,2)</f>
        <v>José</v>
      </c>
      <c r="O1535" s="2"/>
      <c r="P1535" s="16">
        <v>1600</v>
      </c>
      <c r="Q1535" s="2">
        <f>VLOOKUP(B1535,'Cadastro Produtos'!A:F,5,2)</f>
        <v>8.5</v>
      </c>
      <c r="R1535" s="14">
        <f t="shared" si="115"/>
        <v>13600</v>
      </c>
    </row>
    <row r="1536" spans="1:18" x14ac:dyDescent="0.25">
      <c r="A1536">
        <v>1535</v>
      </c>
      <c r="B1536">
        <v>4</v>
      </c>
      <c r="C1536" t="str">
        <f>VLOOKUP(B1536,'Cadastro Produtos'!A:E,2,2)</f>
        <v>Limonada Beta Zero 500 ml</v>
      </c>
      <c r="D1536">
        <v>2</v>
      </c>
      <c r="E1536" t="str">
        <f>VLOOKUP(D1536,'Cadatro Clientes'!A:O,2,2)</f>
        <v>Limão S/A</v>
      </c>
      <c r="F1536" t="str">
        <f>VLOOKUP(D1536,'Cadatro Clientes'!A:O,9,2)</f>
        <v>Centro-Oeste</v>
      </c>
      <c r="G1536" s="15">
        <v>42206</v>
      </c>
      <c r="H1536">
        <f t="shared" si="116"/>
        <v>3</v>
      </c>
      <c r="I1536">
        <f t="shared" si="117"/>
        <v>21</v>
      </c>
      <c r="J1536">
        <f t="shared" si="118"/>
        <v>7</v>
      </c>
      <c r="K1536">
        <f t="shared" si="119"/>
        <v>2015</v>
      </c>
      <c r="M1536">
        <v>3</v>
      </c>
      <c r="N1536" t="str">
        <f>VLOOKUP(M1536,'Cadastro Vendedores'!A:H,2,2)</f>
        <v>Antônia</v>
      </c>
      <c r="O1536" s="2"/>
      <c r="P1536" s="16">
        <v>4500</v>
      </c>
      <c r="Q1536" s="2">
        <f>VLOOKUP(B1536,'Cadastro Produtos'!A:F,5,2)</f>
        <v>7</v>
      </c>
      <c r="R1536" s="14">
        <f t="shared" si="115"/>
        <v>31500</v>
      </c>
    </row>
    <row r="1537" spans="1:18" x14ac:dyDescent="0.25">
      <c r="A1537">
        <v>1536</v>
      </c>
      <c r="B1537">
        <v>4</v>
      </c>
      <c r="C1537" t="str">
        <f>VLOOKUP(B1537,'Cadastro Produtos'!A:E,2,2)</f>
        <v>Limonada Beta Zero 500 ml</v>
      </c>
      <c r="D1537">
        <v>2</v>
      </c>
      <c r="E1537" t="str">
        <f>VLOOKUP(D1537,'Cadatro Clientes'!A:O,2,2)</f>
        <v>Limão S/A</v>
      </c>
      <c r="F1537" t="str">
        <f>VLOOKUP(D1537,'Cadatro Clientes'!A:O,9,2)</f>
        <v>Centro-Oeste</v>
      </c>
      <c r="G1537" s="15">
        <v>42206</v>
      </c>
      <c r="H1537">
        <f t="shared" si="116"/>
        <v>3</v>
      </c>
      <c r="I1537">
        <f t="shared" si="117"/>
        <v>21</v>
      </c>
      <c r="J1537">
        <f t="shared" si="118"/>
        <v>7</v>
      </c>
      <c r="K1537">
        <f t="shared" si="119"/>
        <v>2015</v>
      </c>
      <c r="M1537">
        <v>6</v>
      </c>
      <c r="N1537" t="str">
        <f>VLOOKUP(M1537,'Cadastro Vendedores'!A:H,2,2)</f>
        <v>Antônia</v>
      </c>
      <c r="O1537" s="2"/>
      <c r="P1537" s="16">
        <v>2400</v>
      </c>
      <c r="Q1537" s="2">
        <f>VLOOKUP(B1537,'Cadastro Produtos'!A:F,5,2)</f>
        <v>7</v>
      </c>
      <c r="R1537" s="14">
        <f t="shared" si="115"/>
        <v>16800</v>
      </c>
    </row>
    <row r="1538" spans="1:18" x14ac:dyDescent="0.25">
      <c r="A1538">
        <v>1537</v>
      </c>
      <c r="B1538">
        <v>8</v>
      </c>
      <c r="C1538" t="str">
        <f>VLOOKUP(B1538,'Cadastro Produtos'!A:E,2,2)</f>
        <v>Limonada Beta Zero 1 L</v>
      </c>
      <c r="D1538">
        <v>19</v>
      </c>
      <c r="E1538" t="str">
        <f>VLOOKUP(D1538,'Cadatro Clientes'!A:O,2,2)</f>
        <v>Lima Limão</v>
      </c>
      <c r="F1538" t="str">
        <f>VLOOKUP(D1538,'Cadatro Clientes'!A:O,9,2)</f>
        <v>Sudeste</v>
      </c>
      <c r="G1538" s="15">
        <v>42207</v>
      </c>
      <c r="H1538">
        <f t="shared" si="116"/>
        <v>4</v>
      </c>
      <c r="I1538">
        <f t="shared" si="117"/>
        <v>22</v>
      </c>
      <c r="J1538">
        <f t="shared" si="118"/>
        <v>7</v>
      </c>
      <c r="K1538">
        <f t="shared" si="119"/>
        <v>2015</v>
      </c>
      <c r="M1538">
        <v>9</v>
      </c>
      <c r="N1538" t="str">
        <f>VLOOKUP(M1538,'Cadastro Vendedores'!A:H,2,2)</f>
        <v>Adriana</v>
      </c>
      <c r="O1538" s="2"/>
      <c r="P1538" s="16">
        <v>1200</v>
      </c>
      <c r="Q1538" s="2">
        <f>VLOOKUP(B1538,'Cadastro Produtos'!A:F,5,2)</f>
        <v>12</v>
      </c>
      <c r="R1538" s="14">
        <f t="shared" ref="R1538:R1601" si="120">Q1538*P1538</f>
        <v>14400</v>
      </c>
    </row>
    <row r="1539" spans="1:18" x14ac:dyDescent="0.25">
      <c r="A1539">
        <v>1538</v>
      </c>
      <c r="B1539">
        <v>9</v>
      </c>
      <c r="C1539" t="str">
        <f>VLOOKUP(B1539,'Cadastro Produtos'!A:E,2,2)</f>
        <v>Limonada Alfa com Hortelã e Açúcar 1 L</v>
      </c>
      <c r="D1539">
        <v>20</v>
      </c>
      <c r="E1539" t="str">
        <f>VLOOKUP(D1539,'Cadatro Clientes'!A:O,2,2)</f>
        <v>Brasil Saúde</v>
      </c>
      <c r="F1539" t="str">
        <f>VLOOKUP(D1539,'Cadatro Clientes'!A:O,9,2)</f>
        <v>Nordeste</v>
      </c>
      <c r="G1539" s="15">
        <v>42207</v>
      </c>
      <c r="H1539">
        <f t="shared" ref="H1539:H1602" si="121">WEEKDAY(G1539)</f>
        <v>4</v>
      </c>
      <c r="I1539">
        <f t="shared" ref="I1539:I1602" si="122">DAY(G1539)</f>
        <v>22</v>
      </c>
      <c r="J1539">
        <f t="shared" ref="J1539:J1602" si="123">MONTH(G1539)</f>
        <v>7</v>
      </c>
      <c r="K1539">
        <f t="shared" ref="K1539:K1602" si="124">YEAR(G1539)</f>
        <v>2015</v>
      </c>
      <c r="M1539">
        <v>2</v>
      </c>
      <c r="N1539" t="str">
        <f>VLOOKUP(M1539,'Cadastro Vendedores'!A:H,2,2)</f>
        <v>Luis</v>
      </c>
      <c r="O1539" s="2"/>
      <c r="P1539" s="16">
        <v>700</v>
      </c>
      <c r="Q1539" s="2">
        <f>VLOOKUP(B1539,'Cadastro Produtos'!A:F,5,2)</f>
        <v>17.5</v>
      </c>
      <c r="R1539" s="14">
        <f t="shared" si="120"/>
        <v>12250</v>
      </c>
    </row>
    <row r="1540" spans="1:18" x14ac:dyDescent="0.25">
      <c r="A1540">
        <v>1539</v>
      </c>
      <c r="B1540">
        <v>1</v>
      </c>
      <c r="C1540" t="str">
        <f>VLOOKUP(B1540,'Cadastro Produtos'!A:E,2,2)</f>
        <v>Limonada Alfa com Açúcar 500 ml</v>
      </c>
      <c r="D1540">
        <v>17</v>
      </c>
      <c r="E1540" t="str">
        <f>VLOOKUP(D1540,'Cadatro Clientes'!A:O,2,2)</f>
        <v>Aracasuco</v>
      </c>
      <c r="F1540" t="str">
        <f>VLOOKUP(D1540,'Cadatro Clientes'!A:O,9,2)</f>
        <v>Nordeste</v>
      </c>
      <c r="G1540" s="15">
        <v>42207</v>
      </c>
      <c r="H1540">
        <f t="shared" si="121"/>
        <v>4</v>
      </c>
      <c r="I1540">
        <f t="shared" si="122"/>
        <v>22</v>
      </c>
      <c r="J1540">
        <f t="shared" si="123"/>
        <v>7</v>
      </c>
      <c r="K1540">
        <f t="shared" si="124"/>
        <v>2015</v>
      </c>
      <c r="M1540">
        <v>12</v>
      </c>
      <c r="N1540" t="str">
        <f>VLOOKUP(M1540,'Cadastro Vendedores'!A:H,2,2)</f>
        <v>Paulo</v>
      </c>
      <c r="O1540" s="2"/>
      <c r="P1540" s="16">
        <v>4200</v>
      </c>
      <c r="Q1540" s="2">
        <f>VLOOKUP(B1540,'Cadastro Produtos'!A:F,5,2)</f>
        <v>8.5</v>
      </c>
      <c r="R1540" s="14">
        <f t="shared" si="120"/>
        <v>35700</v>
      </c>
    </row>
    <row r="1541" spans="1:18" x14ac:dyDescent="0.25">
      <c r="A1541">
        <v>1540</v>
      </c>
      <c r="B1541">
        <v>3</v>
      </c>
      <c r="C1541" t="str">
        <f>VLOOKUP(B1541,'Cadastro Produtos'!A:E,2,2)</f>
        <v>Limonada Alfa Zero 500 ml</v>
      </c>
      <c r="D1541">
        <v>12</v>
      </c>
      <c r="E1541" t="str">
        <f>VLOOKUP(D1541,'Cadatro Clientes'!A:O,2,2)</f>
        <v>Limão da Ilha</v>
      </c>
      <c r="F1541" t="str">
        <f>VLOOKUP(D1541,'Cadatro Clientes'!A:O,9,2)</f>
        <v>Sul</v>
      </c>
      <c r="G1541" s="15">
        <v>42207</v>
      </c>
      <c r="H1541">
        <f t="shared" si="121"/>
        <v>4</v>
      </c>
      <c r="I1541">
        <f t="shared" si="122"/>
        <v>22</v>
      </c>
      <c r="J1541">
        <f t="shared" si="123"/>
        <v>7</v>
      </c>
      <c r="K1541">
        <f t="shared" si="124"/>
        <v>2015</v>
      </c>
      <c r="M1541">
        <v>7</v>
      </c>
      <c r="N1541" t="str">
        <f>VLOOKUP(M1541,'Cadastro Vendedores'!A:H,2,2)</f>
        <v>Benedito</v>
      </c>
      <c r="O1541" s="2"/>
      <c r="P1541" s="16">
        <v>5000</v>
      </c>
      <c r="Q1541" s="2">
        <f>VLOOKUP(B1541,'Cadastro Produtos'!A:F,5,2)</f>
        <v>9</v>
      </c>
      <c r="R1541" s="14">
        <f t="shared" si="120"/>
        <v>45000</v>
      </c>
    </row>
    <row r="1542" spans="1:18" x14ac:dyDescent="0.25">
      <c r="A1542">
        <v>1541</v>
      </c>
      <c r="B1542">
        <v>5</v>
      </c>
      <c r="C1542" t="str">
        <f>VLOOKUP(B1542,'Cadastro Produtos'!A:E,2,2)</f>
        <v>Limonada Alfa com Açúcar 1 L</v>
      </c>
      <c r="D1542">
        <v>10</v>
      </c>
      <c r="E1542" t="str">
        <f>VLOOKUP(D1542,'Cadatro Clientes'!A:O,2,2)</f>
        <v>Lemon Gator</v>
      </c>
      <c r="F1542" t="str">
        <f>VLOOKUP(D1542,'Cadatro Clientes'!A:O,9,2)</f>
        <v>Nordeste</v>
      </c>
      <c r="G1542" s="15">
        <v>42207</v>
      </c>
      <c r="H1542">
        <f t="shared" si="121"/>
        <v>4</v>
      </c>
      <c r="I1542">
        <f t="shared" si="122"/>
        <v>22</v>
      </c>
      <c r="J1542">
        <f t="shared" si="123"/>
        <v>7</v>
      </c>
      <c r="K1542">
        <f t="shared" si="124"/>
        <v>2015</v>
      </c>
      <c r="M1542">
        <v>3</v>
      </c>
      <c r="N1542" t="str">
        <f>VLOOKUP(M1542,'Cadastro Vendedores'!A:H,2,2)</f>
        <v>Antônia</v>
      </c>
      <c r="O1542" s="2"/>
      <c r="P1542" s="16">
        <v>1300</v>
      </c>
      <c r="Q1542" s="2">
        <f>VLOOKUP(B1542,'Cadastro Produtos'!A:F,5,2)</f>
        <v>15</v>
      </c>
      <c r="R1542" s="14">
        <f t="shared" si="120"/>
        <v>19500</v>
      </c>
    </row>
    <row r="1543" spans="1:18" x14ac:dyDescent="0.25">
      <c r="A1543">
        <v>1542</v>
      </c>
      <c r="B1543">
        <v>9</v>
      </c>
      <c r="C1543" t="str">
        <f>VLOOKUP(B1543,'Cadastro Produtos'!A:E,2,2)</f>
        <v>Limonada Alfa com Hortelã e Açúcar 1 L</v>
      </c>
      <c r="D1543">
        <v>17</v>
      </c>
      <c r="E1543" t="str">
        <f>VLOOKUP(D1543,'Cadatro Clientes'!A:O,2,2)</f>
        <v>Aracasuco</v>
      </c>
      <c r="F1543" t="str">
        <f>VLOOKUP(D1543,'Cadatro Clientes'!A:O,9,2)</f>
        <v>Nordeste</v>
      </c>
      <c r="G1543" s="15">
        <v>42208</v>
      </c>
      <c r="H1543">
        <f t="shared" si="121"/>
        <v>5</v>
      </c>
      <c r="I1543">
        <f t="shared" si="122"/>
        <v>23</v>
      </c>
      <c r="J1543">
        <f t="shared" si="123"/>
        <v>7</v>
      </c>
      <c r="K1543">
        <f t="shared" si="124"/>
        <v>2015</v>
      </c>
      <c r="M1543">
        <v>9</v>
      </c>
      <c r="N1543" t="str">
        <f>VLOOKUP(M1543,'Cadastro Vendedores'!A:H,2,2)</f>
        <v>Adriana</v>
      </c>
      <c r="O1543" s="2"/>
      <c r="P1543" s="16">
        <v>1600</v>
      </c>
      <c r="Q1543" s="2">
        <f>VLOOKUP(B1543,'Cadastro Produtos'!A:F,5,2)</f>
        <v>17.5</v>
      </c>
      <c r="R1543" s="14">
        <f t="shared" si="120"/>
        <v>28000</v>
      </c>
    </row>
    <row r="1544" spans="1:18" x14ac:dyDescent="0.25">
      <c r="A1544">
        <v>1543</v>
      </c>
      <c r="B1544">
        <v>1</v>
      </c>
      <c r="C1544" t="str">
        <f>VLOOKUP(B1544,'Cadastro Produtos'!A:E,2,2)</f>
        <v>Limonada Alfa com Açúcar 500 ml</v>
      </c>
      <c r="D1544">
        <v>9</v>
      </c>
      <c r="E1544" t="str">
        <f>VLOOKUP(D1544,'Cadatro Clientes'!A:O,2,2)</f>
        <v>Fresh Lemon</v>
      </c>
      <c r="F1544" t="str">
        <f>VLOOKUP(D1544,'Cadatro Clientes'!A:O,9,2)</f>
        <v>Sudeste</v>
      </c>
      <c r="G1544" s="15">
        <v>42208</v>
      </c>
      <c r="H1544">
        <f t="shared" si="121"/>
        <v>5</v>
      </c>
      <c r="I1544">
        <f t="shared" si="122"/>
        <v>23</v>
      </c>
      <c r="J1544">
        <f t="shared" si="123"/>
        <v>7</v>
      </c>
      <c r="K1544">
        <f t="shared" si="124"/>
        <v>2015</v>
      </c>
      <c r="M1544">
        <v>13</v>
      </c>
      <c r="N1544" t="str">
        <f>VLOOKUP(M1544,'Cadastro Vendedores'!A:H,2,2)</f>
        <v>Andre</v>
      </c>
      <c r="O1544" s="2"/>
      <c r="P1544" s="16">
        <v>2200</v>
      </c>
      <c r="Q1544" s="2">
        <f>VLOOKUP(B1544,'Cadastro Produtos'!A:F,5,2)</f>
        <v>8.5</v>
      </c>
      <c r="R1544" s="14">
        <f t="shared" si="120"/>
        <v>18700</v>
      </c>
    </row>
    <row r="1545" spans="1:18" x14ac:dyDescent="0.25">
      <c r="A1545">
        <v>1544</v>
      </c>
      <c r="B1545">
        <v>1</v>
      </c>
      <c r="C1545" t="str">
        <f>VLOOKUP(B1545,'Cadastro Produtos'!A:E,2,2)</f>
        <v>Limonada Alfa com Açúcar 500 ml</v>
      </c>
      <c r="D1545">
        <v>19</v>
      </c>
      <c r="E1545" t="str">
        <f>VLOOKUP(D1545,'Cadatro Clientes'!A:O,2,2)</f>
        <v>Lima Limão</v>
      </c>
      <c r="F1545" t="str">
        <f>VLOOKUP(D1545,'Cadatro Clientes'!A:O,9,2)</f>
        <v>Sudeste</v>
      </c>
      <c r="G1545" s="15">
        <v>42208</v>
      </c>
      <c r="H1545">
        <f t="shared" si="121"/>
        <v>5</v>
      </c>
      <c r="I1545">
        <f t="shared" si="122"/>
        <v>23</v>
      </c>
      <c r="J1545">
        <f t="shared" si="123"/>
        <v>7</v>
      </c>
      <c r="K1545">
        <f t="shared" si="124"/>
        <v>2015</v>
      </c>
      <c r="M1545">
        <v>4</v>
      </c>
      <c r="N1545" t="str">
        <f>VLOOKUP(M1545,'Cadastro Vendedores'!A:H,2,2)</f>
        <v>José</v>
      </c>
      <c r="O1545" s="2"/>
      <c r="P1545" s="16">
        <v>3300</v>
      </c>
      <c r="Q1545" s="2">
        <f>VLOOKUP(B1545,'Cadastro Produtos'!A:F,5,2)</f>
        <v>8.5</v>
      </c>
      <c r="R1545" s="14">
        <f t="shared" si="120"/>
        <v>28050</v>
      </c>
    </row>
    <row r="1546" spans="1:18" x14ac:dyDescent="0.25">
      <c r="A1546">
        <v>1545</v>
      </c>
      <c r="B1546">
        <v>1</v>
      </c>
      <c r="C1546" t="str">
        <f>VLOOKUP(B1546,'Cadastro Produtos'!A:E,2,2)</f>
        <v>Limonada Alfa com Açúcar 500 ml</v>
      </c>
      <c r="D1546">
        <v>12</v>
      </c>
      <c r="E1546" t="str">
        <f>VLOOKUP(D1546,'Cadatro Clientes'!A:O,2,2)</f>
        <v>Limão da Ilha</v>
      </c>
      <c r="F1546" t="str">
        <f>VLOOKUP(D1546,'Cadatro Clientes'!A:O,9,2)</f>
        <v>Sul</v>
      </c>
      <c r="G1546" s="15">
        <v>42208</v>
      </c>
      <c r="H1546">
        <f t="shared" si="121"/>
        <v>5</v>
      </c>
      <c r="I1546">
        <f t="shared" si="122"/>
        <v>23</v>
      </c>
      <c r="J1546">
        <f t="shared" si="123"/>
        <v>7</v>
      </c>
      <c r="K1546">
        <f t="shared" si="124"/>
        <v>2015</v>
      </c>
      <c r="M1546">
        <v>9</v>
      </c>
      <c r="N1546" t="str">
        <f>VLOOKUP(M1546,'Cadastro Vendedores'!A:H,2,2)</f>
        <v>Adriana</v>
      </c>
      <c r="O1546" s="2"/>
      <c r="P1546" s="16">
        <v>3300</v>
      </c>
      <c r="Q1546" s="2">
        <f>VLOOKUP(B1546,'Cadastro Produtos'!A:F,5,2)</f>
        <v>8.5</v>
      </c>
      <c r="R1546" s="14">
        <f t="shared" si="120"/>
        <v>28050</v>
      </c>
    </row>
    <row r="1547" spans="1:18" x14ac:dyDescent="0.25">
      <c r="A1547">
        <v>1546</v>
      </c>
      <c r="B1547">
        <v>7</v>
      </c>
      <c r="C1547" t="str">
        <f>VLOOKUP(B1547,'Cadastro Produtos'!A:E,2,2)</f>
        <v>Limonada Alfa Zero 1 L</v>
      </c>
      <c r="D1547">
        <v>8</v>
      </c>
      <c r="E1547" t="str">
        <f>VLOOKUP(D1547,'Cadatro Clientes'!A:O,2,2)</f>
        <v>Refresko</v>
      </c>
      <c r="F1547" t="str">
        <f>VLOOKUP(D1547,'Cadatro Clientes'!A:O,9,2)</f>
        <v>Sul</v>
      </c>
      <c r="G1547" s="15">
        <v>42209</v>
      </c>
      <c r="H1547">
        <f t="shared" si="121"/>
        <v>6</v>
      </c>
      <c r="I1547">
        <f t="shared" si="122"/>
        <v>24</v>
      </c>
      <c r="J1547">
        <f t="shared" si="123"/>
        <v>7</v>
      </c>
      <c r="K1547">
        <f t="shared" si="124"/>
        <v>2015</v>
      </c>
      <c r="M1547">
        <v>3</v>
      </c>
      <c r="N1547" t="str">
        <f>VLOOKUP(M1547,'Cadastro Vendedores'!A:H,2,2)</f>
        <v>Antônia</v>
      </c>
      <c r="O1547" s="2"/>
      <c r="P1547" s="16">
        <v>1500</v>
      </c>
      <c r="Q1547" s="2">
        <f>VLOOKUP(B1547,'Cadastro Produtos'!A:F,5,2)</f>
        <v>15</v>
      </c>
      <c r="R1547" s="14">
        <f t="shared" si="120"/>
        <v>22500</v>
      </c>
    </row>
    <row r="1548" spans="1:18" x14ac:dyDescent="0.25">
      <c r="A1548">
        <v>1547</v>
      </c>
      <c r="B1548">
        <v>8</v>
      </c>
      <c r="C1548" t="str">
        <f>VLOOKUP(B1548,'Cadastro Produtos'!A:E,2,2)</f>
        <v>Limonada Beta Zero 1 L</v>
      </c>
      <c r="D1548">
        <v>8</v>
      </c>
      <c r="E1548" t="str">
        <f>VLOOKUP(D1548,'Cadatro Clientes'!A:O,2,2)</f>
        <v>Refresko</v>
      </c>
      <c r="F1548" t="str">
        <f>VLOOKUP(D1548,'Cadatro Clientes'!A:O,9,2)</f>
        <v>Sul</v>
      </c>
      <c r="G1548" s="15">
        <v>42209</v>
      </c>
      <c r="H1548">
        <f t="shared" si="121"/>
        <v>6</v>
      </c>
      <c r="I1548">
        <f t="shared" si="122"/>
        <v>24</v>
      </c>
      <c r="J1548">
        <f t="shared" si="123"/>
        <v>7</v>
      </c>
      <c r="K1548">
        <f t="shared" si="124"/>
        <v>2015</v>
      </c>
      <c r="M1548">
        <v>15</v>
      </c>
      <c r="N1548" t="str">
        <f>VLOOKUP(M1548,'Cadastro Vendedores'!A:H,2,2)</f>
        <v>Luis</v>
      </c>
      <c r="O1548" s="2"/>
      <c r="P1548" s="16">
        <v>2700</v>
      </c>
      <c r="Q1548" s="2">
        <f>VLOOKUP(B1548,'Cadastro Produtos'!A:F,5,2)</f>
        <v>12</v>
      </c>
      <c r="R1548" s="14">
        <f t="shared" si="120"/>
        <v>32400</v>
      </c>
    </row>
    <row r="1549" spans="1:18" x14ac:dyDescent="0.25">
      <c r="A1549">
        <v>1548</v>
      </c>
      <c r="B1549">
        <v>10</v>
      </c>
      <c r="C1549" t="str">
        <f>VLOOKUP(B1549,'Cadastro Produtos'!A:E,2,2)</f>
        <v>Limonada Alfa com Hortelã Zero 1 L</v>
      </c>
      <c r="D1549">
        <v>2</v>
      </c>
      <c r="E1549" t="str">
        <f>VLOOKUP(D1549,'Cadatro Clientes'!A:O,2,2)</f>
        <v>Limão S/A</v>
      </c>
      <c r="F1549" t="str">
        <f>VLOOKUP(D1549,'Cadatro Clientes'!A:O,9,2)</f>
        <v>Centro-Oeste</v>
      </c>
      <c r="G1549" s="15">
        <v>42209</v>
      </c>
      <c r="H1549">
        <f t="shared" si="121"/>
        <v>6</v>
      </c>
      <c r="I1549">
        <f t="shared" si="122"/>
        <v>24</v>
      </c>
      <c r="J1549">
        <f t="shared" si="123"/>
        <v>7</v>
      </c>
      <c r="K1549">
        <f t="shared" si="124"/>
        <v>2015</v>
      </c>
      <c r="M1549">
        <v>2</v>
      </c>
      <c r="N1549" t="str">
        <f>VLOOKUP(M1549,'Cadastro Vendedores'!A:H,2,2)</f>
        <v>Luis</v>
      </c>
      <c r="O1549" s="2"/>
      <c r="P1549" s="16">
        <v>800</v>
      </c>
      <c r="Q1549" s="2">
        <f>VLOOKUP(B1549,'Cadastro Produtos'!A:F,5,2)</f>
        <v>21</v>
      </c>
      <c r="R1549" s="14">
        <f t="shared" si="120"/>
        <v>16800</v>
      </c>
    </row>
    <row r="1550" spans="1:18" x14ac:dyDescent="0.25">
      <c r="A1550">
        <v>1549</v>
      </c>
      <c r="B1550">
        <v>1</v>
      </c>
      <c r="C1550" t="str">
        <f>VLOOKUP(B1550,'Cadastro Produtos'!A:E,2,2)</f>
        <v>Limonada Alfa com Açúcar 500 ml</v>
      </c>
      <c r="D1550">
        <v>3</v>
      </c>
      <c r="E1550" t="str">
        <f>VLOOKUP(D1550,'Cadatro Clientes'!A:O,2,2)</f>
        <v>Limonada Suíça Ltda</v>
      </c>
      <c r="F1550" t="str">
        <f>VLOOKUP(D1550,'Cadatro Clientes'!A:O,9,2)</f>
        <v>Nordeste</v>
      </c>
      <c r="G1550" s="15">
        <v>42210</v>
      </c>
      <c r="H1550">
        <f t="shared" si="121"/>
        <v>7</v>
      </c>
      <c r="I1550">
        <f t="shared" si="122"/>
        <v>25</v>
      </c>
      <c r="J1550">
        <f t="shared" si="123"/>
        <v>7</v>
      </c>
      <c r="K1550">
        <f t="shared" si="124"/>
        <v>2015</v>
      </c>
      <c r="M1550">
        <v>16</v>
      </c>
      <c r="N1550" t="str">
        <f>VLOOKUP(M1550,'Cadastro Vendedores'!A:H,2,2)</f>
        <v>Jose</v>
      </c>
      <c r="O1550" s="2"/>
      <c r="P1550" s="16">
        <v>3600</v>
      </c>
      <c r="Q1550" s="2">
        <f>VLOOKUP(B1550,'Cadastro Produtos'!A:F,5,2)</f>
        <v>8.5</v>
      </c>
      <c r="R1550" s="14">
        <f t="shared" si="120"/>
        <v>30600</v>
      </c>
    </row>
    <row r="1551" spans="1:18" x14ac:dyDescent="0.25">
      <c r="A1551">
        <v>1550</v>
      </c>
      <c r="B1551">
        <v>2</v>
      </c>
      <c r="C1551" t="str">
        <f>VLOOKUP(B1551,'Cadastro Produtos'!A:E,2,2)</f>
        <v>Limonada Beta com Açúcar 500 ml</v>
      </c>
      <c r="D1551">
        <v>7</v>
      </c>
      <c r="E1551" t="str">
        <f>VLOOKUP(D1551,'Cadatro Clientes'!A:O,2,2)</f>
        <v>Limo</v>
      </c>
      <c r="F1551" t="str">
        <f>VLOOKUP(D1551,'Cadatro Clientes'!A:O,9,2)</f>
        <v>Centro-Oeste</v>
      </c>
      <c r="G1551" s="15">
        <v>42210</v>
      </c>
      <c r="H1551">
        <f t="shared" si="121"/>
        <v>7</v>
      </c>
      <c r="I1551">
        <f t="shared" si="122"/>
        <v>25</v>
      </c>
      <c r="J1551">
        <f t="shared" si="123"/>
        <v>7</v>
      </c>
      <c r="K1551">
        <f t="shared" si="124"/>
        <v>2015</v>
      </c>
      <c r="M1551">
        <v>15</v>
      </c>
      <c r="N1551" t="str">
        <f>VLOOKUP(M1551,'Cadastro Vendedores'!A:H,2,2)</f>
        <v>Luis</v>
      </c>
      <c r="O1551" s="2"/>
      <c r="P1551" s="16">
        <v>6000</v>
      </c>
      <c r="Q1551" s="2">
        <f>VLOOKUP(B1551,'Cadastro Produtos'!A:F,5,2)</f>
        <v>6.5</v>
      </c>
      <c r="R1551" s="14">
        <f t="shared" si="120"/>
        <v>39000</v>
      </c>
    </row>
    <row r="1552" spans="1:18" x14ac:dyDescent="0.25">
      <c r="A1552">
        <v>1551</v>
      </c>
      <c r="B1552">
        <v>7</v>
      </c>
      <c r="C1552" t="str">
        <f>VLOOKUP(B1552,'Cadastro Produtos'!A:E,2,2)</f>
        <v>Limonada Alfa Zero 1 L</v>
      </c>
      <c r="D1552">
        <v>13</v>
      </c>
      <c r="E1552" t="str">
        <f>VLOOKUP(D1552,'Cadatro Clientes'!A:O,2,2)</f>
        <v>Monster Lemon</v>
      </c>
      <c r="F1552" t="str">
        <f>VLOOKUP(D1552,'Cadatro Clientes'!A:O,9,2)</f>
        <v>Nordeste</v>
      </c>
      <c r="G1552" s="15">
        <v>42210</v>
      </c>
      <c r="H1552">
        <f t="shared" si="121"/>
        <v>7</v>
      </c>
      <c r="I1552">
        <f t="shared" si="122"/>
        <v>25</v>
      </c>
      <c r="J1552">
        <f t="shared" si="123"/>
        <v>7</v>
      </c>
      <c r="K1552">
        <f t="shared" si="124"/>
        <v>2015</v>
      </c>
      <c r="M1552">
        <v>4</v>
      </c>
      <c r="N1552" t="str">
        <f>VLOOKUP(M1552,'Cadastro Vendedores'!A:H,2,2)</f>
        <v>José</v>
      </c>
      <c r="O1552" s="2"/>
      <c r="P1552" s="16">
        <v>2500</v>
      </c>
      <c r="Q1552" s="2">
        <f>VLOOKUP(B1552,'Cadastro Produtos'!A:F,5,2)</f>
        <v>15</v>
      </c>
      <c r="R1552" s="14">
        <f t="shared" si="120"/>
        <v>37500</v>
      </c>
    </row>
    <row r="1553" spans="1:18" x14ac:dyDescent="0.25">
      <c r="A1553">
        <v>1552</v>
      </c>
      <c r="B1553">
        <v>9</v>
      </c>
      <c r="C1553" t="str">
        <f>VLOOKUP(B1553,'Cadastro Produtos'!A:E,2,2)</f>
        <v>Limonada Alfa com Hortelã e Açúcar 1 L</v>
      </c>
      <c r="D1553">
        <v>11</v>
      </c>
      <c r="E1553" t="str">
        <f>VLOOKUP(D1553,'Cadatro Clientes'!A:O,2,2)</f>
        <v>Red Lemon</v>
      </c>
      <c r="F1553" t="str">
        <f>VLOOKUP(D1553,'Cadatro Clientes'!A:O,9,2)</f>
        <v>Sul</v>
      </c>
      <c r="G1553" s="15">
        <v>42210</v>
      </c>
      <c r="H1553">
        <f t="shared" si="121"/>
        <v>7</v>
      </c>
      <c r="I1553">
        <f t="shared" si="122"/>
        <v>25</v>
      </c>
      <c r="J1553">
        <f t="shared" si="123"/>
        <v>7</v>
      </c>
      <c r="K1553">
        <f t="shared" si="124"/>
        <v>2015</v>
      </c>
      <c r="M1553">
        <v>8</v>
      </c>
      <c r="N1553" t="str">
        <f>VLOOKUP(M1553,'Cadastro Vendedores'!A:H,2,2)</f>
        <v>Sérgio</v>
      </c>
      <c r="O1553" s="2"/>
      <c r="P1553" s="16">
        <v>1600</v>
      </c>
      <c r="Q1553" s="2">
        <f>VLOOKUP(B1553,'Cadastro Produtos'!A:F,5,2)</f>
        <v>17.5</v>
      </c>
      <c r="R1553" s="14">
        <f t="shared" si="120"/>
        <v>28000</v>
      </c>
    </row>
    <row r="1554" spans="1:18" x14ac:dyDescent="0.25">
      <c r="A1554">
        <v>1553</v>
      </c>
      <c r="B1554">
        <v>10</v>
      </c>
      <c r="C1554" t="str">
        <f>VLOOKUP(B1554,'Cadastro Produtos'!A:E,2,2)</f>
        <v>Limonada Alfa com Hortelã Zero 1 L</v>
      </c>
      <c r="D1554">
        <v>10</v>
      </c>
      <c r="E1554" t="str">
        <f>VLOOKUP(D1554,'Cadatro Clientes'!A:O,2,2)</f>
        <v>Lemon Gator</v>
      </c>
      <c r="F1554" t="str">
        <f>VLOOKUP(D1554,'Cadatro Clientes'!A:O,9,2)</f>
        <v>Nordeste</v>
      </c>
      <c r="G1554" s="15">
        <v>42210</v>
      </c>
      <c r="H1554">
        <f t="shared" si="121"/>
        <v>7</v>
      </c>
      <c r="I1554">
        <f t="shared" si="122"/>
        <v>25</v>
      </c>
      <c r="J1554">
        <f t="shared" si="123"/>
        <v>7</v>
      </c>
      <c r="K1554">
        <f t="shared" si="124"/>
        <v>2015</v>
      </c>
      <c r="M1554">
        <v>4</v>
      </c>
      <c r="N1554" t="str">
        <f>VLOOKUP(M1554,'Cadastro Vendedores'!A:H,2,2)</f>
        <v>José</v>
      </c>
      <c r="O1554" s="2"/>
      <c r="P1554" s="16">
        <v>1000</v>
      </c>
      <c r="Q1554" s="2">
        <f>VLOOKUP(B1554,'Cadastro Produtos'!A:F,5,2)</f>
        <v>21</v>
      </c>
      <c r="R1554" s="14">
        <f t="shared" si="120"/>
        <v>21000</v>
      </c>
    </row>
    <row r="1555" spans="1:18" x14ac:dyDescent="0.25">
      <c r="A1555">
        <v>1554</v>
      </c>
      <c r="B1555">
        <v>10</v>
      </c>
      <c r="C1555" t="str">
        <f>VLOOKUP(B1555,'Cadastro Produtos'!A:E,2,2)</f>
        <v>Limonada Alfa com Hortelã Zero 1 L</v>
      </c>
      <c r="D1555">
        <v>14</v>
      </c>
      <c r="E1555" t="str">
        <f>VLOOKUP(D1555,'Cadatro Clientes'!A:O,2,2)</f>
        <v>Sprite</v>
      </c>
      <c r="F1555" t="str">
        <f>VLOOKUP(D1555,'Cadatro Clientes'!A:O,9,2)</f>
        <v>Norte</v>
      </c>
      <c r="G1555" s="15">
        <v>42211</v>
      </c>
      <c r="H1555">
        <f t="shared" si="121"/>
        <v>1</v>
      </c>
      <c r="I1555">
        <f t="shared" si="122"/>
        <v>26</v>
      </c>
      <c r="J1555">
        <f t="shared" si="123"/>
        <v>7</v>
      </c>
      <c r="K1555">
        <f t="shared" si="124"/>
        <v>2015</v>
      </c>
      <c r="M1555">
        <v>6</v>
      </c>
      <c r="N1555" t="str">
        <f>VLOOKUP(M1555,'Cadastro Vendedores'!A:H,2,2)</f>
        <v>Antônia</v>
      </c>
      <c r="O1555" s="2"/>
      <c r="P1555" s="16">
        <v>1100</v>
      </c>
      <c r="Q1555" s="2">
        <f>VLOOKUP(B1555,'Cadastro Produtos'!A:F,5,2)</f>
        <v>21</v>
      </c>
      <c r="R1555" s="14">
        <f t="shared" si="120"/>
        <v>23100</v>
      </c>
    </row>
    <row r="1556" spans="1:18" x14ac:dyDescent="0.25">
      <c r="A1556">
        <v>1555</v>
      </c>
      <c r="B1556">
        <v>3</v>
      </c>
      <c r="C1556" t="str">
        <f>VLOOKUP(B1556,'Cadastro Produtos'!A:E,2,2)</f>
        <v>Limonada Alfa Zero 500 ml</v>
      </c>
      <c r="D1556">
        <v>19</v>
      </c>
      <c r="E1556" t="str">
        <f>VLOOKUP(D1556,'Cadatro Clientes'!A:O,2,2)</f>
        <v>Lima Limão</v>
      </c>
      <c r="F1556" t="str">
        <f>VLOOKUP(D1556,'Cadatro Clientes'!A:O,9,2)</f>
        <v>Sudeste</v>
      </c>
      <c r="G1556" s="15">
        <v>42211</v>
      </c>
      <c r="H1556">
        <f t="shared" si="121"/>
        <v>1</v>
      </c>
      <c r="I1556">
        <f t="shared" si="122"/>
        <v>26</v>
      </c>
      <c r="J1556">
        <f t="shared" si="123"/>
        <v>7</v>
      </c>
      <c r="K1556">
        <f t="shared" si="124"/>
        <v>2015</v>
      </c>
      <c r="M1556">
        <v>6</v>
      </c>
      <c r="N1556" t="str">
        <f>VLOOKUP(M1556,'Cadastro Vendedores'!A:H,2,2)</f>
        <v>Antônia</v>
      </c>
      <c r="O1556" s="2"/>
      <c r="P1556" s="16">
        <v>3400</v>
      </c>
      <c r="Q1556" s="2">
        <f>VLOOKUP(B1556,'Cadastro Produtos'!A:F,5,2)</f>
        <v>9</v>
      </c>
      <c r="R1556" s="14">
        <f t="shared" si="120"/>
        <v>30600</v>
      </c>
    </row>
    <row r="1557" spans="1:18" x14ac:dyDescent="0.25">
      <c r="A1557">
        <v>1556</v>
      </c>
      <c r="B1557">
        <v>10</v>
      </c>
      <c r="C1557" t="str">
        <f>VLOOKUP(B1557,'Cadastro Produtos'!A:E,2,2)</f>
        <v>Limonada Alfa com Hortelã Zero 1 L</v>
      </c>
      <c r="D1557">
        <v>1</v>
      </c>
      <c r="E1557" t="str">
        <f>VLOOKUP(D1557,'Cadatro Clientes'!A:O,2,2)</f>
        <v>Meu Suco de Limão</v>
      </c>
      <c r="F1557" t="str">
        <f>VLOOKUP(D1557,'Cadatro Clientes'!A:O,9,2)</f>
        <v>Norte</v>
      </c>
      <c r="G1557" s="15">
        <v>42212</v>
      </c>
      <c r="H1557">
        <f t="shared" si="121"/>
        <v>2</v>
      </c>
      <c r="I1557">
        <f t="shared" si="122"/>
        <v>27</v>
      </c>
      <c r="J1557">
        <f t="shared" si="123"/>
        <v>7</v>
      </c>
      <c r="K1557">
        <f t="shared" si="124"/>
        <v>2015</v>
      </c>
      <c r="M1557">
        <v>4</v>
      </c>
      <c r="N1557" t="str">
        <f>VLOOKUP(M1557,'Cadastro Vendedores'!A:H,2,2)</f>
        <v>José</v>
      </c>
      <c r="O1557" s="2"/>
      <c r="P1557" s="16">
        <v>1800</v>
      </c>
      <c r="Q1557" s="2">
        <f>VLOOKUP(B1557,'Cadastro Produtos'!A:F,5,2)</f>
        <v>21</v>
      </c>
      <c r="R1557" s="14">
        <f t="shared" si="120"/>
        <v>37800</v>
      </c>
    </row>
    <row r="1558" spans="1:18" x14ac:dyDescent="0.25">
      <c r="A1558">
        <v>1557</v>
      </c>
      <c r="B1558">
        <v>6</v>
      </c>
      <c r="C1558" t="str">
        <f>VLOOKUP(B1558,'Cadastro Produtos'!A:E,2,2)</f>
        <v>Limonada Beta com Açúcar 1 L</v>
      </c>
      <c r="D1558">
        <v>14</v>
      </c>
      <c r="E1558" t="str">
        <f>VLOOKUP(D1558,'Cadatro Clientes'!A:O,2,2)</f>
        <v>Sprite</v>
      </c>
      <c r="F1558" t="str">
        <f>VLOOKUP(D1558,'Cadatro Clientes'!A:O,9,2)</f>
        <v>Norte</v>
      </c>
      <c r="G1558" s="15">
        <v>42212</v>
      </c>
      <c r="H1558">
        <f t="shared" si="121"/>
        <v>2</v>
      </c>
      <c r="I1558">
        <f t="shared" si="122"/>
        <v>27</v>
      </c>
      <c r="J1558">
        <f t="shared" si="123"/>
        <v>7</v>
      </c>
      <c r="K1558">
        <f t="shared" si="124"/>
        <v>2015</v>
      </c>
      <c r="M1558">
        <v>8</v>
      </c>
      <c r="N1558" t="str">
        <f>VLOOKUP(M1558,'Cadastro Vendedores'!A:H,2,2)</f>
        <v>Sérgio</v>
      </c>
      <c r="O1558" s="2"/>
      <c r="P1558" s="16">
        <v>3300</v>
      </c>
      <c r="Q1558" s="2">
        <f>VLOOKUP(B1558,'Cadastro Produtos'!A:F,5,2)</f>
        <v>12</v>
      </c>
      <c r="R1558" s="14">
        <f t="shared" si="120"/>
        <v>39600</v>
      </c>
    </row>
    <row r="1559" spans="1:18" x14ac:dyDescent="0.25">
      <c r="A1559">
        <v>1558</v>
      </c>
      <c r="B1559">
        <v>7</v>
      </c>
      <c r="C1559" t="str">
        <f>VLOOKUP(B1559,'Cadastro Produtos'!A:E,2,2)</f>
        <v>Limonada Alfa Zero 1 L</v>
      </c>
      <c r="D1559">
        <v>1</v>
      </c>
      <c r="E1559" t="str">
        <f>VLOOKUP(D1559,'Cadatro Clientes'!A:O,2,2)</f>
        <v>Meu Suco de Limão</v>
      </c>
      <c r="F1559" t="str">
        <f>VLOOKUP(D1559,'Cadatro Clientes'!A:O,9,2)</f>
        <v>Norte</v>
      </c>
      <c r="G1559" s="15">
        <v>42213</v>
      </c>
      <c r="H1559">
        <f t="shared" si="121"/>
        <v>3</v>
      </c>
      <c r="I1559">
        <f t="shared" si="122"/>
        <v>28</v>
      </c>
      <c r="J1559">
        <f t="shared" si="123"/>
        <v>7</v>
      </c>
      <c r="K1559">
        <f t="shared" si="124"/>
        <v>2015</v>
      </c>
      <c r="M1559">
        <v>2</v>
      </c>
      <c r="N1559" t="str">
        <f>VLOOKUP(M1559,'Cadastro Vendedores'!A:H,2,2)</f>
        <v>Luis</v>
      </c>
      <c r="O1559" s="2"/>
      <c r="P1559" s="16">
        <v>1100</v>
      </c>
      <c r="Q1559" s="2">
        <f>VLOOKUP(B1559,'Cadastro Produtos'!A:F,5,2)</f>
        <v>15</v>
      </c>
      <c r="R1559" s="14">
        <f t="shared" si="120"/>
        <v>16500</v>
      </c>
    </row>
    <row r="1560" spans="1:18" x14ac:dyDescent="0.25">
      <c r="A1560">
        <v>1559</v>
      </c>
      <c r="B1560">
        <v>1</v>
      </c>
      <c r="C1560" t="str">
        <f>VLOOKUP(B1560,'Cadastro Produtos'!A:E,2,2)</f>
        <v>Limonada Alfa com Açúcar 500 ml</v>
      </c>
      <c r="D1560">
        <v>11</v>
      </c>
      <c r="E1560" t="str">
        <f>VLOOKUP(D1560,'Cadatro Clientes'!A:O,2,2)</f>
        <v>Red Lemon</v>
      </c>
      <c r="F1560" t="str">
        <f>VLOOKUP(D1560,'Cadatro Clientes'!A:O,9,2)</f>
        <v>Sul</v>
      </c>
      <c r="G1560" s="15">
        <v>42213</v>
      </c>
      <c r="H1560">
        <f t="shared" si="121"/>
        <v>3</v>
      </c>
      <c r="I1560">
        <f t="shared" si="122"/>
        <v>28</v>
      </c>
      <c r="J1560">
        <f t="shared" si="123"/>
        <v>7</v>
      </c>
      <c r="K1560">
        <f t="shared" si="124"/>
        <v>2015</v>
      </c>
      <c r="M1560">
        <v>15</v>
      </c>
      <c r="N1560" t="str">
        <f>VLOOKUP(M1560,'Cadastro Vendedores'!A:H,2,2)</f>
        <v>Luis</v>
      </c>
      <c r="O1560" s="2"/>
      <c r="P1560" s="16">
        <v>2600</v>
      </c>
      <c r="Q1560" s="2">
        <f>VLOOKUP(B1560,'Cadastro Produtos'!A:F,5,2)</f>
        <v>8.5</v>
      </c>
      <c r="R1560" s="14">
        <f t="shared" si="120"/>
        <v>22100</v>
      </c>
    </row>
    <row r="1561" spans="1:18" x14ac:dyDescent="0.25">
      <c r="A1561">
        <v>1560</v>
      </c>
      <c r="B1561">
        <v>10</v>
      </c>
      <c r="C1561" t="str">
        <f>VLOOKUP(B1561,'Cadastro Produtos'!A:E,2,2)</f>
        <v>Limonada Alfa com Hortelã Zero 1 L</v>
      </c>
      <c r="D1561">
        <v>2</v>
      </c>
      <c r="E1561" t="str">
        <f>VLOOKUP(D1561,'Cadatro Clientes'!A:O,2,2)</f>
        <v>Limão S/A</v>
      </c>
      <c r="F1561" t="str">
        <f>VLOOKUP(D1561,'Cadatro Clientes'!A:O,9,2)</f>
        <v>Centro-Oeste</v>
      </c>
      <c r="G1561" s="15">
        <v>42215</v>
      </c>
      <c r="H1561">
        <f t="shared" si="121"/>
        <v>5</v>
      </c>
      <c r="I1561">
        <f t="shared" si="122"/>
        <v>30</v>
      </c>
      <c r="J1561">
        <f t="shared" si="123"/>
        <v>7</v>
      </c>
      <c r="K1561">
        <f t="shared" si="124"/>
        <v>2015</v>
      </c>
      <c r="M1561">
        <v>15</v>
      </c>
      <c r="N1561" t="str">
        <f>VLOOKUP(M1561,'Cadastro Vendedores'!A:H,2,2)</f>
        <v>Luis</v>
      </c>
      <c r="O1561" s="2"/>
      <c r="P1561" s="16">
        <v>1800</v>
      </c>
      <c r="Q1561" s="2">
        <f>VLOOKUP(B1561,'Cadastro Produtos'!A:F,5,2)</f>
        <v>21</v>
      </c>
      <c r="R1561" s="14">
        <f t="shared" si="120"/>
        <v>37800</v>
      </c>
    </row>
    <row r="1562" spans="1:18" x14ac:dyDescent="0.25">
      <c r="A1562">
        <v>1561</v>
      </c>
      <c r="B1562">
        <v>10</v>
      </c>
      <c r="C1562" t="str">
        <f>VLOOKUP(B1562,'Cadastro Produtos'!A:E,2,2)</f>
        <v>Limonada Alfa com Hortelã Zero 1 L</v>
      </c>
      <c r="D1562">
        <v>16</v>
      </c>
      <c r="E1562" t="str">
        <f>VLOOKUP(D1562,'Cadatro Clientes'!A:O,2,2)</f>
        <v>Norte Suco</v>
      </c>
      <c r="F1562" t="str">
        <f>VLOOKUP(D1562,'Cadatro Clientes'!A:O,9,2)</f>
        <v>Nordeste</v>
      </c>
      <c r="G1562" s="15">
        <v>42216</v>
      </c>
      <c r="H1562">
        <f t="shared" si="121"/>
        <v>6</v>
      </c>
      <c r="I1562">
        <f t="shared" si="122"/>
        <v>31</v>
      </c>
      <c r="J1562">
        <f t="shared" si="123"/>
        <v>7</v>
      </c>
      <c r="K1562">
        <f t="shared" si="124"/>
        <v>2015</v>
      </c>
      <c r="M1562">
        <v>6</v>
      </c>
      <c r="N1562" t="str">
        <f>VLOOKUP(M1562,'Cadastro Vendedores'!A:H,2,2)</f>
        <v>Antônia</v>
      </c>
      <c r="O1562" s="2"/>
      <c r="P1562" s="16">
        <v>1000</v>
      </c>
      <c r="Q1562" s="2">
        <f>VLOOKUP(B1562,'Cadastro Produtos'!A:F,5,2)</f>
        <v>21</v>
      </c>
      <c r="R1562" s="14">
        <f t="shared" si="120"/>
        <v>21000</v>
      </c>
    </row>
    <row r="1563" spans="1:18" x14ac:dyDescent="0.25">
      <c r="A1563">
        <v>1562</v>
      </c>
      <c r="B1563">
        <v>5</v>
      </c>
      <c r="C1563" t="str">
        <f>VLOOKUP(B1563,'Cadastro Produtos'!A:E,2,2)</f>
        <v>Limonada Alfa com Açúcar 1 L</v>
      </c>
      <c r="D1563">
        <v>7</v>
      </c>
      <c r="E1563" t="str">
        <f>VLOOKUP(D1563,'Cadatro Clientes'!A:O,2,2)</f>
        <v>Limo</v>
      </c>
      <c r="F1563" t="str">
        <f>VLOOKUP(D1563,'Cadatro Clientes'!A:O,9,2)</f>
        <v>Centro-Oeste</v>
      </c>
      <c r="G1563" s="15">
        <v>42216</v>
      </c>
      <c r="H1563">
        <f t="shared" si="121"/>
        <v>6</v>
      </c>
      <c r="I1563">
        <f t="shared" si="122"/>
        <v>31</v>
      </c>
      <c r="J1563">
        <f t="shared" si="123"/>
        <v>7</v>
      </c>
      <c r="K1563">
        <f t="shared" si="124"/>
        <v>2015</v>
      </c>
      <c r="M1563">
        <v>16</v>
      </c>
      <c r="N1563" t="str">
        <f>VLOOKUP(M1563,'Cadastro Vendedores'!A:H,2,2)</f>
        <v>Jose</v>
      </c>
      <c r="O1563" s="2"/>
      <c r="P1563" s="16">
        <v>2000</v>
      </c>
      <c r="Q1563" s="2">
        <f>VLOOKUP(B1563,'Cadastro Produtos'!A:F,5,2)</f>
        <v>15</v>
      </c>
      <c r="R1563" s="14">
        <f t="shared" si="120"/>
        <v>30000</v>
      </c>
    </row>
    <row r="1564" spans="1:18" x14ac:dyDescent="0.25">
      <c r="A1564">
        <v>1563</v>
      </c>
      <c r="B1564">
        <v>7</v>
      </c>
      <c r="C1564" t="str">
        <f>VLOOKUP(B1564,'Cadastro Produtos'!A:E,2,2)</f>
        <v>Limonada Alfa Zero 1 L</v>
      </c>
      <c r="D1564">
        <v>16</v>
      </c>
      <c r="E1564" t="str">
        <f>VLOOKUP(D1564,'Cadatro Clientes'!A:O,2,2)</f>
        <v>Norte Suco</v>
      </c>
      <c r="F1564" t="str">
        <f>VLOOKUP(D1564,'Cadatro Clientes'!A:O,9,2)</f>
        <v>Nordeste</v>
      </c>
      <c r="G1564" s="15">
        <v>42216</v>
      </c>
      <c r="H1564">
        <f t="shared" si="121"/>
        <v>6</v>
      </c>
      <c r="I1564">
        <f t="shared" si="122"/>
        <v>31</v>
      </c>
      <c r="J1564">
        <f t="shared" si="123"/>
        <v>7</v>
      </c>
      <c r="K1564">
        <f t="shared" si="124"/>
        <v>2015</v>
      </c>
      <c r="M1564">
        <v>3</v>
      </c>
      <c r="N1564" t="str">
        <f>VLOOKUP(M1564,'Cadastro Vendedores'!A:H,2,2)</f>
        <v>Antônia</v>
      </c>
      <c r="O1564" s="2"/>
      <c r="P1564" s="16">
        <v>1600</v>
      </c>
      <c r="Q1564" s="2">
        <f>VLOOKUP(B1564,'Cadastro Produtos'!A:F,5,2)</f>
        <v>15</v>
      </c>
      <c r="R1564" s="14">
        <f t="shared" si="120"/>
        <v>24000</v>
      </c>
    </row>
    <row r="1565" spans="1:18" x14ac:dyDescent="0.25">
      <c r="A1565">
        <v>1564</v>
      </c>
      <c r="B1565">
        <v>8</v>
      </c>
      <c r="C1565" t="str">
        <f>VLOOKUP(B1565,'Cadastro Produtos'!A:E,2,2)</f>
        <v>Limonada Beta Zero 1 L</v>
      </c>
      <c r="D1565">
        <v>3</v>
      </c>
      <c r="E1565" t="str">
        <f>VLOOKUP(D1565,'Cadatro Clientes'!A:O,2,2)</f>
        <v>Limonada Suíça Ltda</v>
      </c>
      <c r="F1565" t="str">
        <f>VLOOKUP(D1565,'Cadatro Clientes'!A:O,9,2)</f>
        <v>Nordeste</v>
      </c>
      <c r="G1565" s="15">
        <v>42217</v>
      </c>
      <c r="H1565">
        <f t="shared" si="121"/>
        <v>7</v>
      </c>
      <c r="I1565">
        <f t="shared" si="122"/>
        <v>1</v>
      </c>
      <c r="J1565">
        <f t="shared" si="123"/>
        <v>8</v>
      </c>
      <c r="K1565">
        <f t="shared" si="124"/>
        <v>2015</v>
      </c>
      <c r="M1565">
        <v>4</v>
      </c>
      <c r="N1565" t="str">
        <f>VLOOKUP(M1565,'Cadastro Vendedores'!A:H,2,2)</f>
        <v>José</v>
      </c>
      <c r="O1565" s="2"/>
      <c r="P1565" s="16">
        <v>1000</v>
      </c>
      <c r="Q1565" s="2">
        <f>VLOOKUP(B1565,'Cadastro Produtos'!A:F,5,2)</f>
        <v>12</v>
      </c>
      <c r="R1565" s="14">
        <f t="shared" si="120"/>
        <v>12000</v>
      </c>
    </row>
    <row r="1566" spans="1:18" x14ac:dyDescent="0.25">
      <c r="A1566">
        <v>1565</v>
      </c>
      <c r="B1566">
        <v>9</v>
      </c>
      <c r="C1566" t="str">
        <f>VLOOKUP(B1566,'Cadastro Produtos'!A:E,2,2)</f>
        <v>Limonada Alfa com Hortelã e Açúcar 1 L</v>
      </c>
      <c r="D1566">
        <v>17</v>
      </c>
      <c r="E1566" t="str">
        <f>VLOOKUP(D1566,'Cadatro Clientes'!A:O,2,2)</f>
        <v>Aracasuco</v>
      </c>
      <c r="F1566" t="str">
        <f>VLOOKUP(D1566,'Cadatro Clientes'!A:O,9,2)</f>
        <v>Nordeste</v>
      </c>
      <c r="G1566" s="15">
        <v>42217</v>
      </c>
      <c r="H1566">
        <f t="shared" si="121"/>
        <v>7</v>
      </c>
      <c r="I1566">
        <f t="shared" si="122"/>
        <v>1</v>
      </c>
      <c r="J1566">
        <f t="shared" si="123"/>
        <v>8</v>
      </c>
      <c r="K1566">
        <f t="shared" si="124"/>
        <v>2015</v>
      </c>
      <c r="M1566">
        <v>16</v>
      </c>
      <c r="N1566" t="str">
        <f>VLOOKUP(M1566,'Cadastro Vendedores'!A:H,2,2)</f>
        <v>Jose</v>
      </c>
      <c r="O1566" s="2"/>
      <c r="P1566" s="16">
        <v>800</v>
      </c>
      <c r="Q1566" s="2">
        <f>VLOOKUP(B1566,'Cadastro Produtos'!A:F,5,2)</f>
        <v>17.5</v>
      </c>
      <c r="R1566" s="14">
        <f t="shared" si="120"/>
        <v>14000</v>
      </c>
    </row>
    <row r="1567" spans="1:18" x14ac:dyDescent="0.25">
      <c r="A1567">
        <v>1566</v>
      </c>
      <c r="B1567">
        <v>8</v>
      </c>
      <c r="C1567" t="str">
        <f>VLOOKUP(B1567,'Cadastro Produtos'!A:E,2,2)</f>
        <v>Limonada Beta Zero 1 L</v>
      </c>
      <c r="D1567">
        <v>9</v>
      </c>
      <c r="E1567" t="str">
        <f>VLOOKUP(D1567,'Cadatro Clientes'!A:O,2,2)</f>
        <v>Fresh Lemon</v>
      </c>
      <c r="F1567" t="str">
        <f>VLOOKUP(D1567,'Cadatro Clientes'!A:O,9,2)</f>
        <v>Sudeste</v>
      </c>
      <c r="G1567" s="15">
        <v>42217</v>
      </c>
      <c r="H1567">
        <f t="shared" si="121"/>
        <v>7</v>
      </c>
      <c r="I1567">
        <f t="shared" si="122"/>
        <v>1</v>
      </c>
      <c r="J1567">
        <f t="shared" si="123"/>
        <v>8</v>
      </c>
      <c r="K1567">
        <f t="shared" si="124"/>
        <v>2015</v>
      </c>
      <c r="M1567">
        <v>16</v>
      </c>
      <c r="N1567" t="str">
        <f>VLOOKUP(M1567,'Cadastro Vendedores'!A:H,2,2)</f>
        <v>Jose</v>
      </c>
      <c r="O1567" s="2"/>
      <c r="P1567" s="16">
        <v>3000</v>
      </c>
      <c r="Q1567" s="2">
        <f>VLOOKUP(B1567,'Cadastro Produtos'!A:F,5,2)</f>
        <v>12</v>
      </c>
      <c r="R1567" s="14">
        <f t="shared" si="120"/>
        <v>36000</v>
      </c>
    </row>
    <row r="1568" spans="1:18" x14ac:dyDescent="0.25">
      <c r="A1568">
        <v>1567</v>
      </c>
      <c r="B1568">
        <v>3</v>
      </c>
      <c r="C1568" t="str">
        <f>VLOOKUP(B1568,'Cadastro Produtos'!A:E,2,2)</f>
        <v>Limonada Alfa Zero 500 ml</v>
      </c>
      <c r="D1568">
        <v>2</v>
      </c>
      <c r="E1568" t="str">
        <f>VLOOKUP(D1568,'Cadatro Clientes'!A:O,2,2)</f>
        <v>Limão S/A</v>
      </c>
      <c r="F1568" t="str">
        <f>VLOOKUP(D1568,'Cadatro Clientes'!A:O,9,2)</f>
        <v>Centro-Oeste</v>
      </c>
      <c r="G1568" s="15">
        <v>42218</v>
      </c>
      <c r="H1568">
        <f t="shared" si="121"/>
        <v>1</v>
      </c>
      <c r="I1568">
        <f t="shared" si="122"/>
        <v>2</v>
      </c>
      <c r="J1568">
        <f t="shared" si="123"/>
        <v>8</v>
      </c>
      <c r="K1568">
        <f t="shared" si="124"/>
        <v>2015</v>
      </c>
      <c r="M1568">
        <v>8</v>
      </c>
      <c r="N1568" t="str">
        <f>VLOOKUP(M1568,'Cadastro Vendedores'!A:H,2,2)</f>
        <v>Sérgio</v>
      </c>
      <c r="O1568" s="2"/>
      <c r="P1568" s="16">
        <v>2800</v>
      </c>
      <c r="Q1568" s="2">
        <f>VLOOKUP(B1568,'Cadastro Produtos'!A:F,5,2)</f>
        <v>9</v>
      </c>
      <c r="R1568" s="14">
        <f t="shared" si="120"/>
        <v>25200</v>
      </c>
    </row>
    <row r="1569" spans="1:18" x14ac:dyDescent="0.25">
      <c r="A1569">
        <v>1568</v>
      </c>
      <c r="B1569">
        <v>10</v>
      </c>
      <c r="C1569" t="str">
        <f>VLOOKUP(B1569,'Cadastro Produtos'!A:E,2,2)</f>
        <v>Limonada Alfa com Hortelã Zero 1 L</v>
      </c>
      <c r="D1569">
        <v>17</v>
      </c>
      <c r="E1569" t="str">
        <f>VLOOKUP(D1569,'Cadatro Clientes'!A:O,2,2)</f>
        <v>Aracasuco</v>
      </c>
      <c r="F1569" t="str">
        <f>VLOOKUP(D1569,'Cadatro Clientes'!A:O,9,2)</f>
        <v>Nordeste</v>
      </c>
      <c r="G1569" s="15">
        <v>42218</v>
      </c>
      <c r="H1569">
        <f t="shared" si="121"/>
        <v>1</v>
      </c>
      <c r="I1569">
        <f t="shared" si="122"/>
        <v>2</v>
      </c>
      <c r="J1569">
        <f t="shared" si="123"/>
        <v>8</v>
      </c>
      <c r="K1569">
        <f t="shared" si="124"/>
        <v>2015</v>
      </c>
      <c r="M1569">
        <v>15</v>
      </c>
      <c r="N1569" t="str">
        <f>VLOOKUP(M1569,'Cadastro Vendedores'!A:H,2,2)</f>
        <v>Luis</v>
      </c>
      <c r="O1569" s="2"/>
      <c r="P1569" s="16">
        <v>900</v>
      </c>
      <c r="Q1569" s="2">
        <f>VLOOKUP(B1569,'Cadastro Produtos'!A:F,5,2)</f>
        <v>21</v>
      </c>
      <c r="R1569" s="14">
        <f t="shared" si="120"/>
        <v>18900</v>
      </c>
    </row>
    <row r="1570" spans="1:18" x14ac:dyDescent="0.25">
      <c r="A1570">
        <v>1569</v>
      </c>
      <c r="B1570">
        <v>6</v>
      </c>
      <c r="C1570" t="str">
        <f>VLOOKUP(B1570,'Cadastro Produtos'!A:E,2,2)</f>
        <v>Limonada Beta com Açúcar 1 L</v>
      </c>
      <c r="D1570">
        <v>11</v>
      </c>
      <c r="E1570" t="str">
        <f>VLOOKUP(D1570,'Cadatro Clientes'!A:O,2,2)</f>
        <v>Red Lemon</v>
      </c>
      <c r="F1570" t="str">
        <f>VLOOKUP(D1570,'Cadatro Clientes'!A:O,9,2)</f>
        <v>Sul</v>
      </c>
      <c r="G1570" s="15">
        <v>42219</v>
      </c>
      <c r="H1570">
        <f t="shared" si="121"/>
        <v>2</v>
      </c>
      <c r="I1570">
        <f t="shared" si="122"/>
        <v>3</v>
      </c>
      <c r="J1570">
        <f t="shared" si="123"/>
        <v>8</v>
      </c>
      <c r="K1570">
        <f t="shared" si="124"/>
        <v>2015</v>
      </c>
      <c r="M1570">
        <v>7</v>
      </c>
      <c r="N1570" t="str">
        <f>VLOOKUP(M1570,'Cadastro Vendedores'!A:H,2,2)</f>
        <v>Benedito</v>
      </c>
      <c r="O1570" s="2"/>
      <c r="P1570" s="16">
        <v>1400</v>
      </c>
      <c r="Q1570" s="2">
        <f>VLOOKUP(B1570,'Cadastro Produtos'!A:F,5,2)</f>
        <v>12</v>
      </c>
      <c r="R1570" s="14">
        <f t="shared" si="120"/>
        <v>16800</v>
      </c>
    </row>
    <row r="1571" spans="1:18" x14ac:dyDescent="0.25">
      <c r="A1571">
        <v>1570</v>
      </c>
      <c r="B1571">
        <v>7</v>
      </c>
      <c r="C1571" t="str">
        <f>VLOOKUP(B1571,'Cadastro Produtos'!A:E,2,2)</f>
        <v>Limonada Alfa Zero 1 L</v>
      </c>
      <c r="D1571">
        <v>3</v>
      </c>
      <c r="E1571" t="str">
        <f>VLOOKUP(D1571,'Cadatro Clientes'!A:O,2,2)</f>
        <v>Limonada Suíça Ltda</v>
      </c>
      <c r="F1571" t="str">
        <f>VLOOKUP(D1571,'Cadatro Clientes'!A:O,9,2)</f>
        <v>Nordeste</v>
      </c>
      <c r="G1571" s="15">
        <v>42220</v>
      </c>
      <c r="H1571">
        <f t="shared" si="121"/>
        <v>3</v>
      </c>
      <c r="I1571">
        <f t="shared" si="122"/>
        <v>4</v>
      </c>
      <c r="J1571">
        <f t="shared" si="123"/>
        <v>8</v>
      </c>
      <c r="K1571">
        <f t="shared" si="124"/>
        <v>2015</v>
      </c>
      <c r="M1571">
        <v>6</v>
      </c>
      <c r="N1571" t="str">
        <f>VLOOKUP(M1571,'Cadastro Vendedores'!A:H,2,2)</f>
        <v>Antônia</v>
      </c>
      <c r="O1571" s="2"/>
      <c r="P1571" s="16">
        <v>1800</v>
      </c>
      <c r="Q1571" s="2">
        <f>VLOOKUP(B1571,'Cadastro Produtos'!A:F,5,2)</f>
        <v>15</v>
      </c>
      <c r="R1571" s="14">
        <f t="shared" si="120"/>
        <v>27000</v>
      </c>
    </row>
    <row r="1572" spans="1:18" x14ac:dyDescent="0.25">
      <c r="A1572">
        <v>1571</v>
      </c>
      <c r="B1572">
        <v>6</v>
      </c>
      <c r="C1572" t="str">
        <f>VLOOKUP(B1572,'Cadastro Produtos'!A:E,2,2)</f>
        <v>Limonada Beta com Açúcar 1 L</v>
      </c>
      <c r="D1572">
        <v>17</v>
      </c>
      <c r="E1572" t="str">
        <f>VLOOKUP(D1572,'Cadatro Clientes'!A:O,2,2)</f>
        <v>Aracasuco</v>
      </c>
      <c r="F1572" t="str">
        <f>VLOOKUP(D1572,'Cadatro Clientes'!A:O,9,2)</f>
        <v>Nordeste</v>
      </c>
      <c r="G1572" s="15">
        <v>42220</v>
      </c>
      <c r="H1572">
        <f t="shared" si="121"/>
        <v>3</v>
      </c>
      <c r="I1572">
        <f t="shared" si="122"/>
        <v>4</v>
      </c>
      <c r="J1572">
        <f t="shared" si="123"/>
        <v>8</v>
      </c>
      <c r="K1572">
        <f t="shared" si="124"/>
        <v>2015</v>
      </c>
      <c r="M1572">
        <v>8</v>
      </c>
      <c r="N1572" t="str">
        <f>VLOOKUP(M1572,'Cadastro Vendedores'!A:H,2,2)</f>
        <v>Sérgio</v>
      </c>
      <c r="O1572" s="2"/>
      <c r="P1572" s="16">
        <v>2700</v>
      </c>
      <c r="Q1572" s="2">
        <f>VLOOKUP(B1572,'Cadastro Produtos'!A:F,5,2)</f>
        <v>12</v>
      </c>
      <c r="R1572" s="14">
        <f t="shared" si="120"/>
        <v>32400</v>
      </c>
    </row>
    <row r="1573" spans="1:18" x14ac:dyDescent="0.25">
      <c r="A1573">
        <v>1572</v>
      </c>
      <c r="B1573">
        <v>10</v>
      </c>
      <c r="C1573" t="str">
        <f>VLOOKUP(B1573,'Cadastro Produtos'!A:E,2,2)</f>
        <v>Limonada Alfa com Hortelã Zero 1 L</v>
      </c>
      <c r="D1573">
        <v>11</v>
      </c>
      <c r="E1573" t="str">
        <f>VLOOKUP(D1573,'Cadatro Clientes'!A:O,2,2)</f>
        <v>Red Lemon</v>
      </c>
      <c r="F1573" t="str">
        <f>VLOOKUP(D1573,'Cadatro Clientes'!A:O,9,2)</f>
        <v>Sul</v>
      </c>
      <c r="G1573" s="15">
        <v>42220</v>
      </c>
      <c r="H1573">
        <f t="shared" si="121"/>
        <v>3</v>
      </c>
      <c r="I1573">
        <f t="shared" si="122"/>
        <v>4</v>
      </c>
      <c r="J1573">
        <f t="shared" si="123"/>
        <v>8</v>
      </c>
      <c r="K1573">
        <f t="shared" si="124"/>
        <v>2015</v>
      </c>
      <c r="M1573">
        <v>2</v>
      </c>
      <c r="N1573" t="str">
        <f>VLOOKUP(M1573,'Cadastro Vendedores'!A:H,2,2)</f>
        <v>Luis</v>
      </c>
      <c r="O1573" s="2"/>
      <c r="P1573" s="16">
        <v>800</v>
      </c>
      <c r="Q1573" s="2">
        <f>VLOOKUP(B1573,'Cadastro Produtos'!A:F,5,2)</f>
        <v>21</v>
      </c>
      <c r="R1573" s="14">
        <f t="shared" si="120"/>
        <v>16800</v>
      </c>
    </row>
    <row r="1574" spans="1:18" x14ac:dyDescent="0.25">
      <c r="A1574">
        <v>1573</v>
      </c>
      <c r="B1574">
        <v>7</v>
      </c>
      <c r="C1574" t="str">
        <f>VLOOKUP(B1574,'Cadastro Produtos'!A:E,2,2)</f>
        <v>Limonada Alfa Zero 1 L</v>
      </c>
      <c r="D1574">
        <v>20</v>
      </c>
      <c r="E1574" t="str">
        <f>VLOOKUP(D1574,'Cadatro Clientes'!A:O,2,2)</f>
        <v>Brasil Saúde</v>
      </c>
      <c r="F1574" t="str">
        <f>VLOOKUP(D1574,'Cadatro Clientes'!A:O,9,2)</f>
        <v>Nordeste</v>
      </c>
      <c r="G1574" s="15">
        <v>42221</v>
      </c>
      <c r="H1574">
        <f t="shared" si="121"/>
        <v>4</v>
      </c>
      <c r="I1574">
        <f t="shared" si="122"/>
        <v>5</v>
      </c>
      <c r="J1574">
        <f t="shared" si="123"/>
        <v>8</v>
      </c>
      <c r="K1574">
        <f t="shared" si="124"/>
        <v>2015</v>
      </c>
      <c r="M1574">
        <v>7</v>
      </c>
      <c r="N1574" t="str">
        <f>VLOOKUP(M1574,'Cadastro Vendedores'!A:H,2,2)</f>
        <v>Benedito</v>
      </c>
      <c r="O1574" s="2"/>
      <c r="P1574" s="16">
        <v>1300</v>
      </c>
      <c r="Q1574" s="2">
        <f>VLOOKUP(B1574,'Cadastro Produtos'!A:F,5,2)</f>
        <v>15</v>
      </c>
      <c r="R1574" s="14">
        <f t="shared" si="120"/>
        <v>19500</v>
      </c>
    </row>
    <row r="1575" spans="1:18" x14ac:dyDescent="0.25">
      <c r="A1575">
        <v>1574</v>
      </c>
      <c r="B1575">
        <v>2</v>
      </c>
      <c r="C1575" t="str">
        <f>VLOOKUP(B1575,'Cadastro Produtos'!A:E,2,2)</f>
        <v>Limonada Beta com Açúcar 500 ml</v>
      </c>
      <c r="D1575">
        <v>11</v>
      </c>
      <c r="E1575" t="str">
        <f>VLOOKUP(D1575,'Cadatro Clientes'!A:O,2,2)</f>
        <v>Red Lemon</v>
      </c>
      <c r="F1575" t="str">
        <f>VLOOKUP(D1575,'Cadatro Clientes'!A:O,9,2)</f>
        <v>Sul</v>
      </c>
      <c r="G1575" s="15">
        <v>42221</v>
      </c>
      <c r="H1575">
        <f t="shared" si="121"/>
        <v>4</v>
      </c>
      <c r="I1575">
        <f t="shared" si="122"/>
        <v>5</v>
      </c>
      <c r="J1575">
        <f t="shared" si="123"/>
        <v>8</v>
      </c>
      <c r="K1575">
        <f t="shared" si="124"/>
        <v>2015</v>
      </c>
      <c r="M1575">
        <v>8</v>
      </c>
      <c r="N1575" t="str">
        <f>VLOOKUP(M1575,'Cadastro Vendedores'!A:H,2,2)</f>
        <v>Sérgio</v>
      </c>
      <c r="O1575" s="2"/>
      <c r="P1575" s="16">
        <v>4800</v>
      </c>
      <c r="Q1575" s="2">
        <f>VLOOKUP(B1575,'Cadastro Produtos'!A:F,5,2)</f>
        <v>6.5</v>
      </c>
      <c r="R1575" s="14">
        <f t="shared" si="120"/>
        <v>31200</v>
      </c>
    </row>
    <row r="1576" spans="1:18" x14ac:dyDescent="0.25">
      <c r="A1576">
        <v>1575</v>
      </c>
      <c r="B1576">
        <v>3</v>
      </c>
      <c r="C1576" t="str">
        <f>VLOOKUP(B1576,'Cadastro Produtos'!A:E,2,2)</f>
        <v>Limonada Alfa Zero 500 ml</v>
      </c>
      <c r="D1576">
        <v>3</v>
      </c>
      <c r="E1576" t="str">
        <f>VLOOKUP(D1576,'Cadatro Clientes'!A:O,2,2)</f>
        <v>Limonada Suíça Ltda</v>
      </c>
      <c r="F1576" t="str">
        <f>VLOOKUP(D1576,'Cadatro Clientes'!A:O,9,2)</f>
        <v>Nordeste</v>
      </c>
      <c r="G1576" s="15">
        <v>42222</v>
      </c>
      <c r="H1576">
        <f t="shared" si="121"/>
        <v>5</v>
      </c>
      <c r="I1576">
        <f t="shared" si="122"/>
        <v>6</v>
      </c>
      <c r="J1576">
        <f t="shared" si="123"/>
        <v>8</v>
      </c>
      <c r="K1576">
        <f t="shared" si="124"/>
        <v>2015</v>
      </c>
      <c r="M1576">
        <v>2</v>
      </c>
      <c r="N1576" t="str">
        <f>VLOOKUP(M1576,'Cadastro Vendedores'!A:H,2,2)</f>
        <v>Luis</v>
      </c>
      <c r="O1576" s="2"/>
      <c r="P1576" s="16">
        <v>3600</v>
      </c>
      <c r="Q1576" s="2">
        <f>VLOOKUP(B1576,'Cadastro Produtos'!A:F,5,2)</f>
        <v>9</v>
      </c>
      <c r="R1576" s="14">
        <f t="shared" si="120"/>
        <v>32400</v>
      </c>
    </row>
    <row r="1577" spans="1:18" x14ac:dyDescent="0.25">
      <c r="A1577">
        <v>1576</v>
      </c>
      <c r="B1577">
        <v>10</v>
      </c>
      <c r="C1577" t="str">
        <f>VLOOKUP(B1577,'Cadastro Produtos'!A:E,2,2)</f>
        <v>Limonada Alfa com Hortelã Zero 1 L</v>
      </c>
      <c r="D1577">
        <v>11</v>
      </c>
      <c r="E1577" t="str">
        <f>VLOOKUP(D1577,'Cadatro Clientes'!A:O,2,2)</f>
        <v>Red Lemon</v>
      </c>
      <c r="F1577" t="str">
        <f>VLOOKUP(D1577,'Cadatro Clientes'!A:O,9,2)</f>
        <v>Sul</v>
      </c>
      <c r="G1577" s="15">
        <v>42222</v>
      </c>
      <c r="H1577">
        <f t="shared" si="121"/>
        <v>5</v>
      </c>
      <c r="I1577">
        <f t="shared" si="122"/>
        <v>6</v>
      </c>
      <c r="J1577">
        <f t="shared" si="123"/>
        <v>8</v>
      </c>
      <c r="K1577">
        <f t="shared" si="124"/>
        <v>2015</v>
      </c>
      <c r="M1577">
        <v>12</v>
      </c>
      <c r="N1577" t="str">
        <f>VLOOKUP(M1577,'Cadastro Vendedores'!A:H,2,2)</f>
        <v>Paulo</v>
      </c>
      <c r="O1577" s="2"/>
      <c r="P1577" s="16">
        <v>800</v>
      </c>
      <c r="Q1577" s="2">
        <f>VLOOKUP(B1577,'Cadastro Produtos'!A:F,5,2)</f>
        <v>21</v>
      </c>
      <c r="R1577" s="14">
        <f t="shared" si="120"/>
        <v>16800</v>
      </c>
    </row>
    <row r="1578" spans="1:18" x14ac:dyDescent="0.25">
      <c r="A1578">
        <v>1577</v>
      </c>
      <c r="B1578">
        <v>6</v>
      </c>
      <c r="C1578" t="str">
        <f>VLOOKUP(B1578,'Cadastro Produtos'!A:E,2,2)</f>
        <v>Limonada Beta com Açúcar 1 L</v>
      </c>
      <c r="D1578">
        <v>20</v>
      </c>
      <c r="E1578" t="str">
        <f>VLOOKUP(D1578,'Cadatro Clientes'!A:O,2,2)</f>
        <v>Brasil Saúde</v>
      </c>
      <c r="F1578" t="str">
        <f>VLOOKUP(D1578,'Cadatro Clientes'!A:O,9,2)</f>
        <v>Nordeste</v>
      </c>
      <c r="G1578" s="15">
        <v>42223</v>
      </c>
      <c r="H1578">
        <f t="shared" si="121"/>
        <v>6</v>
      </c>
      <c r="I1578">
        <f t="shared" si="122"/>
        <v>7</v>
      </c>
      <c r="J1578">
        <f t="shared" si="123"/>
        <v>8</v>
      </c>
      <c r="K1578">
        <f t="shared" si="124"/>
        <v>2015</v>
      </c>
      <c r="M1578">
        <v>3</v>
      </c>
      <c r="N1578" t="str">
        <f>VLOOKUP(M1578,'Cadastro Vendedores'!A:H,2,2)</f>
        <v>Antônia</v>
      </c>
      <c r="O1578" s="2"/>
      <c r="P1578" s="16">
        <v>2700</v>
      </c>
      <c r="Q1578" s="2">
        <f>VLOOKUP(B1578,'Cadastro Produtos'!A:F,5,2)</f>
        <v>12</v>
      </c>
      <c r="R1578" s="14">
        <f t="shared" si="120"/>
        <v>32400</v>
      </c>
    </row>
    <row r="1579" spans="1:18" x14ac:dyDescent="0.25">
      <c r="A1579">
        <v>1578</v>
      </c>
      <c r="B1579">
        <v>3</v>
      </c>
      <c r="C1579" t="str">
        <f>VLOOKUP(B1579,'Cadastro Produtos'!A:E,2,2)</f>
        <v>Limonada Alfa Zero 500 ml</v>
      </c>
      <c r="D1579">
        <v>10</v>
      </c>
      <c r="E1579" t="str">
        <f>VLOOKUP(D1579,'Cadatro Clientes'!A:O,2,2)</f>
        <v>Lemon Gator</v>
      </c>
      <c r="F1579" t="str">
        <f>VLOOKUP(D1579,'Cadatro Clientes'!A:O,9,2)</f>
        <v>Nordeste</v>
      </c>
      <c r="G1579" s="15">
        <v>42223</v>
      </c>
      <c r="H1579">
        <f t="shared" si="121"/>
        <v>6</v>
      </c>
      <c r="I1579">
        <f t="shared" si="122"/>
        <v>7</v>
      </c>
      <c r="J1579">
        <f t="shared" si="123"/>
        <v>8</v>
      </c>
      <c r="K1579">
        <f t="shared" si="124"/>
        <v>2015</v>
      </c>
      <c r="M1579">
        <v>15</v>
      </c>
      <c r="N1579" t="str">
        <f>VLOOKUP(M1579,'Cadastro Vendedores'!A:H,2,2)</f>
        <v>Luis</v>
      </c>
      <c r="O1579" s="2"/>
      <c r="P1579" s="16">
        <v>3000</v>
      </c>
      <c r="Q1579" s="2">
        <f>VLOOKUP(B1579,'Cadastro Produtos'!A:F,5,2)</f>
        <v>9</v>
      </c>
      <c r="R1579" s="14">
        <f t="shared" si="120"/>
        <v>27000</v>
      </c>
    </row>
    <row r="1580" spans="1:18" x14ac:dyDescent="0.25">
      <c r="A1580">
        <v>1579</v>
      </c>
      <c r="B1580">
        <v>10</v>
      </c>
      <c r="C1580" t="str">
        <f>VLOOKUP(B1580,'Cadastro Produtos'!A:E,2,2)</f>
        <v>Limonada Alfa com Hortelã Zero 1 L</v>
      </c>
      <c r="D1580">
        <v>17</v>
      </c>
      <c r="E1580" t="str">
        <f>VLOOKUP(D1580,'Cadatro Clientes'!A:O,2,2)</f>
        <v>Aracasuco</v>
      </c>
      <c r="F1580" t="str">
        <f>VLOOKUP(D1580,'Cadatro Clientes'!A:O,9,2)</f>
        <v>Nordeste</v>
      </c>
      <c r="G1580" s="15">
        <v>42224</v>
      </c>
      <c r="H1580">
        <f t="shared" si="121"/>
        <v>7</v>
      </c>
      <c r="I1580">
        <f t="shared" si="122"/>
        <v>8</v>
      </c>
      <c r="J1580">
        <f t="shared" si="123"/>
        <v>8</v>
      </c>
      <c r="K1580">
        <f t="shared" si="124"/>
        <v>2015</v>
      </c>
      <c r="M1580">
        <v>15</v>
      </c>
      <c r="N1580" t="str">
        <f>VLOOKUP(M1580,'Cadastro Vendedores'!A:H,2,2)</f>
        <v>Luis</v>
      </c>
      <c r="O1580" s="2"/>
      <c r="P1580" s="16">
        <v>1900</v>
      </c>
      <c r="Q1580" s="2">
        <f>VLOOKUP(B1580,'Cadastro Produtos'!A:F,5,2)</f>
        <v>21</v>
      </c>
      <c r="R1580" s="14">
        <f t="shared" si="120"/>
        <v>39900</v>
      </c>
    </row>
    <row r="1581" spans="1:18" x14ac:dyDescent="0.25">
      <c r="A1581">
        <v>1580</v>
      </c>
      <c r="B1581">
        <v>4</v>
      </c>
      <c r="C1581" t="str">
        <f>VLOOKUP(B1581,'Cadastro Produtos'!A:E,2,2)</f>
        <v>Limonada Beta Zero 500 ml</v>
      </c>
      <c r="D1581">
        <v>20</v>
      </c>
      <c r="E1581" t="str">
        <f>VLOOKUP(D1581,'Cadatro Clientes'!A:O,2,2)</f>
        <v>Brasil Saúde</v>
      </c>
      <c r="F1581" t="str">
        <f>VLOOKUP(D1581,'Cadatro Clientes'!A:O,9,2)</f>
        <v>Nordeste</v>
      </c>
      <c r="G1581" s="15">
        <v>42224</v>
      </c>
      <c r="H1581">
        <f t="shared" si="121"/>
        <v>7</v>
      </c>
      <c r="I1581">
        <f t="shared" si="122"/>
        <v>8</v>
      </c>
      <c r="J1581">
        <f t="shared" si="123"/>
        <v>8</v>
      </c>
      <c r="K1581">
        <f t="shared" si="124"/>
        <v>2015</v>
      </c>
      <c r="M1581">
        <v>2</v>
      </c>
      <c r="N1581" t="str">
        <f>VLOOKUP(M1581,'Cadastro Vendedores'!A:H,2,2)</f>
        <v>Luis</v>
      </c>
      <c r="O1581" s="2"/>
      <c r="P1581" s="16">
        <v>5400</v>
      </c>
      <c r="Q1581" s="2">
        <f>VLOOKUP(B1581,'Cadastro Produtos'!A:F,5,2)</f>
        <v>7</v>
      </c>
      <c r="R1581" s="14">
        <f t="shared" si="120"/>
        <v>37800</v>
      </c>
    </row>
    <row r="1582" spans="1:18" x14ac:dyDescent="0.25">
      <c r="A1582">
        <v>1581</v>
      </c>
      <c r="B1582">
        <v>7</v>
      </c>
      <c r="C1582" t="str">
        <f>VLOOKUP(B1582,'Cadastro Produtos'!A:E,2,2)</f>
        <v>Limonada Alfa Zero 1 L</v>
      </c>
      <c r="D1582">
        <v>5</v>
      </c>
      <c r="E1582" t="str">
        <f>VLOOKUP(D1582,'Cadatro Clientes'!A:O,2,2)</f>
        <v>Axé com Limão</v>
      </c>
      <c r="F1582" t="str">
        <f>VLOOKUP(D1582,'Cadatro Clientes'!A:O,9,2)</f>
        <v>Nordeste</v>
      </c>
      <c r="G1582" s="15">
        <v>42225</v>
      </c>
      <c r="H1582">
        <f t="shared" si="121"/>
        <v>1</v>
      </c>
      <c r="I1582">
        <f t="shared" si="122"/>
        <v>9</v>
      </c>
      <c r="J1582">
        <f t="shared" si="123"/>
        <v>8</v>
      </c>
      <c r="K1582">
        <f t="shared" si="124"/>
        <v>2015</v>
      </c>
      <c r="M1582">
        <v>8</v>
      </c>
      <c r="N1582" t="str">
        <f>VLOOKUP(M1582,'Cadastro Vendedores'!A:H,2,2)</f>
        <v>Sérgio</v>
      </c>
      <c r="O1582" s="2"/>
      <c r="P1582" s="16">
        <v>1000</v>
      </c>
      <c r="Q1582" s="2">
        <f>VLOOKUP(B1582,'Cadastro Produtos'!A:F,5,2)</f>
        <v>15</v>
      </c>
      <c r="R1582" s="14">
        <f t="shared" si="120"/>
        <v>15000</v>
      </c>
    </row>
    <row r="1583" spans="1:18" x14ac:dyDescent="0.25">
      <c r="A1583">
        <v>1582</v>
      </c>
      <c r="B1583">
        <v>8</v>
      </c>
      <c r="C1583" t="str">
        <f>VLOOKUP(B1583,'Cadastro Produtos'!A:E,2,2)</f>
        <v>Limonada Beta Zero 1 L</v>
      </c>
      <c r="D1583">
        <v>19</v>
      </c>
      <c r="E1583" t="str">
        <f>VLOOKUP(D1583,'Cadatro Clientes'!A:O,2,2)</f>
        <v>Lima Limão</v>
      </c>
      <c r="F1583" t="str">
        <f>VLOOKUP(D1583,'Cadatro Clientes'!A:O,9,2)</f>
        <v>Sudeste</v>
      </c>
      <c r="G1583" s="15">
        <v>42225</v>
      </c>
      <c r="H1583">
        <f t="shared" si="121"/>
        <v>1</v>
      </c>
      <c r="I1583">
        <f t="shared" si="122"/>
        <v>9</v>
      </c>
      <c r="J1583">
        <f t="shared" si="123"/>
        <v>8</v>
      </c>
      <c r="K1583">
        <f t="shared" si="124"/>
        <v>2015</v>
      </c>
      <c r="M1583">
        <v>13</v>
      </c>
      <c r="N1583" t="str">
        <f>VLOOKUP(M1583,'Cadastro Vendedores'!A:H,2,2)</f>
        <v>Andre</v>
      </c>
      <c r="O1583" s="2"/>
      <c r="P1583" s="16">
        <v>1300</v>
      </c>
      <c r="Q1583" s="2">
        <f>VLOOKUP(B1583,'Cadastro Produtos'!A:F,5,2)</f>
        <v>12</v>
      </c>
      <c r="R1583" s="14">
        <f t="shared" si="120"/>
        <v>15600</v>
      </c>
    </row>
    <row r="1584" spans="1:18" x14ac:dyDescent="0.25">
      <c r="A1584">
        <v>1583</v>
      </c>
      <c r="B1584">
        <v>10</v>
      </c>
      <c r="C1584" t="str">
        <f>VLOOKUP(B1584,'Cadastro Produtos'!A:E,2,2)</f>
        <v>Limonada Alfa com Hortelã Zero 1 L</v>
      </c>
      <c r="D1584">
        <v>10</v>
      </c>
      <c r="E1584" t="str">
        <f>VLOOKUP(D1584,'Cadatro Clientes'!A:O,2,2)</f>
        <v>Lemon Gator</v>
      </c>
      <c r="F1584" t="str">
        <f>VLOOKUP(D1584,'Cadatro Clientes'!A:O,9,2)</f>
        <v>Nordeste</v>
      </c>
      <c r="G1584" s="15">
        <v>42225</v>
      </c>
      <c r="H1584">
        <f t="shared" si="121"/>
        <v>1</v>
      </c>
      <c r="I1584">
        <f t="shared" si="122"/>
        <v>9</v>
      </c>
      <c r="J1584">
        <f t="shared" si="123"/>
        <v>8</v>
      </c>
      <c r="K1584">
        <f t="shared" si="124"/>
        <v>2015</v>
      </c>
      <c r="M1584">
        <v>7</v>
      </c>
      <c r="N1584" t="str">
        <f>VLOOKUP(M1584,'Cadastro Vendedores'!A:H,2,2)</f>
        <v>Benedito</v>
      </c>
      <c r="O1584" s="2"/>
      <c r="P1584" s="16">
        <v>600</v>
      </c>
      <c r="Q1584" s="2">
        <f>VLOOKUP(B1584,'Cadastro Produtos'!A:F,5,2)</f>
        <v>21</v>
      </c>
      <c r="R1584" s="14">
        <f t="shared" si="120"/>
        <v>12600</v>
      </c>
    </row>
    <row r="1585" spans="1:18" x14ac:dyDescent="0.25">
      <c r="A1585">
        <v>1584</v>
      </c>
      <c r="B1585">
        <v>5</v>
      </c>
      <c r="C1585" t="str">
        <f>VLOOKUP(B1585,'Cadastro Produtos'!A:E,2,2)</f>
        <v>Limonada Alfa com Açúcar 1 L</v>
      </c>
      <c r="D1585">
        <v>9</v>
      </c>
      <c r="E1585" t="str">
        <f>VLOOKUP(D1585,'Cadatro Clientes'!A:O,2,2)</f>
        <v>Fresh Lemon</v>
      </c>
      <c r="F1585" t="str">
        <f>VLOOKUP(D1585,'Cadatro Clientes'!A:O,9,2)</f>
        <v>Sudeste</v>
      </c>
      <c r="G1585" s="15">
        <v>42226</v>
      </c>
      <c r="H1585">
        <f t="shared" si="121"/>
        <v>2</v>
      </c>
      <c r="I1585">
        <f t="shared" si="122"/>
        <v>10</v>
      </c>
      <c r="J1585">
        <f t="shared" si="123"/>
        <v>8</v>
      </c>
      <c r="K1585">
        <f t="shared" si="124"/>
        <v>2015</v>
      </c>
      <c r="M1585">
        <v>12</v>
      </c>
      <c r="N1585" t="str">
        <f>VLOOKUP(M1585,'Cadastro Vendedores'!A:H,2,2)</f>
        <v>Paulo</v>
      </c>
      <c r="O1585" s="2"/>
      <c r="P1585" s="16">
        <v>2300</v>
      </c>
      <c r="Q1585" s="2">
        <f>VLOOKUP(B1585,'Cadastro Produtos'!A:F,5,2)</f>
        <v>15</v>
      </c>
      <c r="R1585" s="14">
        <f t="shared" si="120"/>
        <v>34500</v>
      </c>
    </row>
    <row r="1586" spans="1:18" x14ac:dyDescent="0.25">
      <c r="A1586">
        <v>1585</v>
      </c>
      <c r="B1586">
        <v>5</v>
      </c>
      <c r="C1586" t="str">
        <f>VLOOKUP(B1586,'Cadastro Produtos'!A:E,2,2)</f>
        <v>Limonada Alfa com Açúcar 1 L</v>
      </c>
      <c r="D1586">
        <v>4</v>
      </c>
      <c r="E1586" t="str">
        <f>VLOOKUP(D1586,'Cadatro Clientes'!A:O,2,2)</f>
        <v>Limão Carioca e Cia</v>
      </c>
      <c r="F1586" t="str">
        <f>VLOOKUP(D1586,'Cadatro Clientes'!A:O,9,2)</f>
        <v>Sudeste</v>
      </c>
      <c r="G1586" s="15">
        <v>42226</v>
      </c>
      <c r="H1586">
        <f t="shared" si="121"/>
        <v>2</v>
      </c>
      <c r="I1586">
        <f t="shared" si="122"/>
        <v>10</v>
      </c>
      <c r="J1586">
        <f t="shared" si="123"/>
        <v>8</v>
      </c>
      <c r="K1586">
        <f t="shared" si="124"/>
        <v>2015</v>
      </c>
      <c r="M1586">
        <v>2</v>
      </c>
      <c r="N1586" t="str">
        <f>VLOOKUP(M1586,'Cadastro Vendedores'!A:H,2,2)</f>
        <v>Luis</v>
      </c>
      <c r="O1586" s="2"/>
      <c r="P1586" s="16">
        <v>1600</v>
      </c>
      <c r="Q1586" s="2">
        <f>VLOOKUP(B1586,'Cadastro Produtos'!A:F,5,2)</f>
        <v>15</v>
      </c>
      <c r="R1586" s="14">
        <f t="shared" si="120"/>
        <v>24000</v>
      </c>
    </row>
    <row r="1587" spans="1:18" x14ac:dyDescent="0.25">
      <c r="A1587">
        <v>1586</v>
      </c>
      <c r="B1587">
        <v>5</v>
      </c>
      <c r="C1587" t="str">
        <f>VLOOKUP(B1587,'Cadastro Produtos'!A:E,2,2)</f>
        <v>Limonada Alfa com Açúcar 1 L</v>
      </c>
      <c r="D1587">
        <v>12</v>
      </c>
      <c r="E1587" t="str">
        <f>VLOOKUP(D1587,'Cadatro Clientes'!A:O,2,2)</f>
        <v>Limão da Ilha</v>
      </c>
      <c r="F1587" t="str">
        <f>VLOOKUP(D1587,'Cadatro Clientes'!A:O,9,2)</f>
        <v>Sul</v>
      </c>
      <c r="G1587" s="15">
        <v>42226</v>
      </c>
      <c r="H1587">
        <f t="shared" si="121"/>
        <v>2</v>
      </c>
      <c r="I1587">
        <f t="shared" si="122"/>
        <v>10</v>
      </c>
      <c r="J1587">
        <f t="shared" si="123"/>
        <v>8</v>
      </c>
      <c r="K1587">
        <f t="shared" si="124"/>
        <v>2015</v>
      </c>
      <c r="M1587">
        <v>12</v>
      </c>
      <c r="N1587" t="str">
        <f>VLOOKUP(M1587,'Cadastro Vendedores'!A:H,2,2)</f>
        <v>Paulo</v>
      </c>
      <c r="O1587" s="2"/>
      <c r="P1587" s="16">
        <v>1600</v>
      </c>
      <c r="Q1587" s="2">
        <f>VLOOKUP(B1587,'Cadastro Produtos'!A:F,5,2)</f>
        <v>15</v>
      </c>
      <c r="R1587" s="14">
        <f t="shared" si="120"/>
        <v>24000</v>
      </c>
    </row>
    <row r="1588" spans="1:18" x14ac:dyDescent="0.25">
      <c r="A1588">
        <v>1587</v>
      </c>
      <c r="B1588">
        <v>7</v>
      </c>
      <c r="C1588" t="str">
        <f>VLOOKUP(B1588,'Cadastro Produtos'!A:E,2,2)</f>
        <v>Limonada Alfa Zero 1 L</v>
      </c>
      <c r="D1588">
        <v>12</v>
      </c>
      <c r="E1588" t="str">
        <f>VLOOKUP(D1588,'Cadatro Clientes'!A:O,2,2)</f>
        <v>Limão da Ilha</v>
      </c>
      <c r="F1588" t="str">
        <f>VLOOKUP(D1588,'Cadatro Clientes'!A:O,9,2)</f>
        <v>Sul</v>
      </c>
      <c r="G1588" s="15">
        <v>42226</v>
      </c>
      <c r="H1588">
        <f t="shared" si="121"/>
        <v>2</v>
      </c>
      <c r="I1588">
        <f t="shared" si="122"/>
        <v>10</v>
      </c>
      <c r="J1588">
        <f t="shared" si="123"/>
        <v>8</v>
      </c>
      <c r="K1588">
        <f t="shared" si="124"/>
        <v>2015</v>
      </c>
      <c r="M1588">
        <v>8</v>
      </c>
      <c r="N1588" t="str">
        <f>VLOOKUP(M1588,'Cadastro Vendedores'!A:H,2,2)</f>
        <v>Sérgio</v>
      </c>
      <c r="O1588" s="2"/>
      <c r="P1588" s="16">
        <v>1600</v>
      </c>
      <c r="Q1588" s="2">
        <f>VLOOKUP(B1588,'Cadastro Produtos'!A:F,5,2)</f>
        <v>15</v>
      </c>
      <c r="R1588" s="14">
        <f t="shared" si="120"/>
        <v>24000</v>
      </c>
    </row>
    <row r="1589" spans="1:18" x14ac:dyDescent="0.25">
      <c r="A1589">
        <v>1588</v>
      </c>
      <c r="B1589">
        <v>1</v>
      </c>
      <c r="C1589" t="str">
        <f>VLOOKUP(B1589,'Cadastro Produtos'!A:E,2,2)</f>
        <v>Limonada Alfa com Açúcar 500 ml</v>
      </c>
      <c r="D1589">
        <v>4</v>
      </c>
      <c r="E1589" t="str">
        <f>VLOOKUP(D1589,'Cadatro Clientes'!A:O,2,2)</f>
        <v>Limão Carioca e Cia</v>
      </c>
      <c r="F1589" t="str">
        <f>VLOOKUP(D1589,'Cadatro Clientes'!A:O,9,2)</f>
        <v>Sudeste</v>
      </c>
      <c r="G1589" s="15">
        <v>42227</v>
      </c>
      <c r="H1589">
        <f t="shared" si="121"/>
        <v>3</v>
      </c>
      <c r="I1589">
        <f t="shared" si="122"/>
        <v>11</v>
      </c>
      <c r="J1589">
        <f t="shared" si="123"/>
        <v>8</v>
      </c>
      <c r="K1589">
        <f t="shared" si="124"/>
        <v>2015</v>
      </c>
      <c r="M1589">
        <v>7</v>
      </c>
      <c r="N1589" t="str">
        <f>VLOOKUP(M1589,'Cadastro Vendedores'!A:H,2,2)</f>
        <v>Benedito</v>
      </c>
      <c r="O1589" s="2"/>
      <c r="P1589" s="16">
        <v>3500</v>
      </c>
      <c r="Q1589" s="2">
        <f>VLOOKUP(B1589,'Cadastro Produtos'!A:F,5,2)</f>
        <v>8.5</v>
      </c>
      <c r="R1589" s="14">
        <f t="shared" si="120"/>
        <v>29750</v>
      </c>
    </row>
    <row r="1590" spans="1:18" x14ac:dyDescent="0.25">
      <c r="A1590">
        <v>1589</v>
      </c>
      <c r="B1590">
        <v>8</v>
      </c>
      <c r="C1590" t="str">
        <f>VLOOKUP(B1590,'Cadastro Produtos'!A:E,2,2)</f>
        <v>Limonada Beta Zero 1 L</v>
      </c>
      <c r="D1590">
        <v>19</v>
      </c>
      <c r="E1590" t="str">
        <f>VLOOKUP(D1590,'Cadatro Clientes'!A:O,2,2)</f>
        <v>Lima Limão</v>
      </c>
      <c r="F1590" t="str">
        <f>VLOOKUP(D1590,'Cadatro Clientes'!A:O,9,2)</f>
        <v>Sudeste</v>
      </c>
      <c r="G1590" s="15">
        <v>42227</v>
      </c>
      <c r="H1590">
        <f t="shared" si="121"/>
        <v>3</v>
      </c>
      <c r="I1590">
        <f t="shared" si="122"/>
        <v>11</v>
      </c>
      <c r="J1590">
        <f t="shared" si="123"/>
        <v>8</v>
      </c>
      <c r="K1590">
        <f t="shared" si="124"/>
        <v>2015</v>
      </c>
      <c r="M1590">
        <v>8</v>
      </c>
      <c r="N1590" t="str">
        <f>VLOOKUP(M1590,'Cadastro Vendedores'!A:H,2,2)</f>
        <v>Sérgio</v>
      </c>
      <c r="O1590" s="2"/>
      <c r="P1590" s="16">
        <v>1000</v>
      </c>
      <c r="Q1590" s="2">
        <f>VLOOKUP(B1590,'Cadastro Produtos'!A:F,5,2)</f>
        <v>12</v>
      </c>
      <c r="R1590" s="14">
        <f t="shared" si="120"/>
        <v>12000</v>
      </c>
    </row>
    <row r="1591" spans="1:18" x14ac:dyDescent="0.25">
      <c r="A1591">
        <v>1590</v>
      </c>
      <c r="B1591">
        <v>3</v>
      </c>
      <c r="C1591" t="str">
        <f>VLOOKUP(B1591,'Cadastro Produtos'!A:E,2,2)</f>
        <v>Limonada Alfa Zero 500 ml</v>
      </c>
      <c r="D1591">
        <v>12</v>
      </c>
      <c r="E1591" t="str">
        <f>VLOOKUP(D1591,'Cadatro Clientes'!A:O,2,2)</f>
        <v>Limão da Ilha</v>
      </c>
      <c r="F1591" t="str">
        <f>VLOOKUP(D1591,'Cadatro Clientes'!A:O,9,2)</f>
        <v>Sul</v>
      </c>
      <c r="G1591" s="15">
        <v>42227</v>
      </c>
      <c r="H1591">
        <f t="shared" si="121"/>
        <v>3</v>
      </c>
      <c r="I1591">
        <f t="shared" si="122"/>
        <v>11</v>
      </c>
      <c r="J1591">
        <f t="shared" si="123"/>
        <v>8</v>
      </c>
      <c r="K1591">
        <f t="shared" si="124"/>
        <v>2015</v>
      </c>
      <c r="M1591">
        <v>2</v>
      </c>
      <c r="N1591" t="str">
        <f>VLOOKUP(M1591,'Cadastro Vendedores'!A:H,2,2)</f>
        <v>Luis</v>
      </c>
      <c r="O1591" s="2"/>
      <c r="P1591" s="16">
        <v>1600</v>
      </c>
      <c r="Q1591" s="2">
        <f>VLOOKUP(B1591,'Cadastro Produtos'!A:F,5,2)</f>
        <v>9</v>
      </c>
      <c r="R1591" s="14">
        <f t="shared" si="120"/>
        <v>14400</v>
      </c>
    </row>
    <row r="1592" spans="1:18" x14ac:dyDescent="0.25">
      <c r="A1592">
        <v>1591</v>
      </c>
      <c r="B1592">
        <v>4</v>
      </c>
      <c r="C1592" t="str">
        <f>VLOOKUP(B1592,'Cadastro Produtos'!A:E,2,2)</f>
        <v>Limonada Beta Zero 500 ml</v>
      </c>
      <c r="D1592">
        <v>20</v>
      </c>
      <c r="E1592" t="str">
        <f>VLOOKUP(D1592,'Cadatro Clientes'!A:O,2,2)</f>
        <v>Brasil Saúde</v>
      </c>
      <c r="F1592" t="str">
        <f>VLOOKUP(D1592,'Cadatro Clientes'!A:O,9,2)</f>
        <v>Nordeste</v>
      </c>
      <c r="G1592" s="15">
        <v>42228</v>
      </c>
      <c r="H1592">
        <f t="shared" si="121"/>
        <v>4</v>
      </c>
      <c r="I1592">
        <f t="shared" si="122"/>
        <v>12</v>
      </c>
      <c r="J1592">
        <f t="shared" si="123"/>
        <v>8</v>
      </c>
      <c r="K1592">
        <f t="shared" si="124"/>
        <v>2015</v>
      </c>
      <c r="M1592">
        <v>3</v>
      </c>
      <c r="N1592" t="str">
        <f>VLOOKUP(M1592,'Cadastro Vendedores'!A:H,2,2)</f>
        <v>Antônia</v>
      </c>
      <c r="O1592" s="2"/>
      <c r="P1592" s="16">
        <v>4300</v>
      </c>
      <c r="Q1592" s="2">
        <f>VLOOKUP(B1592,'Cadastro Produtos'!A:F,5,2)</f>
        <v>7</v>
      </c>
      <c r="R1592" s="14">
        <f t="shared" si="120"/>
        <v>30100</v>
      </c>
    </row>
    <row r="1593" spans="1:18" x14ac:dyDescent="0.25">
      <c r="A1593">
        <v>1592</v>
      </c>
      <c r="B1593">
        <v>2</v>
      </c>
      <c r="C1593" t="str">
        <f>VLOOKUP(B1593,'Cadastro Produtos'!A:E,2,2)</f>
        <v>Limonada Beta com Açúcar 500 ml</v>
      </c>
      <c r="D1593">
        <v>5</v>
      </c>
      <c r="E1593" t="str">
        <f>VLOOKUP(D1593,'Cadatro Clientes'!A:O,2,2)</f>
        <v>Axé com Limão</v>
      </c>
      <c r="F1593" t="str">
        <f>VLOOKUP(D1593,'Cadatro Clientes'!A:O,9,2)</f>
        <v>Nordeste</v>
      </c>
      <c r="G1593" s="15">
        <v>42229</v>
      </c>
      <c r="H1593">
        <f t="shared" si="121"/>
        <v>5</v>
      </c>
      <c r="I1593">
        <f t="shared" si="122"/>
        <v>13</v>
      </c>
      <c r="J1593">
        <f t="shared" si="123"/>
        <v>8</v>
      </c>
      <c r="K1593">
        <f t="shared" si="124"/>
        <v>2015</v>
      </c>
      <c r="M1593">
        <v>9</v>
      </c>
      <c r="N1593" t="str">
        <f>VLOOKUP(M1593,'Cadastro Vendedores'!A:H,2,2)</f>
        <v>Adriana</v>
      </c>
      <c r="O1593" s="2"/>
      <c r="P1593" s="16">
        <v>4100</v>
      </c>
      <c r="Q1593" s="2">
        <f>VLOOKUP(B1593,'Cadastro Produtos'!A:F,5,2)</f>
        <v>6.5</v>
      </c>
      <c r="R1593" s="14">
        <f t="shared" si="120"/>
        <v>26650</v>
      </c>
    </row>
    <row r="1594" spans="1:18" x14ac:dyDescent="0.25">
      <c r="A1594">
        <v>1593</v>
      </c>
      <c r="B1594">
        <v>9</v>
      </c>
      <c r="C1594" t="str">
        <f>VLOOKUP(B1594,'Cadastro Produtos'!A:E,2,2)</f>
        <v>Limonada Alfa com Hortelã e Açúcar 1 L</v>
      </c>
      <c r="D1594">
        <v>3</v>
      </c>
      <c r="E1594" t="str">
        <f>VLOOKUP(D1594,'Cadatro Clientes'!A:O,2,2)</f>
        <v>Limonada Suíça Ltda</v>
      </c>
      <c r="F1594" t="str">
        <f>VLOOKUP(D1594,'Cadatro Clientes'!A:O,9,2)</f>
        <v>Nordeste</v>
      </c>
      <c r="G1594" s="15">
        <v>42230</v>
      </c>
      <c r="H1594">
        <f t="shared" si="121"/>
        <v>6</v>
      </c>
      <c r="I1594">
        <f t="shared" si="122"/>
        <v>14</v>
      </c>
      <c r="J1594">
        <f t="shared" si="123"/>
        <v>8</v>
      </c>
      <c r="K1594">
        <f t="shared" si="124"/>
        <v>2015</v>
      </c>
      <c r="M1594">
        <v>4</v>
      </c>
      <c r="N1594" t="str">
        <f>VLOOKUP(M1594,'Cadastro Vendedores'!A:H,2,2)</f>
        <v>José</v>
      </c>
      <c r="O1594" s="2"/>
      <c r="P1594" s="16">
        <v>700</v>
      </c>
      <c r="Q1594" s="2">
        <f>VLOOKUP(B1594,'Cadastro Produtos'!A:F,5,2)</f>
        <v>17.5</v>
      </c>
      <c r="R1594" s="14">
        <f t="shared" si="120"/>
        <v>12250</v>
      </c>
    </row>
    <row r="1595" spans="1:18" x14ac:dyDescent="0.25">
      <c r="A1595">
        <v>1594</v>
      </c>
      <c r="B1595">
        <v>6</v>
      </c>
      <c r="C1595" t="str">
        <f>VLOOKUP(B1595,'Cadastro Produtos'!A:E,2,2)</f>
        <v>Limonada Beta com Açúcar 1 L</v>
      </c>
      <c r="D1595">
        <v>3</v>
      </c>
      <c r="E1595" t="str">
        <f>VLOOKUP(D1595,'Cadatro Clientes'!A:O,2,2)</f>
        <v>Limonada Suíça Ltda</v>
      </c>
      <c r="F1595" t="str">
        <f>VLOOKUP(D1595,'Cadatro Clientes'!A:O,9,2)</f>
        <v>Nordeste</v>
      </c>
      <c r="G1595" s="15">
        <v>42230</v>
      </c>
      <c r="H1595">
        <f t="shared" si="121"/>
        <v>6</v>
      </c>
      <c r="I1595">
        <f t="shared" si="122"/>
        <v>14</v>
      </c>
      <c r="J1595">
        <f t="shared" si="123"/>
        <v>8</v>
      </c>
      <c r="K1595">
        <f t="shared" si="124"/>
        <v>2015</v>
      </c>
      <c r="M1595">
        <v>9</v>
      </c>
      <c r="N1595" t="str">
        <f>VLOOKUP(M1595,'Cadastro Vendedores'!A:H,2,2)</f>
        <v>Adriana</v>
      </c>
      <c r="O1595" s="2"/>
      <c r="P1595" s="16">
        <v>2500</v>
      </c>
      <c r="Q1595" s="2">
        <f>VLOOKUP(B1595,'Cadastro Produtos'!A:F,5,2)</f>
        <v>12</v>
      </c>
      <c r="R1595" s="14">
        <f t="shared" si="120"/>
        <v>30000</v>
      </c>
    </row>
    <row r="1596" spans="1:18" x14ac:dyDescent="0.25">
      <c r="A1596">
        <v>1595</v>
      </c>
      <c r="B1596">
        <v>5</v>
      </c>
      <c r="C1596" t="str">
        <f>VLOOKUP(B1596,'Cadastro Produtos'!A:E,2,2)</f>
        <v>Limonada Alfa com Açúcar 1 L</v>
      </c>
      <c r="D1596">
        <v>11</v>
      </c>
      <c r="E1596" t="str">
        <f>VLOOKUP(D1596,'Cadatro Clientes'!A:O,2,2)</f>
        <v>Red Lemon</v>
      </c>
      <c r="F1596" t="str">
        <f>VLOOKUP(D1596,'Cadatro Clientes'!A:O,9,2)</f>
        <v>Sul</v>
      </c>
      <c r="G1596" s="15">
        <v>42230</v>
      </c>
      <c r="H1596">
        <f t="shared" si="121"/>
        <v>6</v>
      </c>
      <c r="I1596">
        <f t="shared" si="122"/>
        <v>14</v>
      </c>
      <c r="J1596">
        <f t="shared" si="123"/>
        <v>8</v>
      </c>
      <c r="K1596">
        <f t="shared" si="124"/>
        <v>2015</v>
      </c>
      <c r="M1596">
        <v>2</v>
      </c>
      <c r="N1596" t="str">
        <f>VLOOKUP(M1596,'Cadastro Vendedores'!A:H,2,2)</f>
        <v>Luis</v>
      </c>
      <c r="O1596" s="2"/>
      <c r="P1596" s="16">
        <v>1600</v>
      </c>
      <c r="Q1596" s="2">
        <f>VLOOKUP(B1596,'Cadastro Produtos'!A:F,5,2)</f>
        <v>15</v>
      </c>
      <c r="R1596" s="14">
        <f t="shared" si="120"/>
        <v>24000</v>
      </c>
    </row>
    <row r="1597" spans="1:18" x14ac:dyDescent="0.25">
      <c r="A1597">
        <v>1596</v>
      </c>
      <c r="B1597">
        <v>7</v>
      </c>
      <c r="C1597" t="str">
        <f>VLOOKUP(B1597,'Cadastro Produtos'!A:E,2,2)</f>
        <v>Limonada Alfa Zero 1 L</v>
      </c>
      <c r="D1597">
        <v>5</v>
      </c>
      <c r="E1597" t="str">
        <f>VLOOKUP(D1597,'Cadatro Clientes'!A:O,2,2)</f>
        <v>Axé com Limão</v>
      </c>
      <c r="F1597" t="str">
        <f>VLOOKUP(D1597,'Cadatro Clientes'!A:O,9,2)</f>
        <v>Nordeste</v>
      </c>
      <c r="G1597" s="15">
        <v>42231</v>
      </c>
      <c r="H1597">
        <f t="shared" si="121"/>
        <v>7</v>
      </c>
      <c r="I1597">
        <f t="shared" si="122"/>
        <v>15</v>
      </c>
      <c r="J1597">
        <f t="shared" si="123"/>
        <v>8</v>
      </c>
      <c r="K1597">
        <f t="shared" si="124"/>
        <v>2015</v>
      </c>
      <c r="M1597">
        <v>6</v>
      </c>
      <c r="N1597" t="str">
        <f>VLOOKUP(M1597,'Cadastro Vendedores'!A:H,2,2)</f>
        <v>Antônia</v>
      </c>
      <c r="O1597" s="2"/>
      <c r="P1597" s="16">
        <v>1200</v>
      </c>
      <c r="Q1597" s="2">
        <f>VLOOKUP(B1597,'Cadastro Produtos'!A:F,5,2)</f>
        <v>15</v>
      </c>
      <c r="R1597" s="14">
        <f t="shared" si="120"/>
        <v>18000</v>
      </c>
    </row>
    <row r="1598" spans="1:18" x14ac:dyDescent="0.25">
      <c r="A1598">
        <v>1597</v>
      </c>
      <c r="B1598">
        <v>9</v>
      </c>
      <c r="C1598" t="str">
        <f>VLOOKUP(B1598,'Cadastro Produtos'!A:E,2,2)</f>
        <v>Limonada Alfa com Hortelã e Açúcar 1 L</v>
      </c>
      <c r="D1598">
        <v>18</v>
      </c>
      <c r="E1598" t="str">
        <f>VLOOKUP(D1598,'Cadatro Clientes'!A:O,2,2)</f>
        <v>Rio Branco Limonada Ltda</v>
      </c>
      <c r="F1598" t="str">
        <f>VLOOKUP(D1598,'Cadatro Clientes'!A:O,9,2)</f>
        <v>Norte</v>
      </c>
      <c r="G1598" s="15">
        <v>42231</v>
      </c>
      <c r="H1598">
        <f t="shared" si="121"/>
        <v>7</v>
      </c>
      <c r="I1598">
        <f t="shared" si="122"/>
        <v>15</v>
      </c>
      <c r="J1598">
        <f t="shared" si="123"/>
        <v>8</v>
      </c>
      <c r="K1598">
        <f t="shared" si="124"/>
        <v>2015</v>
      </c>
      <c r="M1598">
        <v>8</v>
      </c>
      <c r="N1598" t="str">
        <f>VLOOKUP(M1598,'Cadastro Vendedores'!A:H,2,2)</f>
        <v>Sérgio</v>
      </c>
      <c r="O1598" s="2"/>
      <c r="P1598" s="16">
        <v>900</v>
      </c>
      <c r="Q1598" s="2">
        <f>VLOOKUP(B1598,'Cadastro Produtos'!A:F,5,2)</f>
        <v>17.5</v>
      </c>
      <c r="R1598" s="14">
        <f t="shared" si="120"/>
        <v>15750</v>
      </c>
    </row>
    <row r="1599" spans="1:18" x14ac:dyDescent="0.25">
      <c r="A1599">
        <v>1598</v>
      </c>
      <c r="B1599">
        <v>4</v>
      </c>
      <c r="C1599" t="str">
        <f>VLOOKUP(B1599,'Cadastro Produtos'!A:E,2,2)</f>
        <v>Limonada Beta Zero 500 ml</v>
      </c>
      <c r="D1599">
        <v>20</v>
      </c>
      <c r="E1599" t="str">
        <f>VLOOKUP(D1599,'Cadatro Clientes'!A:O,2,2)</f>
        <v>Brasil Saúde</v>
      </c>
      <c r="F1599" t="str">
        <f>VLOOKUP(D1599,'Cadatro Clientes'!A:O,9,2)</f>
        <v>Nordeste</v>
      </c>
      <c r="G1599" s="15">
        <v>42231</v>
      </c>
      <c r="H1599">
        <f t="shared" si="121"/>
        <v>7</v>
      </c>
      <c r="I1599">
        <f t="shared" si="122"/>
        <v>15</v>
      </c>
      <c r="J1599">
        <f t="shared" si="123"/>
        <v>8</v>
      </c>
      <c r="K1599">
        <f t="shared" si="124"/>
        <v>2015</v>
      </c>
      <c r="M1599">
        <v>4</v>
      </c>
      <c r="N1599" t="str">
        <f>VLOOKUP(M1599,'Cadastro Vendedores'!A:H,2,2)</f>
        <v>José</v>
      </c>
      <c r="O1599" s="2"/>
      <c r="P1599" s="16">
        <v>3600</v>
      </c>
      <c r="Q1599" s="2">
        <f>VLOOKUP(B1599,'Cadastro Produtos'!A:F,5,2)</f>
        <v>7</v>
      </c>
      <c r="R1599" s="14">
        <f t="shared" si="120"/>
        <v>25200</v>
      </c>
    </row>
    <row r="1600" spans="1:18" x14ac:dyDescent="0.25">
      <c r="A1600">
        <v>1599</v>
      </c>
      <c r="B1600">
        <v>3</v>
      </c>
      <c r="C1600" t="str">
        <f>VLOOKUP(B1600,'Cadastro Produtos'!A:E,2,2)</f>
        <v>Limonada Alfa Zero 500 ml</v>
      </c>
      <c r="D1600">
        <v>13</v>
      </c>
      <c r="E1600" t="str">
        <f>VLOOKUP(D1600,'Cadatro Clientes'!A:O,2,2)</f>
        <v>Monster Lemon</v>
      </c>
      <c r="F1600" t="str">
        <f>VLOOKUP(D1600,'Cadatro Clientes'!A:O,9,2)</f>
        <v>Nordeste</v>
      </c>
      <c r="G1600" s="15">
        <v>42231</v>
      </c>
      <c r="H1600">
        <f t="shared" si="121"/>
        <v>7</v>
      </c>
      <c r="I1600">
        <f t="shared" si="122"/>
        <v>15</v>
      </c>
      <c r="J1600">
        <f t="shared" si="123"/>
        <v>8</v>
      </c>
      <c r="K1600">
        <f t="shared" si="124"/>
        <v>2015</v>
      </c>
      <c r="M1600">
        <v>9</v>
      </c>
      <c r="N1600" t="str">
        <f>VLOOKUP(M1600,'Cadastro Vendedores'!A:H,2,2)</f>
        <v>Adriana</v>
      </c>
      <c r="O1600" s="2"/>
      <c r="P1600" s="16">
        <v>3700</v>
      </c>
      <c r="Q1600" s="2">
        <f>VLOOKUP(B1600,'Cadastro Produtos'!A:F,5,2)</f>
        <v>9</v>
      </c>
      <c r="R1600" s="14">
        <f t="shared" si="120"/>
        <v>33300</v>
      </c>
    </row>
    <row r="1601" spans="1:18" x14ac:dyDescent="0.25">
      <c r="A1601">
        <v>1600</v>
      </c>
      <c r="B1601">
        <v>2</v>
      </c>
      <c r="C1601" t="str">
        <f>VLOOKUP(B1601,'Cadastro Produtos'!A:E,2,2)</f>
        <v>Limonada Beta com Açúcar 500 ml</v>
      </c>
      <c r="D1601">
        <v>13</v>
      </c>
      <c r="E1601" t="str">
        <f>VLOOKUP(D1601,'Cadatro Clientes'!A:O,2,2)</f>
        <v>Monster Lemon</v>
      </c>
      <c r="F1601" t="str">
        <f>VLOOKUP(D1601,'Cadatro Clientes'!A:O,9,2)</f>
        <v>Nordeste</v>
      </c>
      <c r="G1601" s="15">
        <v>42232</v>
      </c>
      <c r="H1601">
        <f t="shared" si="121"/>
        <v>1</v>
      </c>
      <c r="I1601">
        <f t="shared" si="122"/>
        <v>16</v>
      </c>
      <c r="J1601">
        <f t="shared" si="123"/>
        <v>8</v>
      </c>
      <c r="K1601">
        <f t="shared" si="124"/>
        <v>2015</v>
      </c>
      <c r="M1601">
        <v>3</v>
      </c>
      <c r="N1601" t="str">
        <f>VLOOKUP(M1601,'Cadastro Vendedores'!A:H,2,2)</f>
        <v>Antônia</v>
      </c>
      <c r="O1601" s="2"/>
      <c r="P1601" s="16">
        <v>3800</v>
      </c>
      <c r="Q1601" s="2">
        <f>VLOOKUP(B1601,'Cadastro Produtos'!A:F,5,2)</f>
        <v>6.5</v>
      </c>
      <c r="R1601" s="14">
        <f t="shared" si="120"/>
        <v>24700</v>
      </c>
    </row>
    <row r="1602" spans="1:18" x14ac:dyDescent="0.25">
      <c r="A1602">
        <v>1601</v>
      </c>
      <c r="B1602">
        <v>2</v>
      </c>
      <c r="C1602" t="str">
        <f>VLOOKUP(B1602,'Cadastro Produtos'!A:E,2,2)</f>
        <v>Limonada Beta com Açúcar 500 ml</v>
      </c>
      <c r="D1602">
        <v>17</v>
      </c>
      <c r="E1602" t="str">
        <f>VLOOKUP(D1602,'Cadatro Clientes'!A:O,2,2)</f>
        <v>Aracasuco</v>
      </c>
      <c r="F1602" t="str">
        <f>VLOOKUP(D1602,'Cadatro Clientes'!A:O,9,2)</f>
        <v>Nordeste</v>
      </c>
      <c r="G1602" s="15">
        <v>42232</v>
      </c>
      <c r="H1602">
        <f t="shared" si="121"/>
        <v>1</v>
      </c>
      <c r="I1602">
        <f t="shared" si="122"/>
        <v>16</v>
      </c>
      <c r="J1602">
        <f t="shared" si="123"/>
        <v>8</v>
      </c>
      <c r="K1602">
        <f t="shared" si="124"/>
        <v>2015</v>
      </c>
      <c r="M1602">
        <v>9</v>
      </c>
      <c r="N1602" t="str">
        <f>VLOOKUP(M1602,'Cadastro Vendedores'!A:H,2,2)</f>
        <v>Adriana</v>
      </c>
      <c r="O1602" s="2"/>
      <c r="P1602" s="16">
        <v>1600</v>
      </c>
      <c r="Q1602" s="2">
        <f>VLOOKUP(B1602,'Cadastro Produtos'!A:F,5,2)</f>
        <v>6.5</v>
      </c>
      <c r="R1602" s="14">
        <f t="shared" ref="R1602:R1665" si="125">Q1602*P1602</f>
        <v>10400</v>
      </c>
    </row>
    <row r="1603" spans="1:18" x14ac:dyDescent="0.25">
      <c r="A1603">
        <v>1602</v>
      </c>
      <c r="B1603">
        <v>1</v>
      </c>
      <c r="C1603" t="str">
        <f>VLOOKUP(B1603,'Cadastro Produtos'!A:E,2,2)</f>
        <v>Limonada Alfa com Açúcar 500 ml</v>
      </c>
      <c r="D1603">
        <v>1</v>
      </c>
      <c r="E1603" t="str">
        <f>VLOOKUP(D1603,'Cadatro Clientes'!A:O,2,2)</f>
        <v>Meu Suco de Limão</v>
      </c>
      <c r="F1603" t="str">
        <f>VLOOKUP(D1603,'Cadatro Clientes'!A:O,9,2)</f>
        <v>Norte</v>
      </c>
      <c r="G1603" s="15">
        <v>42233</v>
      </c>
      <c r="H1603">
        <f t="shared" ref="H1603:H1666" si="126">WEEKDAY(G1603)</f>
        <v>2</v>
      </c>
      <c r="I1603">
        <f t="shared" ref="I1603:I1666" si="127">DAY(G1603)</f>
        <v>17</v>
      </c>
      <c r="J1603">
        <f t="shared" ref="J1603:J1666" si="128">MONTH(G1603)</f>
        <v>8</v>
      </c>
      <c r="K1603">
        <f t="shared" ref="K1603:K1666" si="129">YEAR(G1603)</f>
        <v>2015</v>
      </c>
      <c r="M1603">
        <v>9</v>
      </c>
      <c r="N1603" t="str">
        <f>VLOOKUP(M1603,'Cadastro Vendedores'!A:H,2,2)</f>
        <v>Adriana</v>
      </c>
      <c r="O1603" s="2"/>
      <c r="P1603" s="16">
        <v>3400</v>
      </c>
      <c r="Q1603" s="2">
        <f>VLOOKUP(B1603,'Cadastro Produtos'!A:F,5,2)</f>
        <v>8.5</v>
      </c>
      <c r="R1603" s="14">
        <f t="shared" si="125"/>
        <v>28900</v>
      </c>
    </row>
    <row r="1604" spans="1:18" x14ac:dyDescent="0.25">
      <c r="A1604">
        <v>1603</v>
      </c>
      <c r="B1604">
        <v>9</v>
      </c>
      <c r="C1604" t="str">
        <f>VLOOKUP(B1604,'Cadastro Produtos'!A:E,2,2)</f>
        <v>Limonada Alfa com Hortelã e Açúcar 1 L</v>
      </c>
      <c r="D1604">
        <v>19</v>
      </c>
      <c r="E1604" t="str">
        <f>VLOOKUP(D1604,'Cadatro Clientes'!A:O,2,2)</f>
        <v>Lima Limão</v>
      </c>
      <c r="F1604" t="str">
        <f>VLOOKUP(D1604,'Cadatro Clientes'!A:O,9,2)</f>
        <v>Sudeste</v>
      </c>
      <c r="G1604" s="15">
        <v>42233</v>
      </c>
      <c r="H1604">
        <f t="shared" si="126"/>
        <v>2</v>
      </c>
      <c r="I1604">
        <f t="shared" si="127"/>
        <v>17</v>
      </c>
      <c r="J1604">
        <f t="shared" si="128"/>
        <v>8</v>
      </c>
      <c r="K1604">
        <f t="shared" si="129"/>
        <v>2015</v>
      </c>
      <c r="M1604">
        <v>15</v>
      </c>
      <c r="N1604" t="str">
        <f>VLOOKUP(M1604,'Cadastro Vendedores'!A:H,2,2)</f>
        <v>Luis</v>
      </c>
      <c r="O1604" s="2"/>
      <c r="P1604" s="16">
        <v>900</v>
      </c>
      <c r="Q1604" s="2">
        <f>VLOOKUP(B1604,'Cadastro Produtos'!A:F,5,2)</f>
        <v>17.5</v>
      </c>
      <c r="R1604" s="14">
        <f t="shared" si="125"/>
        <v>15750</v>
      </c>
    </row>
    <row r="1605" spans="1:18" x14ac:dyDescent="0.25">
      <c r="A1605">
        <v>1604</v>
      </c>
      <c r="B1605">
        <v>4</v>
      </c>
      <c r="C1605" t="str">
        <f>VLOOKUP(B1605,'Cadastro Produtos'!A:E,2,2)</f>
        <v>Limonada Beta Zero 500 ml</v>
      </c>
      <c r="D1605">
        <v>8</v>
      </c>
      <c r="E1605" t="str">
        <f>VLOOKUP(D1605,'Cadatro Clientes'!A:O,2,2)</f>
        <v>Refresko</v>
      </c>
      <c r="F1605" t="str">
        <f>VLOOKUP(D1605,'Cadatro Clientes'!A:O,9,2)</f>
        <v>Sul</v>
      </c>
      <c r="G1605" s="15">
        <v>42234</v>
      </c>
      <c r="H1605">
        <f t="shared" si="126"/>
        <v>3</v>
      </c>
      <c r="I1605">
        <f t="shared" si="127"/>
        <v>18</v>
      </c>
      <c r="J1605">
        <f t="shared" si="128"/>
        <v>8</v>
      </c>
      <c r="K1605">
        <f t="shared" si="129"/>
        <v>2015</v>
      </c>
      <c r="M1605">
        <v>3</v>
      </c>
      <c r="N1605" t="str">
        <f>VLOOKUP(M1605,'Cadastro Vendedores'!A:H,2,2)</f>
        <v>Antônia</v>
      </c>
      <c r="O1605" s="2"/>
      <c r="P1605" s="16">
        <v>2800</v>
      </c>
      <c r="Q1605" s="2">
        <f>VLOOKUP(B1605,'Cadastro Produtos'!A:F,5,2)</f>
        <v>7</v>
      </c>
      <c r="R1605" s="14">
        <f t="shared" si="125"/>
        <v>19600</v>
      </c>
    </row>
    <row r="1606" spans="1:18" x14ac:dyDescent="0.25">
      <c r="A1606">
        <v>1605</v>
      </c>
      <c r="B1606">
        <v>2</v>
      </c>
      <c r="C1606" t="str">
        <f>VLOOKUP(B1606,'Cadastro Produtos'!A:E,2,2)</f>
        <v>Limonada Beta com Açúcar 500 ml</v>
      </c>
      <c r="D1606">
        <v>13</v>
      </c>
      <c r="E1606" t="str">
        <f>VLOOKUP(D1606,'Cadatro Clientes'!A:O,2,2)</f>
        <v>Monster Lemon</v>
      </c>
      <c r="F1606" t="str">
        <f>VLOOKUP(D1606,'Cadatro Clientes'!A:O,9,2)</f>
        <v>Nordeste</v>
      </c>
      <c r="G1606" s="15">
        <v>42234</v>
      </c>
      <c r="H1606">
        <f t="shared" si="126"/>
        <v>3</v>
      </c>
      <c r="I1606">
        <f t="shared" si="127"/>
        <v>18</v>
      </c>
      <c r="J1606">
        <f t="shared" si="128"/>
        <v>8</v>
      </c>
      <c r="K1606">
        <f t="shared" si="129"/>
        <v>2015</v>
      </c>
      <c r="M1606">
        <v>15</v>
      </c>
      <c r="N1606" t="str">
        <f>VLOOKUP(M1606,'Cadastro Vendedores'!A:H,2,2)</f>
        <v>Luis</v>
      </c>
      <c r="O1606" s="2"/>
      <c r="P1606" s="16">
        <v>1800</v>
      </c>
      <c r="Q1606" s="2">
        <f>VLOOKUP(B1606,'Cadastro Produtos'!A:F,5,2)</f>
        <v>6.5</v>
      </c>
      <c r="R1606" s="14">
        <f t="shared" si="125"/>
        <v>11700</v>
      </c>
    </row>
    <row r="1607" spans="1:18" x14ac:dyDescent="0.25">
      <c r="A1607">
        <v>1606</v>
      </c>
      <c r="B1607">
        <v>4</v>
      </c>
      <c r="C1607" t="str">
        <f>VLOOKUP(B1607,'Cadastro Produtos'!A:E,2,2)</f>
        <v>Limonada Beta Zero 500 ml</v>
      </c>
      <c r="D1607">
        <v>2</v>
      </c>
      <c r="E1607" t="str">
        <f>VLOOKUP(D1607,'Cadatro Clientes'!A:O,2,2)</f>
        <v>Limão S/A</v>
      </c>
      <c r="F1607" t="str">
        <f>VLOOKUP(D1607,'Cadatro Clientes'!A:O,9,2)</f>
        <v>Centro-Oeste</v>
      </c>
      <c r="G1607" s="15">
        <v>42234</v>
      </c>
      <c r="H1607">
        <f t="shared" si="126"/>
        <v>3</v>
      </c>
      <c r="I1607">
        <f t="shared" si="127"/>
        <v>18</v>
      </c>
      <c r="J1607">
        <f t="shared" si="128"/>
        <v>8</v>
      </c>
      <c r="K1607">
        <f t="shared" si="129"/>
        <v>2015</v>
      </c>
      <c r="M1607">
        <v>15</v>
      </c>
      <c r="N1607" t="str">
        <f>VLOOKUP(M1607,'Cadastro Vendedores'!A:H,2,2)</f>
        <v>Luis</v>
      </c>
      <c r="O1607" s="2"/>
      <c r="P1607" s="16">
        <v>1800</v>
      </c>
      <c r="Q1607" s="2">
        <f>VLOOKUP(B1607,'Cadastro Produtos'!A:F,5,2)</f>
        <v>7</v>
      </c>
      <c r="R1607" s="14">
        <f t="shared" si="125"/>
        <v>12600</v>
      </c>
    </row>
    <row r="1608" spans="1:18" x14ac:dyDescent="0.25">
      <c r="A1608">
        <v>1607</v>
      </c>
      <c r="B1608">
        <v>10</v>
      </c>
      <c r="C1608" t="str">
        <f>VLOOKUP(B1608,'Cadastro Produtos'!A:E,2,2)</f>
        <v>Limonada Alfa com Hortelã Zero 1 L</v>
      </c>
      <c r="D1608">
        <v>16</v>
      </c>
      <c r="E1608" t="str">
        <f>VLOOKUP(D1608,'Cadatro Clientes'!A:O,2,2)</f>
        <v>Norte Suco</v>
      </c>
      <c r="F1608" t="str">
        <f>VLOOKUP(D1608,'Cadatro Clientes'!A:O,9,2)</f>
        <v>Nordeste</v>
      </c>
      <c r="G1608" s="15">
        <v>42234</v>
      </c>
      <c r="H1608">
        <f t="shared" si="126"/>
        <v>3</v>
      </c>
      <c r="I1608">
        <f t="shared" si="127"/>
        <v>18</v>
      </c>
      <c r="J1608">
        <f t="shared" si="128"/>
        <v>8</v>
      </c>
      <c r="K1608">
        <f t="shared" si="129"/>
        <v>2015</v>
      </c>
      <c r="M1608">
        <v>9</v>
      </c>
      <c r="N1608" t="str">
        <f>VLOOKUP(M1608,'Cadastro Vendedores'!A:H,2,2)</f>
        <v>Adriana</v>
      </c>
      <c r="O1608" s="2"/>
      <c r="P1608" s="16">
        <v>500</v>
      </c>
      <c r="Q1608" s="2">
        <f>VLOOKUP(B1608,'Cadastro Produtos'!A:F,5,2)</f>
        <v>21</v>
      </c>
      <c r="R1608" s="14">
        <f t="shared" si="125"/>
        <v>10500</v>
      </c>
    </row>
    <row r="1609" spans="1:18" x14ac:dyDescent="0.25">
      <c r="A1609">
        <v>1608</v>
      </c>
      <c r="B1609">
        <v>5</v>
      </c>
      <c r="C1609" t="str">
        <f>VLOOKUP(B1609,'Cadastro Produtos'!A:E,2,2)</f>
        <v>Limonada Alfa com Açúcar 1 L</v>
      </c>
      <c r="D1609">
        <v>4</v>
      </c>
      <c r="E1609" t="str">
        <f>VLOOKUP(D1609,'Cadatro Clientes'!A:O,2,2)</f>
        <v>Limão Carioca e Cia</v>
      </c>
      <c r="F1609" t="str">
        <f>VLOOKUP(D1609,'Cadatro Clientes'!A:O,9,2)</f>
        <v>Sudeste</v>
      </c>
      <c r="G1609" s="15">
        <v>42235</v>
      </c>
      <c r="H1609">
        <f t="shared" si="126"/>
        <v>4</v>
      </c>
      <c r="I1609">
        <f t="shared" si="127"/>
        <v>19</v>
      </c>
      <c r="J1609">
        <f t="shared" si="128"/>
        <v>8</v>
      </c>
      <c r="K1609">
        <f t="shared" si="129"/>
        <v>2015</v>
      </c>
      <c r="M1609">
        <v>9</v>
      </c>
      <c r="N1609" t="str">
        <f>VLOOKUP(M1609,'Cadastro Vendedores'!A:H,2,2)</f>
        <v>Adriana</v>
      </c>
      <c r="O1609" s="2"/>
      <c r="P1609" s="16">
        <v>1000</v>
      </c>
      <c r="Q1609" s="2">
        <f>VLOOKUP(B1609,'Cadastro Produtos'!A:F,5,2)</f>
        <v>15</v>
      </c>
      <c r="R1609" s="14">
        <f t="shared" si="125"/>
        <v>15000</v>
      </c>
    </row>
    <row r="1610" spans="1:18" x14ac:dyDescent="0.25">
      <c r="A1610">
        <v>1609</v>
      </c>
      <c r="B1610">
        <v>2</v>
      </c>
      <c r="C1610" t="str">
        <f>VLOOKUP(B1610,'Cadastro Produtos'!A:E,2,2)</f>
        <v>Limonada Beta com Açúcar 500 ml</v>
      </c>
      <c r="D1610">
        <v>17</v>
      </c>
      <c r="E1610" t="str">
        <f>VLOOKUP(D1610,'Cadatro Clientes'!A:O,2,2)</f>
        <v>Aracasuco</v>
      </c>
      <c r="F1610" t="str">
        <f>VLOOKUP(D1610,'Cadatro Clientes'!A:O,9,2)</f>
        <v>Nordeste</v>
      </c>
      <c r="G1610" s="15">
        <v>42236</v>
      </c>
      <c r="H1610">
        <f t="shared" si="126"/>
        <v>5</v>
      </c>
      <c r="I1610">
        <f t="shared" si="127"/>
        <v>20</v>
      </c>
      <c r="J1610">
        <f t="shared" si="128"/>
        <v>8</v>
      </c>
      <c r="K1610">
        <f t="shared" si="129"/>
        <v>2015</v>
      </c>
      <c r="M1610">
        <v>2</v>
      </c>
      <c r="N1610" t="str">
        <f>VLOOKUP(M1610,'Cadastro Vendedores'!A:H,2,2)</f>
        <v>Luis</v>
      </c>
      <c r="O1610" s="2"/>
      <c r="P1610" s="16">
        <v>1800</v>
      </c>
      <c r="Q1610" s="2">
        <f>VLOOKUP(B1610,'Cadastro Produtos'!A:F,5,2)</f>
        <v>6.5</v>
      </c>
      <c r="R1610" s="14">
        <f t="shared" si="125"/>
        <v>11700</v>
      </c>
    </row>
    <row r="1611" spans="1:18" x14ac:dyDescent="0.25">
      <c r="A1611">
        <v>1610</v>
      </c>
      <c r="B1611">
        <v>10</v>
      </c>
      <c r="C1611" t="str">
        <f>VLOOKUP(B1611,'Cadastro Produtos'!A:E,2,2)</f>
        <v>Limonada Alfa com Hortelã Zero 1 L</v>
      </c>
      <c r="D1611">
        <v>4</v>
      </c>
      <c r="E1611" t="str">
        <f>VLOOKUP(D1611,'Cadatro Clientes'!A:O,2,2)</f>
        <v>Limão Carioca e Cia</v>
      </c>
      <c r="F1611" t="str">
        <f>VLOOKUP(D1611,'Cadatro Clientes'!A:O,9,2)</f>
        <v>Sudeste</v>
      </c>
      <c r="G1611" s="15">
        <v>42236</v>
      </c>
      <c r="H1611">
        <f t="shared" si="126"/>
        <v>5</v>
      </c>
      <c r="I1611">
        <f t="shared" si="127"/>
        <v>20</v>
      </c>
      <c r="J1611">
        <f t="shared" si="128"/>
        <v>8</v>
      </c>
      <c r="K1611">
        <f t="shared" si="129"/>
        <v>2015</v>
      </c>
      <c r="M1611">
        <v>7</v>
      </c>
      <c r="N1611" t="str">
        <f>VLOOKUP(M1611,'Cadastro Vendedores'!A:H,2,2)</f>
        <v>Benedito</v>
      </c>
      <c r="O1611" s="2"/>
      <c r="P1611" s="16">
        <v>900</v>
      </c>
      <c r="Q1611" s="2">
        <f>VLOOKUP(B1611,'Cadastro Produtos'!A:F,5,2)</f>
        <v>21</v>
      </c>
      <c r="R1611" s="14">
        <f t="shared" si="125"/>
        <v>18900</v>
      </c>
    </row>
    <row r="1612" spans="1:18" x14ac:dyDescent="0.25">
      <c r="A1612">
        <v>1611</v>
      </c>
      <c r="B1612">
        <v>1</v>
      </c>
      <c r="C1612" t="str">
        <f>VLOOKUP(B1612,'Cadastro Produtos'!A:E,2,2)</f>
        <v>Limonada Alfa com Açúcar 500 ml</v>
      </c>
      <c r="D1612">
        <v>17</v>
      </c>
      <c r="E1612" t="str">
        <f>VLOOKUP(D1612,'Cadatro Clientes'!A:O,2,2)</f>
        <v>Aracasuco</v>
      </c>
      <c r="F1612" t="str">
        <f>VLOOKUP(D1612,'Cadatro Clientes'!A:O,9,2)</f>
        <v>Nordeste</v>
      </c>
      <c r="G1612" s="15">
        <v>42237</v>
      </c>
      <c r="H1612">
        <f t="shared" si="126"/>
        <v>6</v>
      </c>
      <c r="I1612">
        <f t="shared" si="127"/>
        <v>21</v>
      </c>
      <c r="J1612">
        <f t="shared" si="128"/>
        <v>8</v>
      </c>
      <c r="K1612">
        <f t="shared" si="129"/>
        <v>2015</v>
      </c>
      <c r="M1612">
        <v>3</v>
      </c>
      <c r="N1612" t="str">
        <f>VLOOKUP(M1612,'Cadastro Vendedores'!A:H,2,2)</f>
        <v>Antônia</v>
      </c>
      <c r="O1612" s="2"/>
      <c r="P1612" s="16">
        <v>2900</v>
      </c>
      <c r="Q1612" s="2">
        <f>VLOOKUP(B1612,'Cadastro Produtos'!A:F,5,2)</f>
        <v>8.5</v>
      </c>
      <c r="R1612" s="14">
        <f t="shared" si="125"/>
        <v>24650</v>
      </c>
    </row>
    <row r="1613" spans="1:18" x14ac:dyDescent="0.25">
      <c r="A1613">
        <v>1612</v>
      </c>
      <c r="B1613">
        <v>3</v>
      </c>
      <c r="C1613" t="str">
        <f>VLOOKUP(B1613,'Cadastro Produtos'!A:E,2,2)</f>
        <v>Limonada Alfa Zero 500 ml</v>
      </c>
      <c r="D1613">
        <v>11</v>
      </c>
      <c r="E1613" t="str">
        <f>VLOOKUP(D1613,'Cadatro Clientes'!A:O,2,2)</f>
        <v>Red Lemon</v>
      </c>
      <c r="F1613" t="str">
        <f>VLOOKUP(D1613,'Cadatro Clientes'!A:O,9,2)</f>
        <v>Sul</v>
      </c>
      <c r="G1613" s="15">
        <v>42237</v>
      </c>
      <c r="H1613">
        <f t="shared" si="126"/>
        <v>6</v>
      </c>
      <c r="I1613">
        <f t="shared" si="127"/>
        <v>21</v>
      </c>
      <c r="J1613">
        <f t="shared" si="128"/>
        <v>8</v>
      </c>
      <c r="K1613">
        <f t="shared" si="129"/>
        <v>2015</v>
      </c>
      <c r="M1613">
        <v>6</v>
      </c>
      <c r="N1613" t="str">
        <f>VLOOKUP(M1613,'Cadastro Vendedores'!A:H,2,2)</f>
        <v>Antônia</v>
      </c>
      <c r="O1613" s="2"/>
      <c r="P1613" s="16">
        <v>3500</v>
      </c>
      <c r="Q1613" s="2">
        <f>VLOOKUP(B1613,'Cadastro Produtos'!A:F,5,2)</f>
        <v>9</v>
      </c>
      <c r="R1613" s="14">
        <f t="shared" si="125"/>
        <v>31500</v>
      </c>
    </row>
    <row r="1614" spans="1:18" x14ac:dyDescent="0.25">
      <c r="A1614">
        <v>1613</v>
      </c>
      <c r="B1614">
        <v>2</v>
      </c>
      <c r="C1614" t="str">
        <f>VLOOKUP(B1614,'Cadastro Produtos'!A:E,2,2)</f>
        <v>Limonada Beta com Açúcar 500 ml</v>
      </c>
      <c r="D1614">
        <v>9</v>
      </c>
      <c r="E1614" t="str">
        <f>VLOOKUP(D1614,'Cadatro Clientes'!A:O,2,2)</f>
        <v>Fresh Lemon</v>
      </c>
      <c r="F1614" t="str">
        <f>VLOOKUP(D1614,'Cadatro Clientes'!A:O,9,2)</f>
        <v>Sudeste</v>
      </c>
      <c r="G1614" s="15">
        <v>42238</v>
      </c>
      <c r="H1614">
        <f t="shared" si="126"/>
        <v>7</v>
      </c>
      <c r="I1614">
        <f t="shared" si="127"/>
        <v>22</v>
      </c>
      <c r="J1614">
        <f t="shared" si="128"/>
        <v>8</v>
      </c>
      <c r="K1614">
        <f t="shared" si="129"/>
        <v>2015</v>
      </c>
      <c r="M1614">
        <v>4</v>
      </c>
      <c r="N1614" t="str">
        <f>VLOOKUP(M1614,'Cadastro Vendedores'!A:H,2,2)</f>
        <v>José</v>
      </c>
      <c r="O1614" s="2"/>
      <c r="P1614" s="16">
        <v>2500</v>
      </c>
      <c r="Q1614" s="2">
        <f>VLOOKUP(B1614,'Cadastro Produtos'!A:F,5,2)</f>
        <v>6.5</v>
      </c>
      <c r="R1614" s="14">
        <f t="shared" si="125"/>
        <v>16250</v>
      </c>
    </row>
    <row r="1615" spans="1:18" x14ac:dyDescent="0.25">
      <c r="A1615">
        <v>1614</v>
      </c>
      <c r="B1615">
        <v>3</v>
      </c>
      <c r="C1615" t="str">
        <f>VLOOKUP(B1615,'Cadastro Produtos'!A:E,2,2)</f>
        <v>Limonada Alfa Zero 500 ml</v>
      </c>
      <c r="D1615">
        <v>16</v>
      </c>
      <c r="E1615" t="str">
        <f>VLOOKUP(D1615,'Cadatro Clientes'!A:O,2,2)</f>
        <v>Norte Suco</v>
      </c>
      <c r="F1615" t="str">
        <f>VLOOKUP(D1615,'Cadatro Clientes'!A:O,9,2)</f>
        <v>Nordeste</v>
      </c>
      <c r="G1615" s="15">
        <v>42239</v>
      </c>
      <c r="H1615">
        <f t="shared" si="126"/>
        <v>1</v>
      </c>
      <c r="I1615">
        <f t="shared" si="127"/>
        <v>23</v>
      </c>
      <c r="J1615">
        <f t="shared" si="128"/>
        <v>8</v>
      </c>
      <c r="K1615">
        <f t="shared" si="129"/>
        <v>2015</v>
      </c>
      <c r="M1615">
        <v>13</v>
      </c>
      <c r="N1615" t="str">
        <f>VLOOKUP(M1615,'Cadastro Vendedores'!A:H,2,2)</f>
        <v>Andre</v>
      </c>
      <c r="O1615" s="2"/>
      <c r="P1615" s="16">
        <v>1300</v>
      </c>
      <c r="Q1615" s="2">
        <f>VLOOKUP(B1615,'Cadastro Produtos'!A:F,5,2)</f>
        <v>9</v>
      </c>
      <c r="R1615" s="14">
        <f t="shared" si="125"/>
        <v>11700</v>
      </c>
    </row>
    <row r="1616" spans="1:18" x14ac:dyDescent="0.25">
      <c r="A1616">
        <v>1615</v>
      </c>
      <c r="B1616">
        <v>8</v>
      </c>
      <c r="C1616" t="str">
        <f>VLOOKUP(B1616,'Cadastro Produtos'!A:E,2,2)</f>
        <v>Limonada Beta Zero 1 L</v>
      </c>
      <c r="D1616">
        <v>17</v>
      </c>
      <c r="E1616" t="str">
        <f>VLOOKUP(D1616,'Cadatro Clientes'!A:O,2,2)</f>
        <v>Aracasuco</v>
      </c>
      <c r="F1616" t="str">
        <f>VLOOKUP(D1616,'Cadatro Clientes'!A:O,9,2)</f>
        <v>Nordeste</v>
      </c>
      <c r="G1616" s="15">
        <v>42240</v>
      </c>
      <c r="H1616">
        <f t="shared" si="126"/>
        <v>2</v>
      </c>
      <c r="I1616">
        <f t="shared" si="127"/>
        <v>24</v>
      </c>
      <c r="J1616">
        <f t="shared" si="128"/>
        <v>8</v>
      </c>
      <c r="K1616">
        <f t="shared" si="129"/>
        <v>2015</v>
      </c>
      <c r="M1616">
        <v>12</v>
      </c>
      <c r="N1616" t="str">
        <f>VLOOKUP(M1616,'Cadastro Vendedores'!A:H,2,2)</f>
        <v>Paulo</v>
      </c>
      <c r="O1616" s="2"/>
      <c r="P1616" s="16">
        <v>2200</v>
      </c>
      <c r="Q1616" s="2">
        <f>VLOOKUP(B1616,'Cadastro Produtos'!A:F,5,2)</f>
        <v>12</v>
      </c>
      <c r="R1616" s="14">
        <f t="shared" si="125"/>
        <v>26400</v>
      </c>
    </row>
    <row r="1617" spans="1:18" x14ac:dyDescent="0.25">
      <c r="A1617">
        <v>1616</v>
      </c>
      <c r="B1617">
        <v>3</v>
      </c>
      <c r="C1617" t="str">
        <f>VLOOKUP(B1617,'Cadastro Produtos'!A:E,2,2)</f>
        <v>Limonada Alfa Zero 500 ml</v>
      </c>
      <c r="D1617">
        <v>15</v>
      </c>
      <c r="E1617" t="str">
        <f>VLOOKUP(D1617,'Cadatro Clientes'!A:O,2,2)</f>
        <v>Limão do Mané</v>
      </c>
      <c r="F1617" t="str">
        <f>VLOOKUP(D1617,'Cadatro Clientes'!A:O,9,2)</f>
        <v>Sul</v>
      </c>
      <c r="G1617" s="15">
        <v>42240</v>
      </c>
      <c r="H1617">
        <f t="shared" si="126"/>
        <v>2</v>
      </c>
      <c r="I1617">
        <f t="shared" si="127"/>
        <v>24</v>
      </c>
      <c r="J1617">
        <f t="shared" si="128"/>
        <v>8</v>
      </c>
      <c r="K1617">
        <f t="shared" si="129"/>
        <v>2015</v>
      </c>
      <c r="M1617">
        <v>2</v>
      </c>
      <c r="N1617" t="str">
        <f>VLOOKUP(M1617,'Cadastro Vendedores'!A:H,2,2)</f>
        <v>Luis</v>
      </c>
      <c r="O1617" s="2"/>
      <c r="P1617" s="16">
        <v>1100</v>
      </c>
      <c r="Q1617" s="2">
        <f>VLOOKUP(B1617,'Cadastro Produtos'!A:F,5,2)</f>
        <v>9</v>
      </c>
      <c r="R1617" s="14">
        <f t="shared" si="125"/>
        <v>9900</v>
      </c>
    </row>
    <row r="1618" spans="1:18" x14ac:dyDescent="0.25">
      <c r="A1618">
        <v>1617</v>
      </c>
      <c r="B1618">
        <v>3</v>
      </c>
      <c r="C1618" t="str">
        <f>VLOOKUP(B1618,'Cadastro Produtos'!A:E,2,2)</f>
        <v>Limonada Alfa Zero 500 ml</v>
      </c>
      <c r="D1618">
        <v>5</v>
      </c>
      <c r="E1618" t="str">
        <f>VLOOKUP(D1618,'Cadatro Clientes'!A:O,2,2)</f>
        <v>Axé com Limão</v>
      </c>
      <c r="F1618" t="str">
        <f>VLOOKUP(D1618,'Cadatro Clientes'!A:O,9,2)</f>
        <v>Nordeste</v>
      </c>
      <c r="G1618" s="15">
        <v>42241</v>
      </c>
      <c r="H1618">
        <f t="shared" si="126"/>
        <v>3</v>
      </c>
      <c r="I1618">
        <f t="shared" si="127"/>
        <v>25</v>
      </c>
      <c r="J1618">
        <f t="shared" si="128"/>
        <v>8</v>
      </c>
      <c r="K1618">
        <f t="shared" si="129"/>
        <v>2015</v>
      </c>
      <c r="M1618">
        <v>7</v>
      </c>
      <c r="N1618" t="str">
        <f>VLOOKUP(M1618,'Cadastro Vendedores'!A:H,2,2)</f>
        <v>Benedito</v>
      </c>
      <c r="O1618" s="2"/>
      <c r="P1618" s="16">
        <v>900</v>
      </c>
      <c r="Q1618" s="2">
        <f>VLOOKUP(B1618,'Cadastro Produtos'!A:F,5,2)</f>
        <v>9</v>
      </c>
      <c r="R1618" s="14">
        <f t="shared" si="125"/>
        <v>8100</v>
      </c>
    </row>
    <row r="1619" spans="1:18" x14ac:dyDescent="0.25">
      <c r="A1619">
        <v>1618</v>
      </c>
      <c r="B1619">
        <v>4</v>
      </c>
      <c r="C1619" t="str">
        <f>VLOOKUP(B1619,'Cadastro Produtos'!A:E,2,2)</f>
        <v>Limonada Beta Zero 500 ml</v>
      </c>
      <c r="D1619">
        <v>8</v>
      </c>
      <c r="E1619" t="str">
        <f>VLOOKUP(D1619,'Cadatro Clientes'!A:O,2,2)</f>
        <v>Refresko</v>
      </c>
      <c r="F1619" t="str">
        <f>VLOOKUP(D1619,'Cadatro Clientes'!A:O,9,2)</f>
        <v>Sul</v>
      </c>
      <c r="G1619" s="15">
        <v>42241</v>
      </c>
      <c r="H1619">
        <f t="shared" si="126"/>
        <v>3</v>
      </c>
      <c r="I1619">
        <f t="shared" si="127"/>
        <v>25</v>
      </c>
      <c r="J1619">
        <f t="shared" si="128"/>
        <v>8</v>
      </c>
      <c r="K1619">
        <f t="shared" si="129"/>
        <v>2015</v>
      </c>
      <c r="M1619">
        <v>15</v>
      </c>
      <c r="N1619" t="str">
        <f>VLOOKUP(M1619,'Cadastro Vendedores'!A:H,2,2)</f>
        <v>Luis</v>
      </c>
      <c r="O1619" s="2"/>
      <c r="P1619" s="16">
        <v>2700</v>
      </c>
      <c r="Q1619" s="2">
        <f>VLOOKUP(B1619,'Cadastro Produtos'!A:F,5,2)</f>
        <v>7</v>
      </c>
      <c r="R1619" s="14">
        <f t="shared" si="125"/>
        <v>18900</v>
      </c>
    </row>
    <row r="1620" spans="1:18" x14ac:dyDescent="0.25">
      <c r="A1620">
        <v>1619</v>
      </c>
      <c r="B1620">
        <v>7</v>
      </c>
      <c r="C1620" t="str">
        <f>VLOOKUP(B1620,'Cadastro Produtos'!A:E,2,2)</f>
        <v>Limonada Alfa Zero 1 L</v>
      </c>
      <c r="D1620">
        <v>14</v>
      </c>
      <c r="E1620" t="str">
        <f>VLOOKUP(D1620,'Cadatro Clientes'!A:O,2,2)</f>
        <v>Sprite</v>
      </c>
      <c r="F1620" t="str">
        <f>VLOOKUP(D1620,'Cadatro Clientes'!A:O,9,2)</f>
        <v>Norte</v>
      </c>
      <c r="G1620" s="15">
        <v>42241</v>
      </c>
      <c r="H1620">
        <f t="shared" si="126"/>
        <v>3</v>
      </c>
      <c r="I1620">
        <f t="shared" si="127"/>
        <v>25</v>
      </c>
      <c r="J1620">
        <f t="shared" si="128"/>
        <v>8</v>
      </c>
      <c r="K1620">
        <f t="shared" si="129"/>
        <v>2015</v>
      </c>
      <c r="M1620">
        <v>12</v>
      </c>
      <c r="N1620" t="str">
        <f>VLOOKUP(M1620,'Cadastro Vendedores'!A:H,2,2)</f>
        <v>Paulo</v>
      </c>
      <c r="O1620" s="2"/>
      <c r="P1620" s="16">
        <v>2300</v>
      </c>
      <c r="Q1620" s="2">
        <f>VLOOKUP(B1620,'Cadastro Produtos'!A:F,5,2)</f>
        <v>15</v>
      </c>
      <c r="R1620" s="14">
        <f t="shared" si="125"/>
        <v>34500</v>
      </c>
    </row>
    <row r="1621" spans="1:18" x14ac:dyDescent="0.25">
      <c r="A1621">
        <v>1620</v>
      </c>
      <c r="B1621">
        <v>10</v>
      </c>
      <c r="C1621" t="str">
        <f>VLOOKUP(B1621,'Cadastro Produtos'!A:E,2,2)</f>
        <v>Limonada Alfa com Hortelã Zero 1 L</v>
      </c>
      <c r="D1621">
        <v>14</v>
      </c>
      <c r="E1621" t="str">
        <f>VLOOKUP(D1621,'Cadatro Clientes'!A:O,2,2)</f>
        <v>Sprite</v>
      </c>
      <c r="F1621" t="str">
        <f>VLOOKUP(D1621,'Cadatro Clientes'!A:O,9,2)</f>
        <v>Norte</v>
      </c>
      <c r="G1621" s="15">
        <v>42242</v>
      </c>
      <c r="H1621">
        <f t="shared" si="126"/>
        <v>4</v>
      </c>
      <c r="I1621">
        <f t="shared" si="127"/>
        <v>26</v>
      </c>
      <c r="J1621">
        <f t="shared" si="128"/>
        <v>8</v>
      </c>
      <c r="K1621">
        <f t="shared" si="129"/>
        <v>2015</v>
      </c>
      <c r="M1621">
        <v>8</v>
      </c>
      <c r="N1621" t="str">
        <f>VLOOKUP(M1621,'Cadastro Vendedores'!A:H,2,2)</f>
        <v>Sérgio</v>
      </c>
      <c r="O1621" s="2"/>
      <c r="P1621" s="16">
        <v>1200</v>
      </c>
      <c r="Q1621" s="2">
        <f>VLOOKUP(B1621,'Cadastro Produtos'!A:F,5,2)</f>
        <v>21</v>
      </c>
      <c r="R1621" s="14">
        <f t="shared" si="125"/>
        <v>25200</v>
      </c>
    </row>
    <row r="1622" spans="1:18" x14ac:dyDescent="0.25">
      <c r="A1622">
        <v>1621</v>
      </c>
      <c r="B1622">
        <v>2</v>
      </c>
      <c r="C1622" t="str">
        <f>VLOOKUP(B1622,'Cadastro Produtos'!A:E,2,2)</f>
        <v>Limonada Beta com Açúcar 500 ml</v>
      </c>
      <c r="D1622">
        <v>1</v>
      </c>
      <c r="E1622" t="str">
        <f>VLOOKUP(D1622,'Cadatro Clientes'!A:O,2,2)</f>
        <v>Meu Suco de Limão</v>
      </c>
      <c r="F1622" t="str">
        <f>VLOOKUP(D1622,'Cadatro Clientes'!A:O,9,2)</f>
        <v>Norte</v>
      </c>
      <c r="G1622" s="15">
        <v>42243</v>
      </c>
      <c r="H1622">
        <f t="shared" si="126"/>
        <v>5</v>
      </c>
      <c r="I1622">
        <f t="shared" si="127"/>
        <v>27</v>
      </c>
      <c r="J1622">
        <f t="shared" si="128"/>
        <v>8</v>
      </c>
      <c r="K1622">
        <f t="shared" si="129"/>
        <v>2015</v>
      </c>
      <c r="M1622">
        <v>2</v>
      </c>
      <c r="N1622" t="str">
        <f>VLOOKUP(M1622,'Cadastro Vendedores'!A:H,2,2)</f>
        <v>Luis</v>
      </c>
      <c r="O1622" s="2"/>
      <c r="P1622" s="16">
        <v>2400</v>
      </c>
      <c r="Q1622" s="2">
        <f>VLOOKUP(B1622,'Cadastro Produtos'!A:F,5,2)</f>
        <v>6.5</v>
      </c>
      <c r="R1622" s="14">
        <f t="shared" si="125"/>
        <v>15600</v>
      </c>
    </row>
    <row r="1623" spans="1:18" x14ac:dyDescent="0.25">
      <c r="A1623">
        <v>1622</v>
      </c>
      <c r="B1623">
        <v>9</v>
      </c>
      <c r="C1623" t="str">
        <f>VLOOKUP(B1623,'Cadastro Produtos'!A:E,2,2)</f>
        <v>Limonada Alfa com Hortelã e Açúcar 1 L</v>
      </c>
      <c r="D1623">
        <v>17</v>
      </c>
      <c r="E1623" t="str">
        <f>VLOOKUP(D1623,'Cadatro Clientes'!A:O,2,2)</f>
        <v>Aracasuco</v>
      </c>
      <c r="F1623" t="str">
        <f>VLOOKUP(D1623,'Cadatro Clientes'!A:O,9,2)</f>
        <v>Nordeste</v>
      </c>
      <c r="G1623" s="15">
        <v>42243</v>
      </c>
      <c r="H1623">
        <f t="shared" si="126"/>
        <v>5</v>
      </c>
      <c r="I1623">
        <f t="shared" si="127"/>
        <v>27</v>
      </c>
      <c r="J1623">
        <f t="shared" si="128"/>
        <v>8</v>
      </c>
      <c r="K1623">
        <f t="shared" si="129"/>
        <v>2015</v>
      </c>
      <c r="M1623">
        <v>6</v>
      </c>
      <c r="N1623" t="str">
        <f>VLOOKUP(M1623,'Cadastro Vendedores'!A:H,2,2)</f>
        <v>Antônia</v>
      </c>
      <c r="O1623" s="2"/>
      <c r="P1623" s="16">
        <v>600</v>
      </c>
      <c r="Q1623" s="2">
        <f>VLOOKUP(B1623,'Cadastro Produtos'!A:F,5,2)</f>
        <v>17.5</v>
      </c>
      <c r="R1623" s="14">
        <f t="shared" si="125"/>
        <v>10500</v>
      </c>
    </row>
    <row r="1624" spans="1:18" x14ac:dyDescent="0.25">
      <c r="A1624">
        <v>1623</v>
      </c>
      <c r="B1624">
        <v>4</v>
      </c>
      <c r="C1624" t="str">
        <f>VLOOKUP(B1624,'Cadastro Produtos'!A:E,2,2)</f>
        <v>Limonada Beta Zero 500 ml</v>
      </c>
      <c r="D1624">
        <v>14</v>
      </c>
      <c r="E1624" t="str">
        <f>VLOOKUP(D1624,'Cadatro Clientes'!A:O,2,2)</f>
        <v>Sprite</v>
      </c>
      <c r="F1624" t="str">
        <f>VLOOKUP(D1624,'Cadatro Clientes'!A:O,9,2)</f>
        <v>Norte</v>
      </c>
      <c r="G1624" s="15">
        <v>42243</v>
      </c>
      <c r="H1624">
        <f t="shared" si="126"/>
        <v>5</v>
      </c>
      <c r="I1624">
        <f t="shared" si="127"/>
        <v>27</v>
      </c>
      <c r="J1624">
        <f t="shared" si="128"/>
        <v>8</v>
      </c>
      <c r="K1624">
        <f t="shared" si="129"/>
        <v>2015</v>
      </c>
      <c r="M1624">
        <v>15</v>
      </c>
      <c r="N1624" t="str">
        <f>VLOOKUP(M1624,'Cadastro Vendedores'!A:H,2,2)</f>
        <v>Luis</v>
      </c>
      <c r="O1624" s="2"/>
      <c r="P1624" s="16">
        <v>1600</v>
      </c>
      <c r="Q1624" s="2">
        <f>VLOOKUP(B1624,'Cadastro Produtos'!A:F,5,2)</f>
        <v>7</v>
      </c>
      <c r="R1624" s="14">
        <f t="shared" si="125"/>
        <v>11200</v>
      </c>
    </row>
    <row r="1625" spans="1:18" x14ac:dyDescent="0.25">
      <c r="A1625">
        <v>1624</v>
      </c>
      <c r="B1625">
        <v>7</v>
      </c>
      <c r="C1625" t="str">
        <f>VLOOKUP(B1625,'Cadastro Produtos'!A:E,2,2)</f>
        <v>Limonada Alfa Zero 1 L</v>
      </c>
      <c r="D1625">
        <v>3</v>
      </c>
      <c r="E1625" t="str">
        <f>VLOOKUP(D1625,'Cadatro Clientes'!A:O,2,2)</f>
        <v>Limonada Suíça Ltda</v>
      </c>
      <c r="F1625" t="str">
        <f>VLOOKUP(D1625,'Cadatro Clientes'!A:O,9,2)</f>
        <v>Nordeste</v>
      </c>
      <c r="G1625" s="15">
        <v>42244</v>
      </c>
      <c r="H1625">
        <f t="shared" si="126"/>
        <v>6</v>
      </c>
      <c r="I1625">
        <f t="shared" si="127"/>
        <v>28</v>
      </c>
      <c r="J1625">
        <f t="shared" si="128"/>
        <v>8</v>
      </c>
      <c r="K1625">
        <f t="shared" si="129"/>
        <v>2015</v>
      </c>
      <c r="M1625">
        <v>6</v>
      </c>
      <c r="N1625" t="str">
        <f>VLOOKUP(M1625,'Cadastro Vendedores'!A:H,2,2)</f>
        <v>Antônia</v>
      </c>
      <c r="O1625" s="2"/>
      <c r="P1625" s="16">
        <v>1000</v>
      </c>
      <c r="Q1625" s="2">
        <f>VLOOKUP(B1625,'Cadastro Produtos'!A:F,5,2)</f>
        <v>15</v>
      </c>
      <c r="R1625" s="14">
        <f t="shared" si="125"/>
        <v>15000</v>
      </c>
    </row>
    <row r="1626" spans="1:18" x14ac:dyDescent="0.25">
      <c r="A1626">
        <v>1625</v>
      </c>
      <c r="B1626">
        <v>9</v>
      </c>
      <c r="C1626" t="str">
        <f>VLOOKUP(B1626,'Cadastro Produtos'!A:E,2,2)</f>
        <v>Limonada Alfa com Hortelã e Açúcar 1 L</v>
      </c>
      <c r="D1626">
        <v>8</v>
      </c>
      <c r="E1626" t="str">
        <f>VLOOKUP(D1626,'Cadatro Clientes'!A:O,2,2)</f>
        <v>Refresko</v>
      </c>
      <c r="F1626" t="str">
        <f>VLOOKUP(D1626,'Cadatro Clientes'!A:O,9,2)</f>
        <v>Sul</v>
      </c>
      <c r="G1626" s="15">
        <v>42244</v>
      </c>
      <c r="H1626">
        <f t="shared" si="126"/>
        <v>6</v>
      </c>
      <c r="I1626">
        <f t="shared" si="127"/>
        <v>28</v>
      </c>
      <c r="J1626">
        <f t="shared" si="128"/>
        <v>8</v>
      </c>
      <c r="K1626">
        <f t="shared" si="129"/>
        <v>2015</v>
      </c>
      <c r="M1626">
        <v>3</v>
      </c>
      <c r="N1626" t="str">
        <f>VLOOKUP(M1626,'Cadastro Vendedores'!A:H,2,2)</f>
        <v>Antônia</v>
      </c>
      <c r="O1626" s="2"/>
      <c r="P1626" s="16">
        <v>1300</v>
      </c>
      <c r="Q1626" s="2">
        <f>VLOOKUP(B1626,'Cadastro Produtos'!A:F,5,2)</f>
        <v>17.5</v>
      </c>
      <c r="R1626" s="14">
        <f t="shared" si="125"/>
        <v>22750</v>
      </c>
    </row>
    <row r="1627" spans="1:18" x14ac:dyDescent="0.25">
      <c r="A1627">
        <v>1626</v>
      </c>
      <c r="B1627">
        <v>8</v>
      </c>
      <c r="C1627" t="str">
        <f>VLOOKUP(B1627,'Cadastro Produtos'!A:E,2,2)</f>
        <v>Limonada Beta Zero 1 L</v>
      </c>
      <c r="D1627">
        <v>19</v>
      </c>
      <c r="E1627" t="str">
        <f>VLOOKUP(D1627,'Cadatro Clientes'!A:O,2,2)</f>
        <v>Lima Limão</v>
      </c>
      <c r="F1627" t="str">
        <f>VLOOKUP(D1627,'Cadatro Clientes'!A:O,9,2)</f>
        <v>Sudeste</v>
      </c>
      <c r="G1627" s="15">
        <v>42244</v>
      </c>
      <c r="H1627">
        <f t="shared" si="126"/>
        <v>6</v>
      </c>
      <c r="I1627">
        <f t="shared" si="127"/>
        <v>28</v>
      </c>
      <c r="J1627">
        <f t="shared" si="128"/>
        <v>8</v>
      </c>
      <c r="K1627">
        <f t="shared" si="129"/>
        <v>2015</v>
      </c>
      <c r="M1627">
        <v>12</v>
      </c>
      <c r="N1627" t="str">
        <f>VLOOKUP(M1627,'Cadastro Vendedores'!A:H,2,2)</f>
        <v>Paulo</v>
      </c>
      <c r="O1627" s="2"/>
      <c r="P1627" s="16">
        <v>2100</v>
      </c>
      <c r="Q1627" s="2">
        <f>VLOOKUP(B1627,'Cadastro Produtos'!A:F,5,2)</f>
        <v>12</v>
      </c>
      <c r="R1627" s="14">
        <f t="shared" si="125"/>
        <v>25200</v>
      </c>
    </row>
    <row r="1628" spans="1:18" x14ac:dyDescent="0.25">
      <c r="A1628">
        <v>1627</v>
      </c>
      <c r="B1628">
        <v>8</v>
      </c>
      <c r="C1628" t="str">
        <f>VLOOKUP(B1628,'Cadastro Produtos'!A:E,2,2)</f>
        <v>Limonada Beta Zero 1 L</v>
      </c>
      <c r="D1628">
        <v>11</v>
      </c>
      <c r="E1628" t="str">
        <f>VLOOKUP(D1628,'Cadatro Clientes'!A:O,2,2)</f>
        <v>Red Lemon</v>
      </c>
      <c r="F1628" t="str">
        <f>VLOOKUP(D1628,'Cadatro Clientes'!A:O,9,2)</f>
        <v>Sul</v>
      </c>
      <c r="G1628" s="15">
        <v>42244</v>
      </c>
      <c r="H1628">
        <f t="shared" si="126"/>
        <v>6</v>
      </c>
      <c r="I1628">
        <f t="shared" si="127"/>
        <v>28</v>
      </c>
      <c r="J1628">
        <f t="shared" si="128"/>
        <v>8</v>
      </c>
      <c r="K1628">
        <f t="shared" si="129"/>
        <v>2015</v>
      </c>
      <c r="M1628">
        <v>7</v>
      </c>
      <c r="N1628" t="str">
        <f>VLOOKUP(M1628,'Cadastro Vendedores'!A:H,2,2)</f>
        <v>Benedito</v>
      </c>
      <c r="O1628" s="2"/>
      <c r="P1628" s="16">
        <v>3300</v>
      </c>
      <c r="Q1628" s="2">
        <f>VLOOKUP(B1628,'Cadastro Produtos'!A:F,5,2)</f>
        <v>12</v>
      </c>
      <c r="R1628" s="14">
        <f t="shared" si="125"/>
        <v>39600</v>
      </c>
    </row>
    <row r="1629" spans="1:18" x14ac:dyDescent="0.25">
      <c r="A1629">
        <v>1628</v>
      </c>
      <c r="B1629">
        <v>4</v>
      </c>
      <c r="C1629" t="str">
        <f>VLOOKUP(B1629,'Cadastro Produtos'!A:E,2,2)</f>
        <v>Limonada Beta Zero 500 ml</v>
      </c>
      <c r="D1629">
        <v>3</v>
      </c>
      <c r="E1629" t="str">
        <f>VLOOKUP(D1629,'Cadatro Clientes'!A:O,2,2)</f>
        <v>Limonada Suíça Ltda</v>
      </c>
      <c r="F1629" t="str">
        <f>VLOOKUP(D1629,'Cadatro Clientes'!A:O,9,2)</f>
        <v>Nordeste</v>
      </c>
      <c r="G1629" s="15">
        <v>42245</v>
      </c>
      <c r="H1629">
        <f t="shared" si="126"/>
        <v>7</v>
      </c>
      <c r="I1629">
        <f t="shared" si="127"/>
        <v>29</v>
      </c>
      <c r="J1629">
        <f t="shared" si="128"/>
        <v>8</v>
      </c>
      <c r="K1629">
        <f t="shared" si="129"/>
        <v>2015</v>
      </c>
      <c r="M1629">
        <v>2</v>
      </c>
      <c r="N1629" t="str">
        <f>VLOOKUP(M1629,'Cadastro Vendedores'!A:H,2,2)</f>
        <v>Luis</v>
      </c>
      <c r="O1629" s="2"/>
      <c r="P1629" s="16">
        <v>4100</v>
      </c>
      <c r="Q1629" s="2">
        <f>VLOOKUP(B1629,'Cadastro Produtos'!A:F,5,2)</f>
        <v>7</v>
      </c>
      <c r="R1629" s="14">
        <f t="shared" si="125"/>
        <v>28700</v>
      </c>
    </row>
    <row r="1630" spans="1:18" x14ac:dyDescent="0.25">
      <c r="A1630">
        <v>1629</v>
      </c>
      <c r="B1630">
        <v>2</v>
      </c>
      <c r="C1630" t="str">
        <f>VLOOKUP(B1630,'Cadastro Produtos'!A:E,2,2)</f>
        <v>Limonada Beta com Açúcar 500 ml</v>
      </c>
      <c r="D1630">
        <v>2</v>
      </c>
      <c r="E1630" t="str">
        <f>VLOOKUP(D1630,'Cadatro Clientes'!A:O,2,2)</f>
        <v>Limão S/A</v>
      </c>
      <c r="F1630" t="str">
        <f>VLOOKUP(D1630,'Cadatro Clientes'!A:O,9,2)</f>
        <v>Centro-Oeste</v>
      </c>
      <c r="G1630" s="15">
        <v>42245</v>
      </c>
      <c r="H1630">
        <f t="shared" si="126"/>
        <v>7</v>
      </c>
      <c r="I1630">
        <f t="shared" si="127"/>
        <v>29</v>
      </c>
      <c r="J1630">
        <f t="shared" si="128"/>
        <v>8</v>
      </c>
      <c r="K1630">
        <f t="shared" si="129"/>
        <v>2015</v>
      </c>
      <c r="M1630">
        <v>2</v>
      </c>
      <c r="N1630" t="str">
        <f>VLOOKUP(M1630,'Cadastro Vendedores'!A:H,2,2)</f>
        <v>Luis</v>
      </c>
      <c r="O1630" s="2"/>
      <c r="P1630" s="16">
        <v>4700</v>
      </c>
      <c r="Q1630" s="2">
        <f>VLOOKUP(B1630,'Cadastro Produtos'!A:F,5,2)</f>
        <v>6.5</v>
      </c>
      <c r="R1630" s="14">
        <f t="shared" si="125"/>
        <v>30550</v>
      </c>
    </row>
    <row r="1631" spans="1:18" x14ac:dyDescent="0.25">
      <c r="A1631">
        <v>1630</v>
      </c>
      <c r="B1631">
        <v>10</v>
      </c>
      <c r="C1631" t="str">
        <f>VLOOKUP(B1631,'Cadastro Produtos'!A:E,2,2)</f>
        <v>Limonada Alfa com Hortelã Zero 1 L</v>
      </c>
      <c r="D1631">
        <v>19</v>
      </c>
      <c r="E1631" t="str">
        <f>VLOOKUP(D1631,'Cadatro Clientes'!A:O,2,2)</f>
        <v>Lima Limão</v>
      </c>
      <c r="F1631" t="str">
        <f>VLOOKUP(D1631,'Cadatro Clientes'!A:O,9,2)</f>
        <v>Sudeste</v>
      </c>
      <c r="G1631" s="15">
        <v>42245</v>
      </c>
      <c r="H1631">
        <f t="shared" si="126"/>
        <v>7</v>
      </c>
      <c r="I1631">
        <f t="shared" si="127"/>
        <v>29</v>
      </c>
      <c r="J1631">
        <f t="shared" si="128"/>
        <v>8</v>
      </c>
      <c r="K1631">
        <f t="shared" si="129"/>
        <v>2015</v>
      </c>
      <c r="M1631">
        <v>12</v>
      </c>
      <c r="N1631" t="str">
        <f>VLOOKUP(M1631,'Cadastro Vendedores'!A:H,2,2)</f>
        <v>Paulo</v>
      </c>
      <c r="O1631" s="2"/>
      <c r="P1631" s="16">
        <v>1100</v>
      </c>
      <c r="Q1631" s="2">
        <f>VLOOKUP(B1631,'Cadastro Produtos'!A:F,5,2)</f>
        <v>21</v>
      </c>
      <c r="R1631" s="14">
        <f t="shared" si="125"/>
        <v>23100</v>
      </c>
    </row>
    <row r="1632" spans="1:18" x14ac:dyDescent="0.25">
      <c r="A1632">
        <v>1631</v>
      </c>
      <c r="B1632">
        <v>3</v>
      </c>
      <c r="C1632" t="str">
        <f>VLOOKUP(B1632,'Cadastro Produtos'!A:E,2,2)</f>
        <v>Limonada Alfa Zero 500 ml</v>
      </c>
      <c r="D1632">
        <v>17</v>
      </c>
      <c r="E1632" t="str">
        <f>VLOOKUP(D1632,'Cadatro Clientes'!A:O,2,2)</f>
        <v>Aracasuco</v>
      </c>
      <c r="F1632" t="str">
        <f>VLOOKUP(D1632,'Cadatro Clientes'!A:O,9,2)</f>
        <v>Nordeste</v>
      </c>
      <c r="G1632" s="15">
        <v>42245</v>
      </c>
      <c r="H1632">
        <f t="shared" si="126"/>
        <v>7</v>
      </c>
      <c r="I1632">
        <f t="shared" si="127"/>
        <v>29</v>
      </c>
      <c r="J1632">
        <f t="shared" si="128"/>
        <v>8</v>
      </c>
      <c r="K1632">
        <f t="shared" si="129"/>
        <v>2015</v>
      </c>
      <c r="M1632">
        <v>9</v>
      </c>
      <c r="N1632" t="str">
        <f>VLOOKUP(M1632,'Cadastro Vendedores'!A:H,2,2)</f>
        <v>Adriana</v>
      </c>
      <c r="O1632" s="2"/>
      <c r="P1632" s="16">
        <v>3900</v>
      </c>
      <c r="Q1632" s="2">
        <f>VLOOKUP(B1632,'Cadastro Produtos'!A:F,5,2)</f>
        <v>9</v>
      </c>
      <c r="R1632" s="14">
        <f t="shared" si="125"/>
        <v>35100</v>
      </c>
    </row>
    <row r="1633" spans="1:18" x14ac:dyDescent="0.25">
      <c r="A1633">
        <v>1632</v>
      </c>
      <c r="B1633">
        <v>8</v>
      </c>
      <c r="C1633" t="str">
        <f>VLOOKUP(B1633,'Cadastro Produtos'!A:E,2,2)</f>
        <v>Limonada Beta Zero 1 L</v>
      </c>
      <c r="D1633">
        <v>16</v>
      </c>
      <c r="E1633" t="str">
        <f>VLOOKUP(D1633,'Cadatro Clientes'!A:O,2,2)</f>
        <v>Norte Suco</v>
      </c>
      <c r="F1633" t="str">
        <f>VLOOKUP(D1633,'Cadatro Clientes'!A:O,9,2)</f>
        <v>Nordeste</v>
      </c>
      <c r="G1633" s="15">
        <v>42245</v>
      </c>
      <c r="H1633">
        <f t="shared" si="126"/>
        <v>7</v>
      </c>
      <c r="I1633">
        <f t="shared" si="127"/>
        <v>29</v>
      </c>
      <c r="J1633">
        <f t="shared" si="128"/>
        <v>8</v>
      </c>
      <c r="K1633">
        <f t="shared" si="129"/>
        <v>2015</v>
      </c>
      <c r="M1633">
        <v>2</v>
      </c>
      <c r="N1633" t="str">
        <f>VLOOKUP(M1633,'Cadastro Vendedores'!A:H,2,2)</f>
        <v>Luis</v>
      </c>
      <c r="O1633" s="2"/>
      <c r="P1633" s="16">
        <v>2100</v>
      </c>
      <c r="Q1633" s="2">
        <f>VLOOKUP(B1633,'Cadastro Produtos'!A:F,5,2)</f>
        <v>12</v>
      </c>
      <c r="R1633" s="14">
        <f t="shared" si="125"/>
        <v>25200</v>
      </c>
    </row>
    <row r="1634" spans="1:18" x14ac:dyDescent="0.25">
      <c r="A1634">
        <v>1633</v>
      </c>
      <c r="B1634">
        <v>8</v>
      </c>
      <c r="C1634" t="str">
        <f>VLOOKUP(B1634,'Cadastro Produtos'!A:E,2,2)</f>
        <v>Limonada Beta Zero 1 L</v>
      </c>
      <c r="D1634">
        <v>2</v>
      </c>
      <c r="E1634" t="str">
        <f>VLOOKUP(D1634,'Cadatro Clientes'!A:O,2,2)</f>
        <v>Limão S/A</v>
      </c>
      <c r="F1634" t="str">
        <f>VLOOKUP(D1634,'Cadatro Clientes'!A:O,9,2)</f>
        <v>Centro-Oeste</v>
      </c>
      <c r="G1634" s="15">
        <v>42246</v>
      </c>
      <c r="H1634">
        <f t="shared" si="126"/>
        <v>1</v>
      </c>
      <c r="I1634">
        <f t="shared" si="127"/>
        <v>30</v>
      </c>
      <c r="J1634">
        <f t="shared" si="128"/>
        <v>8</v>
      </c>
      <c r="K1634">
        <f t="shared" si="129"/>
        <v>2015</v>
      </c>
      <c r="M1634">
        <v>6</v>
      </c>
      <c r="N1634" t="str">
        <f>VLOOKUP(M1634,'Cadastro Vendedores'!A:H,2,2)</f>
        <v>Antônia</v>
      </c>
      <c r="O1634" s="2"/>
      <c r="P1634" s="16">
        <v>1300</v>
      </c>
      <c r="Q1634" s="2">
        <f>VLOOKUP(B1634,'Cadastro Produtos'!A:F,5,2)</f>
        <v>12</v>
      </c>
      <c r="R1634" s="14">
        <f t="shared" si="125"/>
        <v>15600</v>
      </c>
    </row>
    <row r="1635" spans="1:18" x14ac:dyDescent="0.25">
      <c r="A1635">
        <v>1634</v>
      </c>
      <c r="B1635">
        <v>8</v>
      </c>
      <c r="C1635" t="str">
        <f>VLOOKUP(B1635,'Cadastro Produtos'!A:E,2,2)</f>
        <v>Limonada Beta Zero 1 L</v>
      </c>
      <c r="D1635">
        <v>11</v>
      </c>
      <c r="E1635" t="str">
        <f>VLOOKUP(D1635,'Cadatro Clientes'!A:O,2,2)</f>
        <v>Red Lemon</v>
      </c>
      <c r="F1635" t="str">
        <f>VLOOKUP(D1635,'Cadatro Clientes'!A:O,9,2)</f>
        <v>Sul</v>
      </c>
      <c r="G1635" s="15">
        <v>42246</v>
      </c>
      <c r="H1635">
        <f t="shared" si="126"/>
        <v>1</v>
      </c>
      <c r="I1635">
        <f t="shared" si="127"/>
        <v>30</v>
      </c>
      <c r="J1635">
        <f t="shared" si="128"/>
        <v>8</v>
      </c>
      <c r="K1635">
        <f t="shared" si="129"/>
        <v>2015</v>
      </c>
      <c r="M1635">
        <v>9</v>
      </c>
      <c r="N1635" t="str">
        <f>VLOOKUP(M1635,'Cadastro Vendedores'!A:H,2,2)</f>
        <v>Adriana</v>
      </c>
      <c r="O1635" s="2"/>
      <c r="P1635" s="16">
        <v>2200</v>
      </c>
      <c r="Q1635" s="2">
        <f>VLOOKUP(B1635,'Cadastro Produtos'!A:F,5,2)</f>
        <v>12</v>
      </c>
      <c r="R1635" s="14">
        <f t="shared" si="125"/>
        <v>26400</v>
      </c>
    </row>
    <row r="1636" spans="1:18" x14ac:dyDescent="0.25">
      <c r="A1636">
        <v>1635</v>
      </c>
      <c r="B1636">
        <v>5</v>
      </c>
      <c r="C1636" t="str">
        <f>VLOOKUP(B1636,'Cadastro Produtos'!A:E,2,2)</f>
        <v>Limonada Alfa com Açúcar 1 L</v>
      </c>
      <c r="D1636">
        <v>11</v>
      </c>
      <c r="E1636" t="str">
        <f>VLOOKUP(D1636,'Cadatro Clientes'!A:O,2,2)</f>
        <v>Red Lemon</v>
      </c>
      <c r="F1636" t="str">
        <f>VLOOKUP(D1636,'Cadatro Clientes'!A:O,9,2)</f>
        <v>Sul</v>
      </c>
      <c r="G1636" s="15">
        <v>42246</v>
      </c>
      <c r="H1636">
        <f t="shared" si="126"/>
        <v>1</v>
      </c>
      <c r="I1636">
        <f t="shared" si="127"/>
        <v>30</v>
      </c>
      <c r="J1636">
        <f t="shared" si="128"/>
        <v>8</v>
      </c>
      <c r="K1636">
        <f t="shared" si="129"/>
        <v>2015</v>
      </c>
      <c r="M1636">
        <v>16</v>
      </c>
      <c r="N1636" t="str">
        <f>VLOOKUP(M1636,'Cadastro Vendedores'!A:H,2,2)</f>
        <v>Jose</v>
      </c>
      <c r="O1636" s="2"/>
      <c r="P1636" s="16">
        <v>1500</v>
      </c>
      <c r="Q1636" s="2">
        <f>VLOOKUP(B1636,'Cadastro Produtos'!A:F,5,2)</f>
        <v>15</v>
      </c>
      <c r="R1636" s="14">
        <f t="shared" si="125"/>
        <v>22500</v>
      </c>
    </row>
    <row r="1637" spans="1:18" x14ac:dyDescent="0.25">
      <c r="A1637">
        <v>1636</v>
      </c>
      <c r="B1637">
        <v>7</v>
      </c>
      <c r="C1637" t="str">
        <f>VLOOKUP(B1637,'Cadastro Produtos'!A:E,2,2)</f>
        <v>Limonada Alfa Zero 1 L</v>
      </c>
      <c r="D1637">
        <v>11</v>
      </c>
      <c r="E1637" t="str">
        <f>VLOOKUP(D1637,'Cadatro Clientes'!A:O,2,2)</f>
        <v>Red Lemon</v>
      </c>
      <c r="F1637" t="str">
        <f>VLOOKUP(D1637,'Cadatro Clientes'!A:O,9,2)</f>
        <v>Sul</v>
      </c>
      <c r="G1637" s="15">
        <v>42246</v>
      </c>
      <c r="H1637">
        <f t="shared" si="126"/>
        <v>1</v>
      </c>
      <c r="I1637">
        <f t="shared" si="127"/>
        <v>30</v>
      </c>
      <c r="J1637">
        <f t="shared" si="128"/>
        <v>8</v>
      </c>
      <c r="K1637">
        <f t="shared" si="129"/>
        <v>2015</v>
      </c>
      <c r="M1637">
        <v>3</v>
      </c>
      <c r="N1637" t="str">
        <f>VLOOKUP(M1637,'Cadastro Vendedores'!A:H,2,2)</f>
        <v>Antônia</v>
      </c>
      <c r="O1637" s="2"/>
      <c r="P1637" s="16">
        <v>900</v>
      </c>
      <c r="Q1637" s="2">
        <f>VLOOKUP(B1637,'Cadastro Produtos'!A:F,5,2)</f>
        <v>15</v>
      </c>
      <c r="R1637" s="14">
        <f t="shared" si="125"/>
        <v>13500</v>
      </c>
    </row>
    <row r="1638" spans="1:18" x14ac:dyDescent="0.25">
      <c r="A1638">
        <v>1637</v>
      </c>
      <c r="B1638">
        <v>9</v>
      </c>
      <c r="C1638" t="str">
        <f>VLOOKUP(B1638,'Cadastro Produtos'!A:E,2,2)</f>
        <v>Limonada Alfa com Hortelã e Açúcar 1 L</v>
      </c>
      <c r="D1638">
        <v>5</v>
      </c>
      <c r="E1638" t="str">
        <f>VLOOKUP(D1638,'Cadatro Clientes'!A:O,2,2)</f>
        <v>Axé com Limão</v>
      </c>
      <c r="F1638" t="str">
        <f>VLOOKUP(D1638,'Cadatro Clientes'!A:O,9,2)</f>
        <v>Nordeste</v>
      </c>
      <c r="G1638" s="15">
        <v>42247</v>
      </c>
      <c r="H1638">
        <f t="shared" si="126"/>
        <v>2</v>
      </c>
      <c r="I1638">
        <f t="shared" si="127"/>
        <v>31</v>
      </c>
      <c r="J1638">
        <f t="shared" si="128"/>
        <v>8</v>
      </c>
      <c r="K1638">
        <f t="shared" si="129"/>
        <v>2015</v>
      </c>
      <c r="M1638">
        <v>4</v>
      </c>
      <c r="N1638" t="str">
        <f>VLOOKUP(M1638,'Cadastro Vendedores'!A:H,2,2)</f>
        <v>José</v>
      </c>
      <c r="O1638" s="2"/>
      <c r="P1638" s="16">
        <v>1200</v>
      </c>
      <c r="Q1638" s="2">
        <f>VLOOKUP(B1638,'Cadastro Produtos'!A:F,5,2)</f>
        <v>17.5</v>
      </c>
      <c r="R1638" s="14">
        <f t="shared" si="125"/>
        <v>21000</v>
      </c>
    </row>
    <row r="1639" spans="1:18" x14ac:dyDescent="0.25">
      <c r="A1639">
        <v>1638</v>
      </c>
      <c r="B1639">
        <v>2</v>
      </c>
      <c r="C1639" t="str">
        <f>VLOOKUP(B1639,'Cadastro Produtos'!A:E,2,2)</f>
        <v>Limonada Beta com Açúcar 500 ml</v>
      </c>
      <c r="D1639">
        <v>1</v>
      </c>
      <c r="E1639" t="str">
        <f>VLOOKUP(D1639,'Cadatro Clientes'!A:O,2,2)</f>
        <v>Meu Suco de Limão</v>
      </c>
      <c r="F1639" t="str">
        <f>VLOOKUP(D1639,'Cadatro Clientes'!A:O,9,2)</f>
        <v>Norte</v>
      </c>
      <c r="G1639" s="15">
        <v>42247</v>
      </c>
      <c r="H1639">
        <f t="shared" si="126"/>
        <v>2</v>
      </c>
      <c r="I1639">
        <f t="shared" si="127"/>
        <v>31</v>
      </c>
      <c r="J1639">
        <f t="shared" si="128"/>
        <v>8</v>
      </c>
      <c r="K1639">
        <f t="shared" si="129"/>
        <v>2015</v>
      </c>
      <c r="M1639">
        <v>6</v>
      </c>
      <c r="N1639" t="str">
        <f>VLOOKUP(M1639,'Cadastro Vendedores'!A:H,2,2)</f>
        <v>Antônia</v>
      </c>
      <c r="O1639" s="2"/>
      <c r="P1639" s="16">
        <v>1400</v>
      </c>
      <c r="Q1639" s="2">
        <f>VLOOKUP(B1639,'Cadastro Produtos'!A:F,5,2)</f>
        <v>6.5</v>
      </c>
      <c r="R1639" s="14">
        <f t="shared" si="125"/>
        <v>9100</v>
      </c>
    </row>
    <row r="1640" spans="1:18" x14ac:dyDescent="0.25">
      <c r="A1640">
        <v>1639</v>
      </c>
      <c r="B1640">
        <v>7</v>
      </c>
      <c r="C1640" t="str">
        <f>VLOOKUP(B1640,'Cadastro Produtos'!A:E,2,2)</f>
        <v>Limonada Alfa Zero 1 L</v>
      </c>
      <c r="D1640">
        <v>2</v>
      </c>
      <c r="E1640" t="str">
        <f>VLOOKUP(D1640,'Cadatro Clientes'!A:O,2,2)</f>
        <v>Limão S/A</v>
      </c>
      <c r="F1640" t="str">
        <f>VLOOKUP(D1640,'Cadatro Clientes'!A:O,9,2)</f>
        <v>Centro-Oeste</v>
      </c>
      <c r="G1640" s="15">
        <v>42247</v>
      </c>
      <c r="H1640">
        <f t="shared" si="126"/>
        <v>2</v>
      </c>
      <c r="I1640">
        <f t="shared" si="127"/>
        <v>31</v>
      </c>
      <c r="J1640">
        <f t="shared" si="128"/>
        <v>8</v>
      </c>
      <c r="K1640">
        <f t="shared" si="129"/>
        <v>2015</v>
      </c>
      <c r="M1640">
        <v>12</v>
      </c>
      <c r="N1640" t="str">
        <f>VLOOKUP(M1640,'Cadastro Vendedores'!A:H,2,2)</f>
        <v>Paulo</v>
      </c>
      <c r="O1640" s="2"/>
      <c r="P1640" s="16">
        <v>1000</v>
      </c>
      <c r="Q1640" s="2">
        <f>VLOOKUP(B1640,'Cadastro Produtos'!A:F,5,2)</f>
        <v>15</v>
      </c>
      <c r="R1640" s="14">
        <f t="shared" si="125"/>
        <v>15000</v>
      </c>
    </row>
    <row r="1641" spans="1:18" x14ac:dyDescent="0.25">
      <c r="A1641">
        <v>1640</v>
      </c>
      <c r="B1641">
        <v>6</v>
      </c>
      <c r="C1641" t="str">
        <f>VLOOKUP(B1641,'Cadastro Produtos'!A:E,2,2)</f>
        <v>Limonada Beta com Açúcar 1 L</v>
      </c>
      <c r="D1641">
        <v>7</v>
      </c>
      <c r="E1641" t="str">
        <f>VLOOKUP(D1641,'Cadatro Clientes'!A:O,2,2)</f>
        <v>Limo</v>
      </c>
      <c r="F1641" t="str">
        <f>VLOOKUP(D1641,'Cadatro Clientes'!A:O,9,2)</f>
        <v>Centro-Oeste</v>
      </c>
      <c r="G1641" s="15">
        <v>42247</v>
      </c>
      <c r="H1641">
        <f t="shared" si="126"/>
        <v>2</v>
      </c>
      <c r="I1641">
        <f t="shared" si="127"/>
        <v>31</v>
      </c>
      <c r="J1641">
        <f t="shared" si="128"/>
        <v>8</v>
      </c>
      <c r="K1641">
        <f t="shared" si="129"/>
        <v>2015</v>
      </c>
      <c r="M1641">
        <v>8</v>
      </c>
      <c r="N1641" t="str">
        <f>VLOOKUP(M1641,'Cadastro Vendedores'!A:H,2,2)</f>
        <v>Sérgio</v>
      </c>
      <c r="O1641" s="2"/>
      <c r="P1641" s="16">
        <v>1300</v>
      </c>
      <c r="Q1641" s="2">
        <f>VLOOKUP(B1641,'Cadastro Produtos'!A:F,5,2)</f>
        <v>12</v>
      </c>
      <c r="R1641" s="14">
        <f t="shared" si="125"/>
        <v>15600</v>
      </c>
    </row>
    <row r="1642" spans="1:18" x14ac:dyDescent="0.25">
      <c r="A1642">
        <v>1641</v>
      </c>
      <c r="B1642">
        <v>9</v>
      </c>
      <c r="C1642" t="str">
        <f>VLOOKUP(B1642,'Cadastro Produtos'!A:E,2,2)</f>
        <v>Limonada Alfa com Hortelã e Açúcar 1 L</v>
      </c>
      <c r="D1642">
        <v>20</v>
      </c>
      <c r="E1642" t="str">
        <f>VLOOKUP(D1642,'Cadatro Clientes'!A:O,2,2)</f>
        <v>Brasil Saúde</v>
      </c>
      <c r="F1642" t="str">
        <f>VLOOKUP(D1642,'Cadatro Clientes'!A:O,9,2)</f>
        <v>Nordeste</v>
      </c>
      <c r="G1642" s="15">
        <v>42248</v>
      </c>
      <c r="H1642">
        <f t="shared" si="126"/>
        <v>3</v>
      </c>
      <c r="I1642">
        <f t="shared" si="127"/>
        <v>1</v>
      </c>
      <c r="J1642">
        <f t="shared" si="128"/>
        <v>9</v>
      </c>
      <c r="K1642">
        <f t="shared" si="129"/>
        <v>2015</v>
      </c>
      <c r="M1642">
        <v>12</v>
      </c>
      <c r="N1642" t="str">
        <f>VLOOKUP(M1642,'Cadastro Vendedores'!A:H,2,2)</f>
        <v>Paulo</v>
      </c>
      <c r="O1642" s="2"/>
      <c r="P1642" s="16">
        <v>1600</v>
      </c>
      <c r="Q1642" s="2">
        <f>VLOOKUP(B1642,'Cadastro Produtos'!A:F,5,2)</f>
        <v>17.5</v>
      </c>
      <c r="R1642" s="14">
        <f t="shared" si="125"/>
        <v>28000</v>
      </c>
    </row>
    <row r="1643" spans="1:18" x14ac:dyDescent="0.25">
      <c r="A1643">
        <v>1642</v>
      </c>
      <c r="B1643">
        <v>2</v>
      </c>
      <c r="C1643" t="str">
        <f>VLOOKUP(B1643,'Cadastro Produtos'!A:E,2,2)</f>
        <v>Limonada Beta com Açúcar 500 ml</v>
      </c>
      <c r="D1643">
        <v>12</v>
      </c>
      <c r="E1643" t="str">
        <f>VLOOKUP(D1643,'Cadatro Clientes'!A:O,2,2)</f>
        <v>Limão da Ilha</v>
      </c>
      <c r="F1643" t="str">
        <f>VLOOKUP(D1643,'Cadatro Clientes'!A:O,9,2)</f>
        <v>Sul</v>
      </c>
      <c r="G1643" s="15">
        <v>42248</v>
      </c>
      <c r="H1643">
        <f t="shared" si="126"/>
        <v>3</v>
      </c>
      <c r="I1643">
        <f t="shared" si="127"/>
        <v>1</v>
      </c>
      <c r="J1643">
        <f t="shared" si="128"/>
        <v>9</v>
      </c>
      <c r="K1643">
        <f t="shared" si="129"/>
        <v>2015</v>
      </c>
      <c r="M1643">
        <v>8</v>
      </c>
      <c r="N1643" t="str">
        <f>VLOOKUP(M1643,'Cadastro Vendedores'!A:H,2,2)</f>
        <v>Sérgio</v>
      </c>
      <c r="O1643" s="2"/>
      <c r="P1643" s="16">
        <v>6300</v>
      </c>
      <c r="Q1643" s="2">
        <f>VLOOKUP(B1643,'Cadastro Produtos'!A:F,5,2)</f>
        <v>6.5</v>
      </c>
      <c r="R1643" s="14">
        <f t="shared" si="125"/>
        <v>40950</v>
      </c>
    </row>
    <row r="1644" spans="1:18" x14ac:dyDescent="0.25">
      <c r="A1644">
        <v>1643</v>
      </c>
      <c r="B1644">
        <v>2</v>
      </c>
      <c r="C1644" t="str">
        <f>VLOOKUP(B1644,'Cadastro Produtos'!A:E,2,2)</f>
        <v>Limonada Beta com Açúcar 500 ml</v>
      </c>
      <c r="D1644">
        <v>12</v>
      </c>
      <c r="E1644" t="str">
        <f>VLOOKUP(D1644,'Cadatro Clientes'!A:O,2,2)</f>
        <v>Limão da Ilha</v>
      </c>
      <c r="F1644" t="str">
        <f>VLOOKUP(D1644,'Cadatro Clientes'!A:O,9,2)</f>
        <v>Sul</v>
      </c>
      <c r="G1644" s="15">
        <v>42248</v>
      </c>
      <c r="H1644">
        <f t="shared" si="126"/>
        <v>3</v>
      </c>
      <c r="I1644">
        <f t="shared" si="127"/>
        <v>1</v>
      </c>
      <c r="J1644">
        <f t="shared" si="128"/>
        <v>9</v>
      </c>
      <c r="K1644">
        <f t="shared" si="129"/>
        <v>2015</v>
      </c>
      <c r="M1644">
        <v>4</v>
      </c>
      <c r="N1644" t="str">
        <f>VLOOKUP(M1644,'Cadastro Vendedores'!A:H,2,2)</f>
        <v>José</v>
      </c>
      <c r="O1644" s="2"/>
      <c r="P1644" s="16">
        <v>5200</v>
      </c>
      <c r="Q1644" s="2">
        <f>VLOOKUP(B1644,'Cadastro Produtos'!A:F,5,2)</f>
        <v>6.5</v>
      </c>
      <c r="R1644" s="14">
        <f t="shared" si="125"/>
        <v>33800</v>
      </c>
    </row>
    <row r="1645" spans="1:18" x14ac:dyDescent="0.25">
      <c r="A1645">
        <v>1644</v>
      </c>
      <c r="B1645">
        <v>8</v>
      </c>
      <c r="C1645" t="str">
        <f>VLOOKUP(B1645,'Cadastro Produtos'!A:E,2,2)</f>
        <v>Limonada Beta Zero 1 L</v>
      </c>
      <c r="D1645">
        <v>5</v>
      </c>
      <c r="E1645" t="str">
        <f>VLOOKUP(D1645,'Cadatro Clientes'!A:O,2,2)</f>
        <v>Axé com Limão</v>
      </c>
      <c r="F1645" t="str">
        <f>VLOOKUP(D1645,'Cadatro Clientes'!A:O,9,2)</f>
        <v>Nordeste</v>
      </c>
      <c r="G1645" s="15">
        <v>42249</v>
      </c>
      <c r="H1645">
        <f t="shared" si="126"/>
        <v>4</v>
      </c>
      <c r="I1645">
        <f t="shared" si="127"/>
        <v>2</v>
      </c>
      <c r="J1645">
        <f t="shared" si="128"/>
        <v>9</v>
      </c>
      <c r="K1645">
        <f t="shared" si="129"/>
        <v>2015</v>
      </c>
      <c r="M1645">
        <v>8</v>
      </c>
      <c r="N1645" t="str">
        <f>VLOOKUP(M1645,'Cadastro Vendedores'!A:H,2,2)</f>
        <v>Sérgio</v>
      </c>
      <c r="O1645" s="2"/>
      <c r="P1645" s="16">
        <v>3500</v>
      </c>
      <c r="Q1645" s="2">
        <f>VLOOKUP(B1645,'Cadastro Produtos'!A:F,5,2)</f>
        <v>12</v>
      </c>
      <c r="R1645" s="14">
        <f t="shared" si="125"/>
        <v>42000</v>
      </c>
    </row>
    <row r="1646" spans="1:18" x14ac:dyDescent="0.25">
      <c r="A1646">
        <v>1645</v>
      </c>
      <c r="B1646">
        <v>7</v>
      </c>
      <c r="C1646" t="str">
        <f>VLOOKUP(B1646,'Cadastro Produtos'!A:E,2,2)</f>
        <v>Limonada Alfa Zero 1 L</v>
      </c>
      <c r="D1646">
        <v>20</v>
      </c>
      <c r="E1646" t="str">
        <f>VLOOKUP(D1646,'Cadatro Clientes'!A:O,2,2)</f>
        <v>Brasil Saúde</v>
      </c>
      <c r="F1646" t="str">
        <f>VLOOKUP(D1646,'Cadatro Clientes'!A:O,9,2)</f>
        <v>Nordeste</v>
      </c>
      <c r="G1646" s="15">
        <v>42249</v>
      </c>
      <c r="H1646">
        <f t="shared" si="126"/>
        <v>4</v>
      </c>
      <c r="I1646">
        <f t="shared" si="127"/>
        <v>2</v>
      </c>
      <c r="J1646">
        <f t="shared" si="128"/>
        <v>9</v>
      </c>
      <c r="K1646">
        <f t="shared" si="129"/>
        <v>2015</v>
      </c>
      <c r="M1646">
        <v>9</v>
      </c>
      <c r="N1646" t="str">
        <f>VLOOKUP(M1646,'Cadastro Vendedores'!A:H,2,2)</f>
        <v>Adriana</v>
      </c>
      <c r="O1646" s="2"/>
      <c r="P1646" s="16">
        <v>2400</v>
      </c>
      <c r="Q1646" s="2">
        <f>VLOOKUP(B1646,'Cadastro Produtos'!A:F,5,2)</f>
        <v>15</v>
      </c>
      <c r="R1646" s="14">
        <f t="shared" si="125"/>
        <v>36000</v>
      </c>
    </row>
    <row r="1647" spans="1:18" x14ac:dyDescent="0.25">
      <c r="A1647">
        <v>1646</v>
      </c>
      <c r="B1647">
        <v>2</v>
      </c>
      <c r="C1647" t="str">
        <f>VLOOKUP(B1647,'Cadastro Produtos'!A:E,2,2)</f>
        <v>Limonada Beta com Açúcar 500 ml</v>
      </c>
      <c r="D1647">
        <v>12</v>
      </c>
      <c r="E1647" t="str">
        <f>VLOOKUP(D1647,'Cadatro Clientes'!A:O,2,2)</f>
        <v>Limão da Ilha</v>
      </c>
      <c r="F1647" t="str">
        <f>VLOOKUP(D1647,'Cadatro Clientes'!A:O,9,2)</f>
        <v>Sul</v>
      </c>
      <c r="G1647" s="15">
        <v>42249</v>
      </c>
      <c r="H1647">
        <f t="shared" si="126"/>
        <v>4</v>
      </c>
      <c r="I1647">
        <f t="shared" si="127"/>
        <v>2</v>
      </c>
      <c r="J1647">
        <f t="shared" si="128"/>
        <v>9</v>
      </c>
      <c r="K1647">
        <f t="shared" si="129"/>
        <v>2015</v>
      </c>
      <c r="M1647">
        <v>8</v>
      </c>
      <c r="N1647" t="str">
        <f>VLOOKUP(M1647,'Cadastro Vendedores'!A:H,2,2)</f>
        <v>Sérgio</v>
      </c>
      <c r="O1647" s="2"/>
      <c r="P1647" s="16">
        <v>6300</v>
      </c>
      <c r="Q1647" s="2">
        <f>VLOOKUP(B1647,'Cadastro Produtos'!A:F,5,2)</f>
        <v>6.5</v>
      </c>
      <c r="R1647" s="14">
        <f t="shared" si="125"/>
        <v>40950</v>
      </c>
    </row>
    <row r="1648" spans="1:18" x14ac:dyDescent="0.25">
      <c r="A1648">
        <v>1647</v>
      </c>
      <c r="B1648">
        <v>6</v>
      </c>
      <c r="C1648" t="str">
        <f>VLOOKUP(B1648,'Cadastro Produtos'!A:E,2,2)</f>
        <v>Limonada Beta com Açúcar 1 L</v>
      </c>
      <c r="D1648">
        <v>3</v>
      </c>
      <c r="E1648" t="str">
        <f>VLOOKUP(D1648,'Cadatro Clientes'!A:O,2,2)</f>
        <v>Limonada Suíça Ltda</v>
      </c>
      <c r="F1648" t="str">
        <f>VLOOKUP(D1648,'Cadatro Clientes'!A:O,9,2)</f>
        <v>Nordeste</v>
      </c>
      <c r="G1648" s="15">
        <v>42250</v>
      </c>
      <c r="H1648">
        <f t="shared" si="126"/>
        <v>5</v>
      </c>
      <c r="I1648">
        <f t="shared" si="127"/>
        <v>3</v>
      </c>
      <c r="J1648">
        <f t="shared" si="128"/>
        <v>9</v>
      </c>
      <c r="K1648">
        <f t="shared" si="129"/>
        <v>2015</v>
      </c>
      <c r="M1648">
        <v>4</v>
      </c>
      <c r="N1648" t="str">
        <f>VLOOKUP(M1648,'Cadastro Vendedores'!A:H,2,2)</f>
        <v>José</v>
      </c>
      <c r="O1648" s="2"/>
      <c r="P1648" s="16">
        <v>1000</v>
      </c>
      <c r="Q1648" s="2">
        <f>VLOOKUP(B1648,'Cadastro Produtos'!A:F,5,2)</f>
        <v>12</v>
      </c>
      <c r="R1648" s="14">
        <f t="shared" si="125"/>
        <v>12000</v>
      </c>
    </row>
    <row r="1649" spans="1:18" x14ac:dyDescent="0.25">
      <c r="A1649">
        <v>1648</v>
      </c>
      <c r="B1649">
        <v>3</v>
      </c>
      <c r="C1649" t="str">
        <f>VLOOKUP(B1649,'Cadastro Produtos'!A:E,2,2)</f>
        <v>Limonada Alfa Zero 500 ml</v>
      </c>
      <c r="D1649">
        <v>14</v>
      </c>
      <c r="E1649" t="str">
        <f>VLOOKUP(D1649,'Cadatro Clientes'!A:O,2,2)</f>
        <v>Sprite</v>
      </c>
      <c r="F1649" t="str">
        <f>VLOOKUP(D1649,'Cadatro Clientes'!A:O,9,2)</f>
        <v>Norte</v>
      </c>
      <c r="G1649" s="15">
        <v>42250</v>
      </c>
      <c r="H1649">
        <f t="shared" si="126"/>
        <v>5</v>
      </c>
      <c r="I1649">
        <f t="shared" si="127"/>
        <v>3</v>
      </c>
      <c r="J1649">
        <f t="shared" si="128"/>
        <v>9</v>
      </c>
      <c r="K1649">
        <f t="shared" si="129"/>
        <v>2015</v>
      </c>
      <c r="M1649">
        <v>3</v>
      </c>
      <c r="N1649" t="str">
        <f>VLOOKUP(M1649,'Cadastro Vendedores'!A:H,2,2)</f>
        <v>Antônia</v>
      </c>
      <c r="O1649" s="2"/>
      <c r="P1649" s="16">
        <v>5600</v>
      </c>
      <c r="Q1649" s="2">
        <f>VLOOKUP(B1649,'Cadastro Produtos'!A:F,5,2)</f>
        <v>9</v>
      </c>
      <c r="R1649" s="14">
        <f t="shared" si="125"/>
        <v>50400</v>
      </c>
    </row>
    <row r="1650" spans="1:18" x14ac:dyDescent="0.25">
      <c r="A1650">
        <v>1649</v>
      </c>
      <c r="B1650">
        <v>4</v>
      </c>
      <c r="C1650" t="str">
        <f>VLOOKUP(B1650,'Cadastro Produtos'!A:E,2,2)</f>
        <v>Limonada Beta Zero 500 ml</v>
      </c>
      <c r="D1650">
        <v>5</v>
      </c>
      <c r="E1650" t="str">
        <f>VLOOKUP(D1650,'Cadatro Clientes'!A:O,2,2)</f>
        <v>Axé com Limão</v>
      </c>
      <c r="F1650" t="str">
        <f>VLOOKUP(D1650,'Cadatro Clientes'!A:O,9,2)</f>
        <v>Nordeste</v>
      </c>
      <c r="G1650" s="15">
        <v>42251</v>
      </c>
      <c r="H1650">
        <f t="shared" si="126"/>
        <v>6</v>
      </c>
      <c r="I1650">
        <f t="shared" si="127"/>
        <v>4</v>
      </c>
      <c r="J1650">
        <f t="shared" si="128"/>
        <v>9</v>
      </c>
      <c r="K1650">
        <f t="shared" si="129"/>
        <v>2015</v>
      </c>
      <c r="M1650">
        <v>13</v>
      </c>
      <c r="N1650" t="str">
        <f>VLOOKUP(M1650,'Cadastro Vendedores'!A:H,2,2)</f>
        <v>Andre</v>
      </c>
      <c r="O1650" s="2"/>
      <c r="P1650" s="16">
        <v>7000</v>
      </c>
      <c r="Q1650" s="2">
        <f>VLOOKUP(B1650,'Cadastro Produtos'!A:F,5,2)</f>
        <v>7</v>
      </c>
      <c r="R1650" s="14">
        <f t="shared" si="125"/>
        <v>49000</v>
      </c>
    </row>
    <row r="1651" spans="1:18" x14ac:dyDescent="0.25">
      <c r="A1651">
        <v>1650</v>
      </c>
      <c r="B1651">
        <v>9</v>
      </c>
      <c r="C1651" t="str">
        <f>VLOOKUP(B1651,'Cadastro Produtos'!A:E,2,2)</f>
        <v>Limonada Alfa com Hortelã e Açúcar 1 L</v>
      </c>
      <c r="D1651">
        <v>5</v>
      </c>
      <c r="E1651" t="str">
        <f>VLOOKUP(D1651,'Cadatro Clientes'!A:O,2,2)</f>
        <v>Axé com Limão</v>
      </c>
      <c r="F1651" t="str">
        <f>VLOOKUP(D1651,'Cadatro Clientes'!A:O,9,2)</f>
        <v>Nordeste</v>
      </c>
      <c r="G1651" s="15">
        <v>42251</v>
      </c>
      <c r="H1651">
        <f t="shared" si="126"/>
        <v>6</v>
      </c>
      <c r="I1651">
        <f t="shared" si="127"/>
        <v>4</v>
      </c>
      <c r="J1651">
        <f t="shared" si="128"/>
        <v>9</v>
      </c>
      <c r="K1651">
        <f t="shared" si="129"/>
        <v>2015</v>
      </c>
      <c r="M1651">
        <v>7</v>
      </c>
      <c r="N1651" t="str">
        <f>VLOOKUP(M1651,'Cadastro Vendedores'!A:H,2,2)</f>
        <v>Benedito</v>
      </c>
      <c r="O1651" s="2"/>
      <c r="P1651" s="16">
        <v>1500</v>
      </c>
      <c r="Q1651" s="2">
        <f>VLOOKUP(B1651,'Cadastro Produtos'!A:F,5,2)</f>
        <v>17.5</v>
      </c>
      <c r="R1651" s="14">
        <f t="shared" si="125"/>
        <v>26250</v>
      </c>
    </row>
    <row r="1652" spans="1:18" x14ac:dyDescent="0.25">
      <c r="A1652">
        <v>1651</v>
      </c>
      <c r="B1652">
        <v>5</v>
      </c>
      <c r="C1652" t="str">
        <f>VLOOKUP(B1652,'Cadastro Produtos'!A:E,2,2)</f>
        <v>Limonada Alfa com Açúcar 1 L</v>
      </c>
      <c r="D1652">
        <v>2</v>
      </c>
      <c r="E1652" t="str">
        <f>VLOOKUP(D1652,'Cadatro Clientes'!A:O,2,2)</f>
        <v>Limão S/A</v>
      </c>
      <c r="F1652" t="str">
        <f>VLOOKUP(D1652,'Cadatro Clientes'!A:O,9,2)</f>
        <v>Centro-Oeste</v>
      </c>
      <c r="G1652" s="15">
        <v>42251</v>
      </c>
      <c r="H1652">
        <f t="shared" si="126"/>
        <v>6</v>
      </c>
      <c r="I1652">
        <f t="shared" si="127"/>
        <v>4</v>
      </c>
      <c r="J1652">
        <f t="shared" si="128"/>
        <v>9</v>
      </c>
      <c r="K1652">
        <f t="shared" si="129"/>
        <v>2015</v>
      </c>
      <c r="M1652">
        <v>15</v>
      </c>
      <c r="N1652" t="str">
        <f>VLOOKUP(M1652,'Cadastro Vendedores'!A:H,2,2)</f>
        <v>Luis</v>
      </c>
      <c r="O1652" s="2"/>
      <c r="P1652" s="16">
        <v>1400</v>
      </c>
      <c r="Q1652" s="2">
        <f>VLOOKUP(B1652,'Cadastro Produtos'!A:F,5,2)</f>
        <v>15</v>
      </c>
      <c r="R1652" s="14">
        <f t="shared" si="125"/>
        <v>21000</v>
      </c>
    </row>
    <row r="1653" spans="1:18" x14ac:dyDescent="0.25">
      <c r="A1653">
        <v>1652</v>
      </c>
      <c r="B1653">
        <v>8</v>
      </c>
      <c r="C1653" t="str">
        <f>VLOOKUP(B1653,'Cadastro Produtos'!A:E,2,2)</f>
        <v>Limonada Beta Zero 1 L</v>
      </c>
      <c r="D1653">
        <v>6</v>
      </c>
      <c r="E1653" t="str">
        <f>VLOOKUP(D1653,'Cadatro Clientes'!A:O,2,2)</f>
        <v>Lemonade</v>
      </c>
      <c r="F1653" t="str">
        <f>VLOOKUP(D1653,'Cadatro Clientes'!A:O,9,2)</f>
        <v>Norte</v>
      </c>
      <c r="G1653" s="15">
        <v>42252</v>
      </c>
      <c r="H1653">
        <f t="shared" si="126"/>
        <v>7</v>
      </c>
      <c r="I1653">
        <f t="shared" si="127"/>
        <v>5</v>
      </c>
      <c r="J1653">
        <f t="shared" si="128"/>
        <v>9</v>
      </c>
      <c r="K1653">
        <f t="shared" si="129"/>
        <v>2015</v>
      </c>
      <c r="M1653">
        <v>3</v>
      </c>
      <c r="N1653" t="str">
        <f>VLOOKUP(M1653,'Cadastro Vendedores'!A:H,2,2)</f>
        <v>Antônia</v>
      </c>
      <c r="O1653" s="2"/>
      <c r="P1653" s="16">
        <v>2000</v>
      </c>
      <c r="Q1653" s="2">
        <f>VLOOKUP(B1653,'Cadastro Produtos'!A:F,5,2)</f>
        <v>12</v>
      </c>
      <c r="R1653" s="14">
        <f t="shared" si="125"/>
        <v>24000</v>
      </c>
    </row>
    <row r="1654" spans="1:18" x14ac:dyDescent="0.25">
      <c r="A1654">
        <v>1653</v>
      </c>
      <c r="B1654">
        <v>4</v>
      </c>
      <c r="C1654" t="str">
        <f>VLOOKUP(B1654,'Cadastro Produtos'!A:E,2,2)</f>
        <v>Limonada Beta Zero 500 ml</v>
      </c>
      <c r="D1654">
        <v>14</v>
      </c>
      <c r="E1654" t="str">
        <f>VLOOKUP(D1654,'Cadatro Clientes'!A:O,2,2)</f>
        <v>Sprite</v>
      </c>
      <c r="F1654" t="str">
        <f>VLOOKUP(D1654,'Cadatro Clientes'!A:O,9,2)</f>
        <v>Norte</v>
      </c>
      <c r="G1654" s="15">
        <v>42252</v>
      </c>
      <c r="H1654">
        <f t="shared" si="126"/>
        <v>7</v>
      </c>
      <c r="I1654">
        <f t="shared" si="127"/>
        <v>5</v>
      </c>
      <c r="J1654">
        <f t="shared" si="128"/>
        <v>9</v>
      </c>
      <c r="K1654">
        <f t="shared" si="129"/>
        <v>2015</v>
      </c>
      <c r="M1654">
        <v>4</v>
      </c>
      <c r="N1654" t="str">
        <f>VLOOKUP(M1654,'Cadastro Vendedores'!A:H,2,2)</f>
        <v>José</v>
      </c>
      <c r="O1654" s="2"/>
      <c r="P1654" s="16">
        <v>3000</v>
      </c>
      <c r="Q1654" s="2">
        <f>VLOOKUP(B1654,'Cadastro Produtos'!A:F,5,2)</f>
        <v>7</v>
      </c>
      <c r="R1654" s="14">
        <f t="shared" si="125"/>
        <v>21000</v>
      </c>
    </row>
    <row r="1655" spans="1:18" x14ac:dyDescent="0.25">
      <c r="A1655">
        <v>1654</v>
      </c>
      <c r="B1655">
        <v>2</v>
      </c>
      <c r="C1655" t="str">
        <f>VLOOKUP(B1655,'Cadastro Produtos'!A:E,2,2)</f>
        <v>Limonada Beta com Açúcar 500 ml</v>
      </c>
      <c r="D1655">
        <v>8</v>
      </c>
      <c r="E1655" t="str">
        <f>VLOOKUP(D1655,'Cadatro Clientes'!A:O,2,2)</f>
        <v>Refresko</v>
      </c>
      <c r="F1655" t="str">
        <f>VLOOKUP(D1655,'Cadatro Clientes'!A:O,9,2)</f>
        <v>Sul</v>
      </c>
      <c r="G1655" s="15">
        <v>42253</v>
      </c>
      <c r="H1655">
        <f t="shared" si="126"/>
        <v>1</v>
      </c>
      <c r="I1655">
        <f t="shared" si="127"/>
        <v>6</v>
      </c>
      <c r="J1655">
        <f t="shared" si="128"/>
        <v>9</v>
      </c>
      <c r="K1655">
        <f t="shared" si="129"/>
        <v>2015</v>
      </c>
      <c r="M1655">
        <v>8</v>
      </c>
      <c r="N1655" t="str">
        <f>VLOOKUP(M1655,'Cadastro Vendedores'!A:H,2,2)</f>
        <v>Sérgio</v>
      </c>
      <c r="O1655" s="2"/>
      <c r="P1655" s="16">
        <v>5900</v>
      </c>
      <c r="Q1655" s="2">
        <f>VLOOKUP(B1655,'Cadastro Produtos'!A:F,5,2)</f>
        <v>6.5</v>
      </c>
      <c r="R1655" s="14">
        <f t="shared" si="125"/>
        <v>38350</v>
      </c>
    </row>
    <row r="1656" spans="1:18" x14ac:dyDescent="0.25">
      <c r="A1656">
        <v>1655</v>
      </c>
      <c r="B1656">
        <v>3</v>
      </c>
      <c r="C1656" t="str">
        <f>VLOOKUP(B1656,'Cadastro Produtos'!A:E,2,2)</f>
        <v>Limonada Alfa Zero 500 ml</v>
      </c>
      <c r="D1656">
        <v>14</v>
      </c>
      <c r="E1656" t="str">
        <f>VLOOKUP(D1656,'Cadatro Clientes'!A:O,2,2)</f>
        <v>Sprite</v>
      </c>
      <c r="F1656" t="str">
        <f>VLOOKUP(D1656,'Cadatro Clientes'!A:O,9,2)</f>
        <v>Norte</v>
      </c>
      <c r="G1656" s="15">
        <v>42253</v>
      </c>
      <c r="H1656">
        <f t="shared" si="126"/>
        <v>1</v>
      </c>
      <c r="I1656">
        <f t="shared" si="127"/>
        <v>6</v>
      </c>
      <c r="J1656">
        <f t="shared" si="128"/>
        <v>9</v>
      </c>
      <c r="K1656">
        <f t="shared" si="129"/>
        <v>2015</v>
      </c>
      <c r="M1656">
        <v>3</v>
      </c>
      <c r="N1656" t="str">
        <f>VLOOKUP(M1656,'Cadastro Vendedores'!A:H,2,2)</f>
        <v>Antônia</v>
      </c>
      <c r="O1656" s="2"/>
      <c r="P1656" s="16">
        <v>4000</v>
      </c>
      <c r="Q1656" s="2">
        <f>VLOOKUP(B1656,'Cadastro Produtos'!A:F,5,2)</f>
        <v>9</v>
      </c>
      <c r="R1656" s="14">
        <f t="shared" si="125"/>
        <v>36000</v>
      </c>
    </row>
    <row r="1657" spans="1:18" x14ac:dyDescent="0.25">
      <c r="A1657">
        <v>1656</v>
      </c>
      <c r="B1657">
        <v>1</v>
      </c>
      <c r="C1657" t="str">
        <f>VLOOKUP(B1657,'Cadastro Produtos'!A:E,2,2)</f>
        <v>Limonada Alfa com Açúcar 500 ml</v>
      </c>
      <c r="D1657">
        <v>18</v>
      </c>
      <c r="E1657" t="str">
        <f>VLOOKUP(D1657,'Cadatro Clientes'!A:O,2,2)</f>
        <v>Rio Branco Limonada Ltda</v>
      </c>
      <c r="F1657" t="str">
        <f>VLOOKUP(D1657,'Cadatro Clientes'!A:O,9,2)</f>
        <v>Norte</v>
      </c>
      <c r="G1657" s="15">
        <v>42253</v>
      </c>
      <c r="H1657">
        <f t="shared" si="126"/>
        <v>1</v>
      </c>
      <c r="I1657">
        <f t="shared" si="127"/>
        <v>6</v>
      </c>
      <c r="J1657">
        <f t="shared" si="128"/>
        <v>9</v>
      </c>
      <c r="K1657">
        <f t="shared" si="129"/>
        <v>2015</v>
      </c>
      <c r="M1657">
        <v>8</v>
      </c>
      <c r="N1657" t="str">
        <f>VLOOKUP(M1657,'Cadastro Vendedores'!A:H,2,2)</f>
        <v>Sérgio</v>
      </c>
      <c r="O1657" s="2"/>
      <c r="P1657" s="16">
        <v>5400</v>
      </c>
      <c r="Q1657" s="2">
        <f>VLOOKUP(B1657,'Cadastro Produtos'!A:F,5,2)</f>
        <v>8.5</v>
      </c>
      <c r="R1657" s="14">
        <f t="shared" si="125"/>
        <v>45900</v>
      </c>
    </row>
    <row r="1658" spans="1:18" x14ac:dyDescent="0.25">
      <c r="A1658">
        <v>1657</v>
      </c>
      <c r="B1658">
        <v>1</v>
      </c>
      <c r="C1658" t="str">
        <f>VLOOKUP(B1658,'Cadastro Produtos'!A:E,2,2)</f>
        <v>Limonada Alfa com Açúcar 500 ml</v>
      </c>
      <c r="D1658">
        <v>4</v>
      </c>
      <c r="E1658" t="str">
        <f>VLOOKUP(D1658,'Cadatro Clientes'!A:O,2,2)</f>
        <v>Limão Carioca e Cia</v>
      </c>
      <c r="F1658" t="str">
        <f>VLOOKUP(D1658,'Cadatro Clientes'!A:O,9,2)</f>
        <v>Sudeste</v>
      </c>
      <c r="G1658" s="15">
        <v>42253</v>
      </c>
      <c r="H1658">
        <f t="shared" si="126"/>
        <v>1</v>
      </c>
      <c r="I1658">
        <f t="shared" si="127"/>
        <v>6</v>
      </c>
      <c r="J1658">
        <f t="shared" si="128"/>
        <v>9</v>
      </c>
      <c r="K1658">
        <f t="shared" si="129"/>
        <v>2015</v>
      </c>
      <c r="M1658">
        <v>12</v>
      </c>
      <c r="N1658" t="str">
        <f>VLOOKUP(M1658,'Cadastro Vendedores'!A:H,2,2)</f>
        <v>Paulo</v>
      </c>
      <c r="O1658" s="2"/>
      <c r="P1658" s="16">
        <v>2000</v>
      </c>
      <c r="Q1658" s="2">
        <f>VLOOKUP(B1658,'Cadastro Produtos'!A:F,5,2)</f>
        <v>8.5</v>
      </c>
      <c r="R1658" s="14">
        <f t="shared" si="125"/>
        <v>17000</v>
      </c>
    </row>
    <row r="1659" spans="1:18" x14ac:dyDescent="0.25">
      <c r="A1659">
        <v>1658</v>
      </c>
      <c r="B1659">
        <v>2</v>
      </c>
      <c r="C1659" t="str">
        <f>VLOOKUP(B1659,'Cadastro Produtos'!A:E,2,2)</f>
        <v>Limonada Beta com Açúcar 500 ml</v>
      </c>
      <c r="D1659">
        <v>20</v>
      </c>
      <c r="E1659" t="str">
        <f>VLOOKUP(D1659,'Cadatro Clientes'!A:O,2,2)</f>
        <v>Brasil Saúde</v>
      </c>
      <c r="F1659" t="str">
        <f>VLOOKUP(D1659,'Cadatro Clientes'!A:O,9,2)</f>
        <v>Nordeste</v>
      </c>
      <c r="G1659" s="15">
        <v>42254</v>
      </c>
      <c r="H1659">
        <f t="shared" si="126"/>
        <v>2</v>
      </c>
      <c r="I1659">
        <f t="shared" si="127"/>
        <v>7</v>
      </c>
      <c r="J1659">
        <f t="shared" si="128"/>
        <v>9</v>
      </c>
      <c r="K1659">
        <f t="shared" si="129"/>
        <v>2015</v>
      </c>
      <c r="M1659">
        <v>9</v>
      </c>
      <c r="N1659" t="str">
        <f>VLOOKUP(M1659,'Cadastro Vendedores'!A:H,2,2)</f>
        <v>Adriana</v>
      </c>
      <c r="O1659" s="2"/>
      <c r="P1659" s="16">
        <v>5900</v>
      </c>
      <c r="Q1659" s="2">
        <f>VLOOKUP(B1659,'Cadastro Produtos'!A:F,5,2)</f>
        <v>6.5</v>
      </c>
      <c r="R1659" s="14">
        <f t="shared" si="125"/>
        <v>38350</v>
      </c>
    </row>
    <row r="1660" spans="1:18" x14ac:dyDescent="0.25">
      <c r="A1660">
        <v>1659</v>
      </c>
      <c r="B1660">
        <v>6</v>
      </c>
      <c r="C1660" t="str">
        <f>VLOOKUP(B1660,'Cadastro Produtos'!A:E,2,2)</f>
        <v>Limonada Beta com Açúcar 1 L</v>
      </c>
      <c r="D1660">
        <v>9</v>
      </c>
      <c r="E1660" t="str">
        <f>VLOOKUP(D1660,'Cadatro Clientes'!A:O,2,2)</f>
        <v>Fresh Lemon</v>
      </c>
      <c r="F1660" t="str">
        <f>VLOOKUP(D1660,'Cadatro Clientes'!A:O,9,2)</f>
        <v>Sudeste</v>
      </c>
      <c r="G1660" s="15">
        <v>42254</v>
      </c>
      <c r="H1660">
        <f t="shared" si="126"/>
        <v>2</v>
      </c>
      <c r="I1660">
        <f t="shared" si="127"/>
        <v>7</v>
      </c>
      <c r="J1660">
        <f t="shared" si="128"/>
        <v>9</v>
      </c>
      <c r="K1660">
        <f t="shared" si="129"/>
        <v>2015</v>
      </c>
      <c r="M1660">
        <v>3</v>
      </c>
      <c r="N1660" t="str">
        <f>VLOOKUP(M1660,'Cadastro Vendedores'!A:H,2,2)</f>
        <v>Antônia</v>
      </c>
      <c r="O1660" s="2"/>
      <c r="P1660" s="16">
        <v>1500</v>
      </c>
      <c r="Q1660" s="2">
        <f>VLOOKUP(B1660,'Cadastro Produtos'!A:F,5,2)</f>
        <v>12</v>
      </c>
      <c r="R1660" s="14">
        <f t="shared" si="125"/>
        <v>18000</v>
      </c>
    </row>
    <row r="1661" spans="1:18" x14ac:dyDescent="0.25">
      <c r="A1661">
        <v>1660</v>
      </c>
      <c r="B1661">
        <v>6</v>
      </c>
      <c r="C1661" t="str">
        <f>VLOOKUP(B1661,'Cadastro Produtos'!A:E,2,2)</f>
        <v>Limonada Beta com Açúcar 1 L</v>
      </c>
      <c r="D1661">
        <v>9</v>
      </c>
      <c r="E1661" t="str">
        <f>VLOOKUP(D1661,'Cadatro Clientes'!A:O,2,2)</f>
        <v>Fresh Lemon</v>
      </c>
      <c r="F1661" t="str">
        <f>VLOOKUP(D1661,'Cadatro Clientes'!A:O,9,2)</f>
        <v>Sudeste</v>
      </c>
      <c r="G1661" s="15">
        <v>42254</v>
      </c>
      <c r="H1661">
        <f t="shared" si="126"/>
        <v>2</v>
      </c>
      <c r="I1661">
        <f t="shared" si="127"/>
        <v>7</v>
      </c>
      <c r="J1661">
        <f t="shared" si="128"/>
        <v>9</v>
      </c>
      <c r="K1661">
        <f t="shared" si="129"/>
        <v>2015</v>
      </c>
      <c r="M1661">
        <v>7</v>
      </c>
      <c r="N1661" t="str">
        <f>VLOOKUP(M1661,'Cadastro Vendedores'!A:H,2,2)</f>
        <v>Benedito</v>
      </c>
      <c r="O1661" s="2"/>
      <c r="P1661" s="16">
        <v>2300</v>
      </c>
      <c r="Q1661" s="2">
        <f>VLOOKUP(B1661,'Cadastro Produtos'!A:F,5,2)</f>
        <v>12</v>
      </c>
      <c r="R1661" s="14">
        <f t="shared" si="125"/>
        <v>27600</v>
      </c>
    </row>
    <row r="1662" spans="1:18" x14ac:dyDescent="0.25">
      <c r="A1662">
        <v>1661</v>
      </c>
      <c r="B1662">
        <v>5</v>
      </c>
      <c r="C1662" t="str">
        <f>VLOOKUP(B1662,'Cadastro Produtos'!A:E,2,2)</f>
        <v>Limonada Alfa com Açúcar 1 L</v>
      </c>
      <c r="D1662">
        <v>13</v>
      </c>
      <c r="E1662" t="str">
        <f>VLOOKUP(D1662,'Cadatro Clientes'!A:O,2,2)</f>
        <v>Monster Lemon</v>
      </c>
      <c r="F1662" t="str">
        <f>VLOOKUP(D1662,'Cadatro Clientes'!A:O,9,2)</f>
        <v>Nordeste</v>
      </c>
      <c r="G1662" s="15">
        <v>42254</v>
      </c>
      <c r="H1662">
        <f t="shared" si="126"/>
        <v>2</v>
      </c>
      <c r="I1662">
        <f t="shared" si="127"/>
        <v>7</v>
      </c>
      <c r="J1662">
        <f t="shared" si="128"/>
        <v>9</v>
      </c>
      <c r="K1662">
        <f t="shared" si="129"/>
        <v>2015</v>
      </c>
      <c r="M1662">
        <v>16</v>
      </c>
      <c r="N1662" t="str">
        <f>VLOOKUP(M1662,'Cadastro Vendedores'!A:H,2,2)</f>
        <v>Jose</v>
      </c>
      <c r="O1662" s="2"/>
      <c r="P1662" s="16">
        <v>1900</v>
      </c>
      <c r="Q1662" s="2">
        <f>VLOOKUP(B1662,'Cadastro Produtos'!A:F,5,2)</f>
        <v>15</v>
      </c>
      <c r="R1662" s="14">
        <f t="shared" si="125"/>
        <v>28500</v>
      </c>
    </row>
    <row r="1663" spans="1:18" x14ac:dyDescent="0.25">
      <c r="A1663">
        <v>1662</v>
      </c>
      <c r="B1663">
        <v>5</v>
      </c>
      <c r="C1663" t="str">
        <f>VLOOKUP(B1663,'Cadastro Produtos'!A:E,2,2)</f>
        <v>Limonada Alfa com Açúcar 1 L</v>
      </c>
      <c r="D1663">
        <v>15</v>
      </c>
      <c r="E1663" t="str">
        <f>VLOOKUP(D1663,'Cadatro Clientes'!A:O,2,2)</f>
        <v>Limão do Mané</v>
      </c>
      <c r="F1663" t="str">
        <f>VLOOKUP(D1663,'Cadatro Clientes'!A:O,9,2)</f>
        <v>Sul</v>
      </c>
      <c r="G1663" s="15">
        <v>42254</v>
      </c>
      <c r="H1663">
        <f t="shared" si="126"/>
        <v>2</v>
      </c>
      <c r="I1663">
        <f t="shared" si="127"/>
        <v>7</v>
      </c>
      <c r="J1663">
        <f t="shared" si="128"/>
        <v>9</v>
      </c>
      <c r="K1663">
        <f t="shared" si="129"/>
        <v>2015</v>
      </c>
      <c r="M1663">
        <v>12</v>
      </c>
      <c r="N1663" t="str">
        <f>VLOOKUP(M1663,'Cadastro Vendedores'!A:H,2,2)</f>
        <v>Paulo</v>
      </c>
      <c r="O1663" s="2"/>
      <c r="P1663" s="16">
        <v>3200</v>
      </c>
      <c r="Q1663" s="2">
        <f>VLOOKUP(B1663,'Cadastro Produtos'!A:F,5,2)</f>
        <v>15</v>
      </c>
      <c r="R1663" s="14">
        <f t="shared" si="125"/>
        <v>48000</v>
      </c>
    </row>
    <row r="1664" spans="1:18" x14ac:dyDescent="0.25">
      <c r="A1664">
        <v>1663</v>
      </c>
      <c r="B1664">
        <v>5</v>
      </c>
      <c r="C1664" t="str">
        <f>VLOOKUP(B1664,'Cadastro Produtos'!A:E,2,2)</f>
        <v>Limonada Alfa com Açúcar 1 L</v>
      </c>
      <c r="D1664">
        <v>12</v>
      </c>
      <c r="E1664" t="str">
        <f>VLOOKUP(D1664,'Cadatro Clientes'!A:O,2,2)</f>
        <v>Limão da Ilha</v>
      </c>
      <c r="F1664" t="str">
        <f>VLOOKUP(D1664,'Cadatro Clientes'!A:O,9,2)</f>
        <v>Sul</v>
      </c>
      <c r="G1664" s="15">
        <v>42254</v>
      </c>
      <c r="H1664">
        <f t="shared" si="126"/>
        <v>2</v>
      </c>
      <c r="I1664">
        <f t="shared" si="127"/>
        <v>7</v>
      </c>
      <c r="J1664">
        <f t="shared" si="128"/>
        <v>9</v>
      </c>
      <c r="K1664">
        <f t="shared" si="129"/>
        <v>2015</v>
      </c>
      <c r="M1664">
        <v>4</v>
      </c>
      <c r="N1664" t="str">
        <f>VLOOKUP(M1664,'Cadastro Vendedores'!A:H,2,2)</f>
        <v>José</v>
      </c>
      <c r="O1664" s="2"/>
      <c r="P1664" s="16">
        <v>1600</v>
      </c>
      <c r="Q1664" s="2">
        <f>VLOOKUP(B1664,'Cadastro Produtos'!A:F,5,2)</f>
        <v>15</v>
      </c>
      <c r="R1664" s="14">
        <f t="shared" si="125"/>
        <v>24000</v>
      </c>
    </row>
    <row r="1665" spans="1:18" x14ac:dyDescent="0.25">
      <c r="A1665">
        <v>1664</v>
      </c>
      <c r="B1665">
        <v>1</v>
      </c>
      <c r="C1665" t="str">
        <f>VLOOKUP(B1665,'Cadastro Produtos'!A:E,2,2)</f>
        <v>Limonada Alfa com Açúcar 500 ml</v>
      </c>
      <c r="D1665">
        <v>1</v>
      </c>
      <c r="E1665" t="str">
        <f>VLOOKUP(D1665,'Cadatro Clientes'!A:O,2,2)</f>
        <v>Meu Suco de Limão</v>
      </c>
      <c r="F1665" t="str">
        <f>VLOOKUP(D1665,'Cadatro Clientes'!A:O,9,2)</f>
        <v>Norte</v>
      </c>
      <c r="G1665" s="15">
        <v>42255</v>
      </c>
      <c r="H1665">
        <f t="shared" si="126"/>
        <v>3</v>
      </c>
      <c r="I1665">
        <f t="shared" si="127"/>
        <v>8</v>
      </c>
      <c r="J1665">
        <f t="shared" si="128"/>
        <v>9</v>
      </c>
      <c r="K1665">
        <f t="shared" si="129"/>
        <v>2015</v>
      </c>
      <c r="M1665">
        <v>13</v>
      </c>
      <c r="N1665" t="str">
        <f>VLOOKUP(M1665,'Cadastro Vendedores'!A:H,2,2)</f>
        <v>Andre</v>
      </c>
      <c r="O1665" s="2"/>
      <c r="P1665" s="16">
        <v>4300</v>
      </c>
      <c r="Q1665" s="2">
        <f>VLOOKUP(B1665,'Cadastro Produtos'!A:F,5,2)</f>
        <v>8.5</v>
      </c>
      <c r="R1665" s="14">
        <f t="shared" si="125"/>
        <v>36550</v>
      </c>
    </row>
    <row r="1666" spans="1:18" x14ac:dyDescent="0.25">
      <c r="A1666">
        <v>1665</v>
      </c>
      <c r="B1666">
        <v>7</v>
      </c>
      <c r="C1666" t="str">
        <f>VLOOKUP(B1666,'Cadastro Produtos'!A:E,2,2)</f>
        <v>Limonada Alfa Zero 1 L</v>
      </c>
      <c r="D1666">
        <v>19</v>
      </c>
      <c r="E1666" t="str">
        <f>VLOOKUP(D1666,'Cadatro Clientes'!A:O,2,2)</f>
        <v>Lima Limão</v>
      </c>
      <c r="F1666" t="str">
        <f>VLOOKUP(D1666,'Cadatro Clientes'!A:O,9,2)</f>
        <v>Sudeste</v>
      </c>
      <c r="G1666" s="15">
        <v>42255</v>
      </c>
      <c r="H1666">
        <f t="shared" si="126"/>
        <v>3</v>
      </c>
      <c r="I1666">
        <f t="shared" si="127"/>
        <v>8</v>
      </c>
      <c r="J1666">
        <f t="shared" si="128"/>
        <v>9</v>
      </c>
      <c r="K1666">
        <f t="shared" si="129"/>
        <v>2015</v>
      </c>
      <c r="M1666">
        <v>6</v>
      </c>
      <c r="N1666" t="str">
        <f>VLOOKUP(M1666,'Cadastro Vendedores'!A:H,2,2)</f>
        <v>Antônia</v>
      </c>
      <c r="O1666" s="2"/>
      <c r="P1666" s="16">
        <v>2200</v>
      </c>
      <c r="Q1666" s="2">
        <f>VLOOKUP(B1666,'Cadastro Produtos'!A:F,5,2)</f>
        <v>15</v>
      </c>
      <c r="R1666" s="14">
        <f t="shared" ref="R1666:R1729" si="130">Q1666*P1666</f>
        <v>33000</v>
      </c>
    </row>
    <row r="1667" spans="1:18" x14ac:dyDescent="0.25">
      <c r="A1667">
        <v>1666</v>
      </c>
      <c r="B1667">
        <v>10</v>
      </c>
      <c r="C1667" t="str">
        <f>VLOOKUP(B1667,'Cadastro Produtos'!A:E,2,2)</f>
        <v>Limonada Alfa com Hortelã Zero 1 L</v>
      </c>
      <c r="D1667">
        <v>16</v>
      </c>
      <c r="E1667" t="str">
        <f>VLOOKUP(D1667,'Cadatro Clientes'!A:O,2,2)</f>
        <v>Norte Suco</v>
      </c>
      <c r="F1667" t="str">
        <f>VLOOKUP(D1667,'Cadatro Clientes'!A:O,9,2)</f>
        <v>Nordeste</v>
      </c>
      <c r="G1667" s="15">
        <v>42255</v>
      </c>
      <c r="H1667">
        <f t="shared" ref="H1667:H1730" si="131">WEEKDAY(G1667)</f>
        <v>3</v>
      </c>
      <c r="I1667">
        <f t="shared" ref="I1667:I1730" si="132">DAY(G1667)</f>
        <v>8</v>
      </c>
      <c r="J1667">
        <f t="shared" ref="J1667:J1730" si="133">MONTH(G1667)</f>
        <v>9</v>
      </c>
      <c r="K1667">
        <f t="shared" ref="K1667:K1730" si="134">YEAR(G1667)</f>
        <v>2015</v>
      </c>
      <c r="M1667">
        <v>4</v>
      </c>
      <c r="N1667" t="str">
        <f>VLOOKUP(M1667,'Cadastro Vendedores'!A:H,2,2)</f>
        <v>José</v>
      </c>
      <c r="O1667" s="2"/>
      <c r="P1667" s="16">
        <v>800</v>
      </c>
      <c r="Q1667" s="2">
        <f>VLOOKUP(B1667,'Cadastro Produtos'!A:F,5,2)</f>
        <v>21</v>
      </c>
      <c r="R1667" s="14">
        <f t="shared" si="130"/>
        <v>16800</v>
      </c>
    </row>
    <row r="1668" spans="1:18" x14ac:dyDescent="0.25">
      <c r="A1668">
        <v>1667</v>
      </c>
      <c r="B1668">
        <v>8</v>
      </c>
      <c r="C1668" t="str">
        <f>VLOOKUP(B1668,'Cadastro Produtos'!A:E,2,2)</f>
        <v>Limonada Beta Zero 1 L</v>
      </c>
      <c r="D1668">
        <v>20</v>
      </c>
      <c r="E1668" t="str">
        <f>VLOOKUP(D1668,'Cadatro Clientes'!A:O,2,2)</f>
        <v>Brasil Saúde</v>
      </c>
      <c r="F1668" t="str">
        <f>VLOOKUP(D1668,'Cadatro Clientes'!A:O,9,2)</f>
        <v>Nordeste</v>
      </c>
      <c r="G1668" s="15">
        <v>42256</v>
      </c>
      <c r="H1668">
        <f t="shared" si="131"/>
        <v>4</v>
      </c>
      <c r="I1668">
        <f t="shared" si="132"/>
        <v>9</v>
      </c>
      <c r="J1668">
        <f t="shared" si="133"/>
        <v>9</v>
      </c>
      <c r="K1668">
        <f t="shared" si="134"/>
        <v>2015</v>
      </c>
      <c r="M1668">
        <v>3</v>
      </c>
      <c r="N1668" t="str">
        <f>VLOOKUP(M1668,'Cadastro Vendedores'!A:H,2,2)</f>
        <v>Antônia</v>
      </c>
      <c r="O1668" s="2"/>
      <c r="P1668" s="16">
        <v>1900</v>
      </c>
      <c r="Q1668" s="2">
        <f>VLOOKUP(B1668,'Cadastro Produtos'!A:F,5,2)</f>
        <v>12</v>
      </c>
      <c r="R1668" s="14">
        <f t="shared" si="130"/>
        <v>22800</v>
      </c>
    </row>
    <row r="1669" spans="1:18" x14ac:dyDescent="0.25">
      <c r="A1669">
        <v>1668</v>
      </c>
      <c r="B1669">
        <v>10</v>
      </c>
      <c r="C1669" t="str">
        <f>VLOOKUP(B1669,'Cadastro Produtos'!A:E,2,2)</f>
        <v>Limonada Alfa com Hortelã Zero 1 L</v>
      </c>
      <c r="D1669">
        <v>6</v>
      </c>
      <c r="E1669" t="str">
        <f>VLOOKUP(D1669,'Cadatro Clientes'!A:O,2,2)</f>
        <v>Lemonade</v>
      </c>
      <c r="F1669" t="str">
        <f>VLOOKUP(D1669,'Cadatro Clientes'!A:O,9,2)</f>
        <v>Norte</v>
      </c>
      <c r="G1669" s="15">
        <v>42256</v>
      </c>
      <c r="H1669">
        <f t="shared" si="131"/>
        <v>4</v>
      </c>
      <c r="I1669">
        <f t="shared" si="132"/>
        <v>9</v>
      </c>
      <c r="J1669">
        <f t="shared" si="133"/>
        <v>9</v>
      </c>
      <c r="K1669">
        <f t="shared" si="134"/>
        <v>2015</v>
      </c>
      <c r="M1669">
        <v>4</v>
      </c>
      <c r="N1669" t="str">
        <f>VLOOKUP(M1669,'Cadastro Vendedores'!A:H,2,2)</f>
        <v>José</v>
      </c>
      <c r="O1669" s="2"/>
      <c r="P1669" s="16">
        <v>1500</v>
      </c>
      <c r="Q1669" s="2">
        <f>VLOOKUP(B1669,'Cadastro Produtos'!A:F,5,2)</f>
        <v>21</v>
      </c>
      <c r="R1669" s="14">
        <f t="shared" si="130"/>
        <v>31500</v>
      </c>
    </row>
    <row r="1670" spans="1:18" x14ac:dyDescent="0.25">
      <c r="A1670">
        <v>1669</v>
      </c>
      <c r="B1670">
        <v>1</v>
      </c>
      <c r="C1670" t="str">
        <f>VLOOKUP(B1670,'Cadastro Produtos'!A:E,2,2)</f>
        <v>Limonada Alfa com Açúcar 500 ml</v>
      </c>
      <c r="D1670">
        <v>17</v>
      </c>
      <c r="E1670" t="str">
        <f>VLOOKUP(D1670,'Cadatro Clientes'!A:O,2,2)</f>
        <v>Aracasuco</v>
      </c>
      <c r="F1670" t="str">
        <f>VLOOKUP(D1670,'Cadatro Clientes'!A:O,9,2)</f>
        <v>Nordeste</v>
      </c>
      <c r="G1670" s="15">
        <v>42256</v>
      </c>
      <c r="H1670">
        <f t="shared" si="131"/>
        <v>4</v>
      </c>
      <c r="I1670">
        <f t="shared" si="132"/>
        <v>9</v>
      </c>
      <c r="J1670">
        <f t="shared" si="133"/>
        <v>9</v>
      </c>
      <c r="K1670">
        <f t="shared" si="134"/>
        <v>2015</v>
      </c>
      <c r="M1670">
        <v>15</v>
      </c>
      <c r="N1670" t="str">
        <f>VLOOKUP(M1670,'Cadastro Vendedores'!A:H,2,2)</f>
        <v>Luis</v>
      </c>
      <c r="O1670" s="2"/>
      <c r="P1670" s="16">
        <v>4700</v>
      </c>
      <c r="Q1670" s="2">
        <f>VLOOKUP(B1670,'Cadastro Produtos'!A:F,5,2)</f>
        <v>8.5</v>
      </c>
      <c r="R1670" s="14">
        <f t="shared" si="130"/>
        <v>39950</v>
      </c>
    </row>
    <row r="1671" spans="1:18" x14ac:dyDescent="0.25">
      <c r="A1671">
        <v>1670</v>
      </c>
      <c r="B1671">
        <v>6</v>
      </c>
      <c r="C1671" t="str">
        <f>VLOOKUP(B1671,'Cadastro Produtos'!A:E,2,2)</f>
        <v>Limonada Beta com Açúcar 1 L</v>
      </c>
      <c r="D1671">
        <v>9</v>
      </c>
      <c r="E1671" t="str">
        <f>VLOOKUP(D1671,'Cadatro Clientes'!A:O,2,2)</f>
        <v>Fresh Lemon</v>
      </c>
      <c r="F1671" t="str">
        <f>VLOOKUP(D1671,'Cadatro Clientes'!A:O,9,2)</f>
        <v>Sudeste</v>
      </c>
      <c r="G1671" s="15">
        <v>42256</v>
      </c>
      <c r="H1671">
        <f t="shared" si="131"/>
        <v>4</v>
      </c>
      <c r="I1671">
        <f t="shared" si="132"/>
        <v>9</v>
      </c>
      <c r="J1671">
        <f t="shared" si="133"/>
        <v>9</v>
      </c>
      <c r="K1671">
        <f t="shared" si="134"/>
        <v>2015</v>
      </c>
      <c r="M1671">
        <v>4</v>
      </c>
      <c r="N1671" t="str">
        <f>VLOOKUP(M1671,'Cadastro Vendedores'!A:H,2,2)</f>
        <v>José</v>
      </c>
      <c r="O1671" s="2"/>
      <c r="P1671" s="16">
        <v>4200</v>
      </c>
      <c r="Q1671" s="2">
        <f>VLOOKUP(B1671,'Cadastro Produtos'!A:F,5,2)</f>
        <v>12</v>
      </c>
      <c r="R1671" s="14">
        <f t="shared" si="130"/>
        <v>50400</v>
      </c>
    </row>
    <row r="1672" spans="1:18" x14ac:dyDescent="0.25">
      <c r="A1672">
        <v>1671</v>
      </c>
      <c r="B1672">
        <v>7</v>
      </c>
      <c r="C1672" t="str">
        <f>VLOOKUP(B1672,'Cadastro Produtos'!A:E,2,2)</f>
        <v>Limonada Alfa Zero 1 L</v>
      </c>
      <c r="D1672">
        <v>19</v>
      </c>
      <c r="E1672" t="str">
        <f>VLOOKUP(D1672,'Cadatro Clientes'!A:O,2,2)</f>
        <v>Lima Limão</v>
      </c>
      <c r="F1672" t="str">
        <f>VLOOKUP(D1672,'Cadatro Clientes'!A:O,9,2)</f>
        <v>Sudeste</v>
      </c>
      <c r="G1672" s="15">
        <v>42256</v>
      </c>
      <c r="H1672">
        <f t="shared" si="131"/>
        <v>4</v>
      </c>
      <c r="I1672">
        <f t="shared" si="132"/>
        <v>9</v>
      </c>
      <c r="J1672">
        <f t="shared" si="133"/>
        <v>9</v>
      </c>
      <c r="K1672">
        <f t="shared" si="134"/>
        <v>2015</v>
      </c>
      <c r="M1672">
        <v>8</v>
      </c>
      <c r="N1672" t="str">
        <f>VLOOKUP(M1672,'Cadastro Vendedores'!A:H,2,2)</f>
        <v>Sérgio</v>
      </c>
      <c r="O1672" s="2"/>
      <c r="P1672" s="16">
        <v>800</v>
      </c>
      <c r="Q1672" s="2">
        <f>VLOOKUP(B1672,'Cadastro Produtos'!A:F,5,2)</f>
        <v>15</v>
      </c>
      <c r="R1672" s="14">
        <f t="shared" si="130"/>
        <v>12000</v>
      </c>
    </row>
    <row r="1673" spans="1:18" x14ac:dyDescent="0.25">
      <c r="A1673">
        <v>1672</v>
      </c>
      <c r="B1673">
        <v>7</v>
      </c>
      <c r="C1673" t="str">
        <f>VLOOKUP(B1673,'Cadastro Produtos'!A:E,2,2)</f>
        <v>Limonada Alfa Zero 1 L</v>
      </c>
      <c r="D1673">
        <v>11</v>
      </c>
      <c r="E1673" t="str">
        <f>VLOOKUP(D1673,'Cadatro Clientes'!A:O,2,2)</f>
        <v>Red Lemon</v>
      </c>
      <c r="F1673" t="str">
        <f>VLOOKUP(D1673,'Cadatro Clientes'!A:O,9,2)</f>
        <v>Sul</v>
      </c>
      <c r="G1673" s="15">
        <v>42256</v>
      </c>
      <c r="H1673">
        <f t="shared" si="131"/>
        <v>4</v>
      </c>
      <c r="I1673">
        <f t="shared" si="132"/>
        <v>9</v>
      </c>
      <c r="J1673">
        <f t="shared" si="133"/>
        <v>9</v>
      </c>
      <c r="K1673">
        <f t="shared" si="134"/>
        <v>2015</v>
      </c>
      <c r="M1673">
        <v>4</v>
      </c>
      <c r="N1673" t="str">
        <f>VLOOKUP(M1673,'Cadastro Vendedores'!A:H,2,2)</f>
        <v>José</v>
      </c>
      <c r="O1673" s="2"/>
      <c r="P1673" s="16">
        <v>3400</v>
      </c>
      <c r="Q1673" s="2">
        <f>VLOOKUP(B1673,'Cadastro Produtos'!A:F,5,2)</f>
        <v>15</v>
      </c>
      <c r="R1673" s="14">
        <f t="shared" si="130"/>
        <v>51000</v>
      </c>
    </row>
    <row r="1674" spans="1:18" x14ac:dyDescent="0.25">
      <c r="A1674">
        <v>1673</v>
      </c>
      <c r="B1674">
        <v>9</v>
      </c>
      <c r="C1674" t="str">
        <f>VLOOKUP(B1674,'Cadastro Produtos'!A:E,2,2)</f>
        <v>Limonada Alfa com Hortelã e Açúcar 1 L</v>
      </c>
      <c r="D1674">
        <v>15</v>
      </c>
      <c r="E1674" t="str">
        <f>VLOOKUP(D1674,'Cadatro Clientes'!A:O,2,2)</f>
        <v>Limão do Mané</v>
      </c>
      <c r="F1674" t="str">
        <f>VLOOKUP(D1674,'Cadatro Clientes'!A:O,9,2)</f>
        <v>Sul</v>
      </c>
      <c r="G1674" s="15">
        <v>42256</v>
      </c>
      <c r="H1674">
        <f t="shared" si="131"/>
        <v>4</v>
      </c>
      <c r="I1674">
        <f t="shared" si="132"/>
        <v>9</v>
      </c>
      <c r="J1674">
        <f t="shared" si="133"/>
        <v>9</v>
      </c>
      <c r="K1674">
        <f t="shared" si="134"/>
        <v>2015</v>
      </c>
      <c r="M1674">
        <v>15</v>
      </c>
      <c r="N1674" t="str">
        <f>VLOOKUP(M1674,'Cadastro Vendedores'!A:H,2,2)</f>
        <v>Luis</v>
      </c>
      <c r="O1674" s="2"/>
      <c r="P1674" s="16">
        <v>1000</v>
      </c>
      <c r="Q1674" s="2">
        <f>VLOOKUP(B1674,'Cadastro Produtos'!A:F,5,2)</f>
        <v>17.5</v>
      </c>
      <c r="R1674" s="14">
        <f t="shared" si="130"/>
        <v>17500</v>
      </c>
    </row>
    <row r="1675" spans="1:18" x14ac:dyDescent="0.25">
      <c r="A1675">
        <v>1674</v>
      </c>
      <c r="B1675">
        <v>5</v>
      </c>
      <c r="C1675" t="str">
        <f>VLOOKUP(B1675,'Cadastro Produtos'!A:E,2,2)</f>
        <v>Limonada Alfa com Açúcar 1 L</v>
      </c>
      <c r="D1675">
        <v>4</v>
      </c>
      <c r="E1675" t="str">
        <f>VLOOKUP(D1675,'Cadatro Clientes'!A:O,2,2)</f>
        <v>Limão Carioca e Cia</v>
      </c>
      <c r="F1675" t="str">
        <f>VLOOKUP(D1675,'Cadatro Clientes'!A:O,9,2)</f>
        <v>Sudeste</v>
      </c>
      <c r="G1675" s="15">
        <v>42257</v>
      </c>
      <c r="H1675">
        <f t="shared" si="131"/>
        <v>5</v>
      </c>
      <c r="I1675">
        <f t="shared" si="132"/>
        <v>10</v>
      </c>
      <c r="J1675">
        <f t="shared" si="133"/>
        <v>9</v>
      </c>
      <c r="K1675">
        <f t="shared" si="134"/>
        <v>2015</v>
      </c>
      <c r="M1675">
        <v>2</v>
      </c>
      <c r="N1675" t="str">
        <f>VLOOKUP(M1675,'Cadastro Vendedores'!A:H,2,2)</f>
        <v>Luis</v>
      </c>
      <c r="O1675" s="2"/>
      <c r="P1675" s="16">
        <v>1000</v>
      </c>
      <c r="Q1675" s="2">
        <f>VLOOKUP(B1675,'Cadastro Produtos'!A:F,5,2)</f>
        <v>15</v>
      </c>
      <c r="R1675" s="14">
        <f t="shared" si="130"/>
        <v>15000</v>
      </c>
    </row>
    <row r="1676" spans="1:18" x14ac:dyDescent="0.25">
      <c r="A1676">
        <v>1675</v>
      </c>
      <c r="B1676">
        <v>6</v>
      </c>
      <c r="C1676" t="str">
        <f>VLOOKUP(B1676,'Cadastro Produtos'!A:E,2,2)</f>
        <v>Limonada Beta com Açúcar 1 L</v>
      </c>
      <c r="D1676">
        <v>18</v>
      </c>
      <c r="E1676" t="str">
        <f>VLOOKUP(D1676,'Cadatro Clientes'!A:O,2,2)</f>
        <v>Rio Branco Limonada Ltda</v>
      </c>
      <c r="F1676" t="str">
        <f>VLOOKUP(D1676,'Cadatro Clientes'!A:O,9,2)</f>
        <v>Norte</v>
      </c>
      <c r="G1676" s="15">
        <v>42257</v>
      </c>
      <c r="H1676">
        <f t="shared" si="131"/>
        <v>5</v>
      </c>
      <c r="I1676">
        <f t="shared" si="132"/>
        <v>10</v>
      </c>
      <c r="J1676">
        <f t="shared" si="133"/>
        <v>9</v>
      </c>
      <c r="K1676">
        <f t="shared" si="134"/>
        <v>2015</v>
      </c>
      <c r="M1676">
        <v>8</v>
      </c>
      <c r="N1676" t="str">
        <f>VLOOKUP(M1676,'Cadastro Vendedores'!A:H,2,2)</f>
        <v>Sérgio</v>
      </c>
      <c r="O1676" s="2"/>
      <c r="P1676" s="16">
        <v>2700</v>
      </c>
      <c r="Q1676" s="2">
        <f>VLOOKUP(B1676,'Cadastro Produtos'!A:F,5,2)</f>
        <v>12</v>
      </c>
      <c r="R1676" s="14">
        <f t="shared" si="130"/>
        <v>32400</v>
      </c>
    </row>
    <row r="1677" spans="1:18" x14ac:dyDescent="0.25">
      <c r="A1677">
        <v>1676</v>
      </c>
      <c r="B1677">
        <v>10</v>
      </c>
      <c r="C1677" t="str">
        <f>VLOOKUP(B1677,'Cadastro Produtos'!A:E,2,2)</f>
        <v>Limonada Alfa com Hortelã Zero 1 L</v>
      </c>
      <c r="D1677">
        <v>8</v>
      </c>
      <c r="E1677" t="str">
        <f>VLOOKUP(D1677,'Cadatro Clientes'!A:O,2,2)</f>
        <v>Refresko</v>
      </c>
      <c r="F1677" t="str">
        <f>VLOOKUP(D1677,'Cadatro Clientes'!A:O,9,2)</f>
        <v>Sul</v>
      </c>
      <c r="G1677" s="15">
        <v>42258</v>
      </c>
      <c r="H1677">
        <f t="shared" si="131"/>
        <v>6</v>
      </c>
      <c r="I1677">
        <f t="shared" si="132"/>
        <v>11</v>
      </c>
      <c r="J1677">
        <f t="shared" si="133"/>
        <v>9</v>
      </c>
      <c r="K1677">
        <f t="shared" si="134"/>
        <v>2015</v>
      </c>
      <c r="M1677">
        <v>12</v>
      </c>
      <c r="N1677" t="str">
        <f>VLOOKUP(M1677,'Cadastro Vendedores'!A:H,2,2)</f>
        <v>Paulo</v>
      </c>
      <c r="O1677" s="2"/>
      <c r="P1677" s="16">
        <v>1500</v>
      </c>
      <c r="Q1677" s="2">
        <f>VLOOKUP(B1677,'Cadastro Produtos'!A:F,5,2)</f>
        <v>21</v>
      </c>
      <c r="R1677" s="14">
        <f t="shared" si="130"/>
        <v>31500</v>
      </c>
    </row>
    <row r="1678" spans="1:18" x14ac:dyDescent="0.25">
      <c r="A1678">
        <v>1677</v>
      </c>
      <c r="B1678">
        <v>9</v>
      </c>
      <c r="C1678" t="str">
        <f>VLOOKUP(B1678,'Cadastro Produtos'!A:E,2,2)</f>
        <v>Limonada Alfa com Hortelã e Açúcar 1 L</v>
      </c>
      <c r="D1678">
        <v>15</v>
      </c>
      <c r="E1678" t="str">
        <f>VLOOKUP(D1678,'Cadatro Clientes'!A:O,2,2)</f>
        <v>Limão do Mané</v>
      </c>
      <c r="F1678" t="str">
        <f>VLOOKUP(D1678,'Cadatro Clientes'!A:O,9,2)</f>
        <v>Sul</v>
      </c>
      <c r="G1678" s="15">
        <v>42258</v>
      </c>
      <c r="H1678">
        <f t="shared" si="131"/>
        <v>6</v>
      </c>
      <c r="I1678">
        <f t="shared" si="132"/>
        <v>11</v>
      </c>
      <c r="J1678">
        <f t="shared" si="133"/>
        <v>9</v>
      </c>
      <c r="K1678">
        <f t="shared" si="134"/>
        <v>2015</v>
      </c>
      <c r="M1678">
        <v>12</v>
      </c>
      <c r="N1678" t="str">
        <f>VLOOKUP(M1678,'Cadastro Vendedores'!A:H,2,2)</f>
        <v>Paulo</v>
      </c>
      <c r="O1678" s="2"/>
      <c r="P1678" s="16">
        <v>1700</v>
      </c>
      <c r="Q1678" s="2">
        <f>VLOOKUP(B1678,'Cadastro Produtos'!A:F,5,2)</f>
        <v>17.5</v>
      </c>
      <c r="R1678" s="14">
        <f t="shared" si="130"/>
        <v>29750</v>
      </c>
    </row>
    <row r="1679" spans="1:18" x14ac:dyDescent="0.25">
      <c r="A1679">
        <v>1678</v>
      </c>
      <c r="B1679">
        <v>2</v>
      </c>
      <c r="C1679" t="str">
        <f>VLOOKUP(B1679,'Cadastro Produtos'!A:E,2,2)</f>
        <v>Limonada Beta com Açúcar 500 ml</v>
      </c>
      <c r="D1679">
        <v>8</v>
      </c>
      <c r="E1679" t="str">
        <f>VLOOKUP(D1679,'Cadatro Clientes'!A:O,2,2)</f>
        <v>Refresko</v>
      </c>
      <c r="F1679" t="str">
        <f>VLOOKUP(D1679,'Cadatro Clientes'!A:O,9,2)</f>
        <v>Sul</v>
      </c>
      <c r="G1679" s="15">
        <v>42259</v>
      </c>
      <c r="H1679">
        <f t="shared" si="131"/>
        <v>7</v>
      </c>
      <c r="I1679">
        <f t="shared" si="132"/>
        <v>12</v>
      </c>
      <c r="J1679">
        <f t="shared" si="133"/>
        <v>9</v>
      </c>
      <c r="K1679">
        <f t="shared" si="134"/>
        <v>2015</v>
      </c>
      <c r="M1679">
        <v>12</v>
      </c>
      <c r="N1679" t="str">
        <f>VLOOKUP(M1679,'Cadastro Vendedores'!A:H,2,2)</f>
        <v>Paulo</v>
      </c>
      <c r="O1679" s="2"/>
      <c r="P1679" s="16">
        <v>2800</v>
      </c>
      <c r="Q1679" s="2">
        <f>VLOOKUP(B1679,'Cadastro Produtos'!A:F,5,2)</f>
        <v>6.5</v>
      </c>
      <c r="R1679" s="14">
        <f t="shared" si="130"/>
        <v>18200</v>
      </c>
    </row>
    <row r="1680" spans="1:18" x14ac:dyDescent="0.25">
      <c r="A1680">
        <v>1679</v>
      </c>
      <c r="B1680">
        <v>1</v>
      </c>
      <c r="C1680" t="str">
        <f>VLOOKUP(B1680,'Cadastro Produtos'!A:E,2,2)</f>
        <v>Limonada Alfa com Açúcar 500 ml</v>
      </c>
      <c r="D1680">
        <v>13</v>
      </c>
      <c r="E1680" t="str">
        <f>VLOOKUP(D1680,'Cadatro Clientes'!A:O,2,2)</f>
        <v>Monster Lemon</v>
      </c>
      <c r="F1680" t="str">
        <f>VLOOKUP(D1680,'Cadatro Clientes'!A:O,9,2)</f>
        <v>Nordeste</v>
      </c>
      <c r="G1680" s="15">
        <v>42259</v>
      </c>
      <c r="H1680">
        <f t="shared" si="131"/>
        <v>7</v>
      </c>
      <c r="I1680">
        <f t="shared" si="132"/>
        <v>12</v>
      </c>
      <c r="J1680">
        <f t="shared" si="133"/>
        <v>9</v>
      </c>
      <c r="K1680">
        <f t="shared" si="134"/>
        <v>2015</v>
      </c>
      <c r="M1680">
        <v>4</v>
      </c>
      <c r="N1680" t="str">
        <f>VLOOKUP(M1680,'Cadastro Vendedores'!A:H,2,2)</f>
        <v>José</v>
      </c>
      <c r="O1680" s="2"/>
      <c r="P1680" s="16">
        <v>4400</v>
      </c>
      <c r="Q1680" s="2">
        <f>VLOOKUP(B1680,'Cadastro Produtos'!A:F,5,2)</f>
        <v>8.5</v>
      </c>
      <c r="R1680" s="14">
        <f t="shared" si="130"/>
        <v>37400</v>
      </c>
    </row>
    <row r="1681" spans="1:18" x14ac:dyDescent="0.25">
      <c r="A1681">
        <v>1680</v>
      </c>
      <c r="B1681">
        <v>4</v>
      </c>
      <c r="C1681" t="str">
        <f>VLOOKUP(B1681,'Cadastro Produtos'!A:E,2,2)</f>
        <v>Limonada Beta Zero 500 ml</v>
      </c>
      <c r="D1681">
        <v>11</v>
      </c>
      <c r="E1681" t="str">
        <f>VLOOKUP(D1681,'Cadatro Clientes'!A:O,2,2)</f>
        <v>Red Lemon</v>
      </c>
      <c r="F1681" t="str">
        <f>VLOOKUP(D1681,'Cadatro Clientes'!A:O,9,2)</f>
        <v>Sul</v>
      </c>
      <c r="G1681" s="15">
        <v>42259</v>
      </c>
      <c r="H1681">
        <f t="shared" si="131"/>
        <v>7</v>
      </c>
      <c r="I1681">
        <f t="shared" si="132"/>
        <v>12</v>
      </c>
      <c r="J1681">
        <f t="shared" si="133"/>
        <v>9</v>
      </c>
      <c r="K1681">
        <f t="shared" si="134"/>
        <v>2015</v>
      </c>
      <c r="M1681">
        <v>6</v>
      </c>
      <c r="N1681" t="str">
        <f>VLOOKUP(M1681,'Cadastro Vendedores'!A:H,2,2)</f>
        <v>Antônia</v>
      </c>
      <c r="O1681" s="2"/>
      <c r="P1681" s="16">
        <v>5600</v>
      </c>
      <c r="Q1681" s="2">
        <f>VLOOKUP(B1681,'Cadastro Produtos'!A:F,5,2)</f>
        <v>7</v>
      </c>
      <c r="R1681" s="14">
        <f t="shared" si="130"/>
        <v>39200</v>
      </c>
    </row>
    <row r="1682" spans="1:18" x14ac:dyDescent="0.25">
      <c r="A1682">
        <v>1681</v>
      </c>
      <c r="B1682">
        <v>10</v>
      </c>
      <c r="C1682" t="str">
        <f>VLOOKUP(B1682,'Cadastro Produtos'!A:E,2,2)</f>
        <v>Limonada Alfa com Hortelã Zero 1 L</v>
      </c>
      <c r="D1682">
        <v>8</v>
      </c>
      <c r="E1682" t="str">
        <f>VLOOKUP(D1682,'Cadatro Clientes'!A:O,2,2)</f>
        <v>Refresko</v>
      </c>
      <c r="F1682" t="str">
        <f>VLOOKUP(D1682,'Cadatro Clientes'!A:O,9,2)</f>
        <v>Sul</v>
      </c>
      <c r="G1682" s="15">
        <v>42260</v>
      </c>
      <c r="H1682">
        <f t="shared" si="131"/>
        <v>1</v>
      </c>
      <c r="I1682">
        <f t="shared" si="132"/>
        <v>13</v>
      </c>
      <c r="J1682">
        <f t="shared" si="133"/>
        <v>9</v>
      </c>
      <c r="K1682">
        <f t="shared" si="134"/>
        <v>2015</v>
      </c>
      <c r="M1682">
        <v>7</v>
      </c>
      <c r="N1682" t="str">
        <f>VLOOKUP(M1682,'Cadastro Vendedores'!A:H,2,2)</f>
        <v>Benedito</v>
      </c>
      <c r="O1682" s="2"/>
      <c r="P1682" s="16">
        <v>1700</v>
      </c>
      <c r="Q1682" s="2">
        <f>VLOOKUP(B1682,'Cadastro Produtos'!A:F,5,2)</f>
        <v>21</v>
      </c>
      <c r="R1682" s="14">
        <f t="shared" si="130"/>
        <v>35700</v>
      </c>
    </row>
    <row r="1683" spans="1:18" x14ac:dyDescent="0.25">
      <c r="A1683">
        <v>1682</v>
      </c>
      <c r="B1683">
        <v>2</v>
      </c>
      <c r="C1683" t="str">
        <f>VLOOKUP(B1683,'Cadastro Produtos'!A:E,2,2)</f>
        <v>Limonada Beta com Açúcar 500 ml</v>
      </c>
      <c r="D1683">
        <v>6</v>
      </c>
      <c r="E1683" t="str">
        <f>VLOOKUP(D1683,'Cadatro Clientes'!A:O,2,2)</f>
        <v>Lemonade</v>
      </c>
      <c r="F1683" t="str">
        <f>VLOOKUP(D1683,'Cadatro Clientes'!A:O,9,2)</f>
        <v>Norte</v>
      </c>
      <c r="G1683" s="15">
        <v>42260</v>
      </c>
      <c r="H1683">
        <f t="shared" si="131"/>
        <v>1</v>
      </c>
      <c r="I1683">
        <f t="shared" si="132"/>
        <v>13</v>
      </c>
      <c r="J1683">
        <f t="shared" si="133"/>
        <v>9</v>
      </c>
      <c r="K1683">
        <f t="shared" si="134"/>
        <v>2015</v>
      </c>
      <c r="M1683">
        <v>15</v>
      </c>
      <c r="N1683" t="str">
        <f>VLOOKUP(M1683,'Cadastro Vendedores'!A:H,2,2)</f>
        <v>Luis</v>
      </c>
      <c r="O1683" s="2"/>
      <c r="P1683" s="16">
        <v>2500</v>
      </c>
      <c r="Q1683" s="2">
        <f>VLOOKUP(B1683,'Cadastro Produtos'!A:F,5,2)</f>
        <v>6.5</v>
      </c>
      <c r="R1683" s="14">
        <f t="shared" si="130"/>
        <v>16250</v>
      </c>
    </row>
    <row r="1684" spans="1:18" x14ac:dyDescent="0.25">
      <c r="A1684">
        <v>1683</v>
      </c>
      <c r="B1684">
        <v>8</v>
      </c>
      <c r="C1684" t="str">
        <f>VLOOKUP(B1684,'Cadastro Produtos'!A:E,2,2)</f>
        <v>Limonada Beta Zero 1 L</v>
      </c>
      <c r="D1684">
        <v>9</v>
      </c>
      <c r="E1684" t="str">
        <f>VLOOKUP(D1684,'Cadatro Clientes'!A:O,2,2)</f>
        <v>Fresh Lemon</v>
      </c>
      <c r="F1684" t="str">
        <f>VLOOKUP(D1684,'Cadatro Clientes'!A:O,9,2)</f>
        <v>Sudeste</v>
      </c>
      <c r="G1684" s="15">
        <v>42260</v>
      </c>
      <c r="H1684">
        <f t="shared" si="131"/>
        <v>1</v>
      </c>
      <c r="I1684">
        <f t="shared" si="132"/>
        <v>13</v>
      </c>
      <c r="J1684">
        <f t="shared" si="133"/>
        <v>9</v>
      </c>
      <c r="K1684">
        <f t="shared" si="134"/>
        <v>2015</v>
      </c>
      <c r="M1684">
        <v>4</v>
      </c>
      <c r="N1684" t="str">
        <f>VLOOKUP(M1684,'Cadastro Vendedores'!A:H,2,2)</f>
        <v>José</v>
      </c>
      <c r="O1684" s="2"/>
      <c r="P1684" s="16">
        <v>1800</v>
      </c>
      <c r="Q1684" s="2">
        <f>VLOOKUP(B1684,'Cadastro Produtos'!A:F,5,2)</f>
        <v>12</v>
      </c>
      <c r="R1684" s="14">
        <f t="shared" si="130"/>
        <v>21600</v>
      </c>
    </row>
    <row r="1685" spans="1:18" x14ac:dyDescent="0.25">
      <c r="A1685">
        <v>1684</v>
      </c>
      <c r="B1685">
        <v>10</v>
      </c>
      <c r="C1685" t="str">
        <f>VLOOKUP(B1685,'Cadastro Produtos'!A:E,2,2)</f>
        <v>Limonada Alfa com Hortelã Zero 1 L</v>
      </c>
      <c r="D1685">
        <v>4</v>
      </c>
      <c r="E1685" t="str">
        <f>VLOOKUP(D1685,'Cadatro Clientes'!A:O,2,2)</f>
        <v>Limão Carioca e Cia</v>
      </c>
      <c r="F1685" t="str">
        <f>VLOOKUP(D1685,'Cadatro Clientes'!A:O,9,2)</f>
        <v>Sudeste</v>
      </c>
      <c r="G1685" s="15">
        <v>42260</v>
      </c>
      <c r="H1685">
        <f t="shared" si="131"/>
        <v>1</v>
      </c>
      <c r="I1685">
        <f t="shared" si="132"/>
        <v>13</v>
      </c>
      <c r="J1685">
        <f t="shared" si="133"/>
        <v>9</v>
      </c>
      <c r="K1685">
        <f t="shared" si="134"/>
        <v>2015</v>
      </c>
      <c r="M1685">
        <v>3</v>
      </c>
      <c r="N1685" t="str">
        <f>VLOOKUP(M1685,'Cadastro Vendedores'!A:H,2,2)</f>
        <v>Antônia</v>
      </c>
      <c r="O1685" s="2"/>
      <c r="P1685" s="16">
        <v>1000</v>
      </c>
      <c r="Q1685" s="2">
        <f>VLOOKUP(B1685,'Cadastro Produtos'!A:F,5,2)</f>
        <v>21</v>
      </c>
      <c r="R1685" s="14">
        <f t="shared" si="130"/>
        <v>21000</v>
      </c>
    </row>
    <row r="1686" spans="1:18" x14ac:dyDescent="0.25">
      <c r="A1686">
        <v>1685</v>
      </c>
      <c r="B1686">
        <v>5</v>
      </c>
      <c r="C1686" t="str">
        <f>VLOOKUP(B1686,'Cadastro Produtos'!A:E,2,2)</f>
        <v>Limonada Alfa com Açúcar 1 L</v>
      </c>
      <c r="D1686">
        <v>20</v>
      </c>
      <c r="E1686" t="str">
        <f>VLOOKUP(D1686,'Cadatro Clientes'!A:O,2,2)</f>
        <v>Brasil Saúde</v>
      </c>
      <c r="F1686" t="str">
        <f>VLOOKUP(D1686,'Cadatro Clientes'!A:O,9,2)</f>
        <v>Nordeste</v>
      </c>
      <c r="G1686" s="15">
        <v>42260</v>
      </c>
      <c r="H1686">
        <f t="shared" si="131"/>
        <v>1</v>
      </c>
      <c r="I1686">
        <f t="shared" si="132"/>
        <v>13</v>
      </c>
      <c r="J1686">
        <f t="shared" si="133"/>
        <v>9</v>
      </c>
      <c r="K1686">
        <f t="shared" si="134"/>
        <v>2015</v>
      </c>
      <c r="M1686">
        <v>3</v>
      </c>
      <c r="N1686" t="str">
        <f>VLOOKUP(M1686,'Cadastro Vendedores'!A:H,2,2)</f>
        <v>Antônia</v>
      </c>
      <c r="O1686" s="2"/>
      <c r="P1686" s="16">
        <v>3600</v>
      </c>
      <c r="Q1686" s="2">
        <f>VLOOKUP(B1686,'Cadastro Produtos'!A:F,5,2)</f>
        <v>15</v>
      </c>
      <c r="R1686" s="14">
        <f t="shared" si="130"/>
        <v>54000</v>
      </c>
    </row>
    <row r="1687" spans="1:18" x14ac:dyDescent="0.25">
      <c r="A1687">
        <v>1686</v>
      </c>
      <c r="B1687">
        <v>3</v>
      </c>
      <c r="C1687" t="str">
        <f>VLOOKUP(B1687,'Cadastro Produtos'!A:E,2,2)</f>
        <v>Limonada Alfa Zero 500 ml</v>
      </c>
      <c r="D1687">
        <v>7</v>
      </c>
      <c r="E1687" t="str">
        <f>VLOOKUP(D1687,'Cadatro Clientes'!A:O,2,2)</f>
        <v>Limo</v>
      </c>
      <c r="F1687" t="str">
        <f>VLOOKUP(D1687,'Cadatro Clientes'!A:O,9,2)</f>
        <v>Centro-Oeste</v>
      </c>
      <c r="G1687" s="15">
        <v>42260</v>
      </c>
      <c r="H1687">
        <f t="shared" si="131"/>
        <v>1</v>
      </c>
      <c r="I1687">
        <f t="shared" si="132"/>
        <v>13</v>
      </c>
      <c r="J1687">
        <f t="shared" si="133"/>
        <v>9</v>
      </c>
      <c r="K1687">
        <f t="shared" si="134"/>
        <v>2015</v>
      </c>
      <c r="M1687">
        <v>9</v>
      </c>
      <c r="N1687" t="str">
        <f>VLOOKUP(M1687,'Cadastro Vendedores'!A:H,2,2)</f>
        <v>Adriana</v>
      </c>
      <c r="O1687" s="2"/>
      <c r="P1687" s="16">
        <v>1400</v>
      </c>
      <c r="Q1687" s="2">
        <f>VLOOKUP(B1687,'Cadastro Produtos'!A:F,5,2)</f>
        <v>9</v>
      </c>
      <c r="R1687" s="14">
        <f t="shared" si="130"/>
        <v>12600</v>
      </c>
    </row>
    <row r="1688" spans="1:18" x14ac:dyDescent="0.25">
      <c r="A1688">
        <v>1687</v>
      </c>
      <c r="B1688">
        <v>9</v>
      </c>
      <c r="C1688" t="str">
        <f>VLOOKUP(B1688,'Cadastro Produtos'!A:E,2,2)</f>
        <v>Limonada Alfa com Hortelã e Açúcar 1 L</v>
      </c>
      <c r="D1688">
        <v>12</v>
      </c>
      <c r="E1688" t="str">
        <f>VLOOKUP(D1688,'Cadatro Clientes'!A:O,2,2)</f>
        <v>Limão da Ilha</v>
      </c>
      <c r="F1688" t="str">
        <f>VLOOKUP(D1688,'Cadatro Clientes'!A:O,9,2)</f>
        <v>Sul</v>
      </c>
      <c r="G1688" s="15">
        <v>42260</v>
      </c>
      <c r="H1688">
        <f t="shared" si="131"/>
        <v>1</v>
      </c>
      <c r="I1688">
        <f t="shared" si="132"/>
        <v>13</v>
      </c>
      <c r="J1688">
        <f t="shared" si="133"/>
        <v>9</v>
      </c>
      <c r="K1688">
        <f t="shared" si="134"/>
        <v>2015</v>
      </c>
      <c r="M1688">
        <v>15</v>
      </c>
      <c r="N1688" t="str">
        <f>VLOOKUP(M1688,'Cadastro Vendedores'!A:H,2,2)</f>
        <v>Luis</v>
      </c>
      <c r="O1688" s="2"/>
      <c r="P1688" s="16">
        <v>800</v>
      </c>
      <c r="Q1688" s="2">
        <f>VLOOKUP(B1688,'Cadastro Produtos'!A:F,5,2)</f>
        <v>17.5</v>
      </c>
      <c r="R1688" s="14">
        <f t="shared" si="130"/>
        <v>14000</v>
      </c>
    </row>
    <row r="1689" spans="1:18" x14ac:dyDescent="0.25">
      <c r="A1689">
        <v>1688</v>
      </c>
      <c r="B1689">
        <v>4</v>
      </c>
      <c r="C1689" t="str">
        <f>VLOOKUP(B1689,'Cadastro Produtos'!A:E,2,2)</f>
        <v>Limonada Beta Zero 500 ml</v>
      </c>
      <c r="D1689">
        <v>14</v>
      </c>
      <c r="E1689" t="str">
        <f>VLOOKUP(D1689,'Cadatro Clientes'!A:O,2,2)</f>
        <v>Sprite</v>
      </c>
      <c r="F1689" t="str">
        <f>VLOOKUP(D1689,'Cadatro Clientes'!A:O,9,2)</f>
        <v>Norte</v>
      </c>
      <c r="G1689" s="15">
        <v>42261</v>
      </c>
      <c r="H1689">
        <f t="shared" si="131"/>
        <v>2</v>
      </c>
      <c r="I1689">
        <f t="shared" si="132"/>
        <v>14</v>
      </c>
      <c r="J1689">
        <f t="shared" si="133"/>
        <v>9</v>
      </c>
      <c r="K1689">
        <f t="shared" si="134"/>
        <v>2015</v>
      </c>
      <c r="M1689">
        <v>8</v>
      </c>
      <c r="N1689" t="str">
        <f>VLOOKUP(M1689,'Cadastro Vendedores'!A:H,2,2)</f>
        <v>Sérgio</v>
      </c>
      <c r="O1689" s="2"/>
      <c r="P1689" s="16">
        <v>3400</v>
      </c>
      <c r="Q1689" s="2">
        <f>VLOOKUP(B1689,'Cadastro Produtos'!A:F,5,2)</f>
        <v>7</v>
      </c>
      <c r="R1689" s="14">
        <f t="shared" si="130"/>
        <v>23800</v>
      </c>
    </row>
    <row r="1690" spans="1:18" x14ac:dyDescent="0.25">
      <c r="A1690">
        <v>1689</v>
      </c>
      <c r="B1690">
        <v>8</v>
      </c>
      <c r="C1690" t="str">
        <f>VLOOKUP(B1690,'Cadastro Produtos'!A:E,2,2)</f>
        <v>Limonada Beta Zero 1 L</v>
      </c>
      <c r="D1690">
        <v>4</v>
      </c>
      <c r="E1690" t="str">
        <f>VLOOKUP(D1690,'Cadatro Clientes'!A:O,2,2)</f>
        <v>Limão Carioca e Cia</v>
      </c>
      <c r="F1690" t="str">
        <f>VLOOKUP(D1690,'Cadatro Clientes'!A:O,9,2)</f>
        <v>Sudeste</v>
      </c>
      <c r="G1690" s="15">
        <v>42262</v>
      </c>
      <c r="H1690">
        <f t="shared" si="131"/>
        <v>3</v>
      </c>
      <c r="I1690">
        <f t="shared" si="132"/>
        <v>15</v>
      </c>
      <c r="J1690">
        <f t="shared" si="133"/>
        <v>9</v>
      </c>
      <c r="K1690">
        <f t="shared" si="134"/>
        <v>2015</v>
      </c>
      <c r="M1690">
        <v>6</v>
      </c>
      <c r="N1690" t="str">
        <f>VLOOKUP(M1690,'Cadastro Vendedores'!A:H,2,2)</f>
        <v>Antônia</v>
      </c>
      <c r="O1690" s="2"/>
      <c r="P1690" s="16">
        <v>2900</v>
      </c>
      <c r="Q1690" s="2">
        <f>VLOOKUP(B1690,'Cadastro Produtos'!A:F,5,2)</f>
        <v>12</v>
      </c>
      <c r="R1690" s="14">
        <f t="shared" si="130"/>
        <v>34800</v>
      </c>
    </row>
    <row r="1691" spans="1:18" x14ac:dyDescent="0.25">
      <c r="A1691">
        <v>1690</v>
      </c>
      <c r="B1691">
        <v>3</v>
      </c>
      <c r="C1691" t="str">
        <f>VLOOKUP(B1691,'Cadastro Produtos'!A:E,2,2)</f>
        <v>Limonada Alfa Zero 500 ml</v>
      </c>
      <c r="D1691">
        <v>14</v>
      </c>
      <c r="E1691" t="str">
        <f>VLOOKUP(D1691,'Cadatro Clientes'!A:O,2,2)</f>
        <v>Sprite</v>
      </c>
      <c r="F1691" t="str">
        <f>VLOOKUP(D1691,'Cadatro Clientes'!A:O,9,2)</f>
        <v>Norte</v>
      </c>
      <c r="G1691" s="15">
        <v>42262</v>
      </c>
      <c r="H1691">
        <f t="shared" si="131"/>
        <v>3</v>
      </c>
      <c r="I1691">
        <f t="shared" si="132"/>
        <v>15</v>
      </c>
      <c r="J1691">
        <f t="shared" si="133"/>
        <v>9</v>
      </c>
      <c r="K1691">
        <f t="shared" si="134"/>
        <v>2015</v>
      </c>
      <c r="M1691">
        <v>8</v>
      </c>
      <c r="N1691" t="str">
        <f>VLOOKUP(M1691,'Cadastro Vendedores'!A:H,2,2)</f>
        <v>Sérgio</v>
      </c>
      <c r="O1691" s="2"/>
      <c r="P1691" s="16">
        <v>1600</v>
      </c>
      <c r="Q1691" s="2">
        <f>VLOOKUP(B1691,'Cadastro Produtos'!A:F,5,2)</f>
        <v>9</v>
      </c>
      <c r="R1691" s="14">
        <f t="shared" si="130"/>
        <v>14400</v>
      </c>
    </row>
    <row r="1692" spans="1:18" x14ac:dyDescent="0.25">
      <c r="A1692">
        <v>1691</v>
      </c>
      <c r="B1692">
        <v>4</v>
      </c>
      <c r="C1692" t="str">
        <f>VLOOKUP(B1692,'Cadastro Produtos'!A:E,2,2)</f>
        <v>Limonada Beta Zero 500 ml</v>
      </c>
      <c r="D1692">
        <v>14</v>
      </c>
      <c r="E1692" t="str">
        <f>VLOOKUP(D1692,'Cadatro Clientes'!A:O,2,2)</f>
        <v>Sprite</v>
      </c>
      <c r="F1692" t="str">
        <f>VLOOKUP(D1692,'Cadatro Clientes'!A:O,9,2)</f>
        <v>Norte</v>
      </c>
      <c r="G1692" s="15">
        <v>42263</v>
      </c>
      <c r="H1692">
        <f t="shared" si="131"/>
        <v>4</v>
      </c>
      <c r="I1692">
        <f t="shared" si="132"/>
        <v>16</v>
      </c>
      <c r="J1692">
        <f t="shared" si="133"/>
        <v>9</v>
      </c>
      <c r="K1692">
        <f t="shared" si="134"/>
        <v>2015</v>
      </c>
      <c r="M1692">
        <v>3</v>
      </c>
      <c r="N1692" t="str">
        <f>VLOOKUP(M1692,'Cadastro Vendedores'!A:H,2,2)</f>
        <v>Antônia</v>
      </c>
      <c r="O1692" s="2"/>
      <c r="P1692" s="16">
        <v>2400</v>
      </c>
      <c r="Q1692" s="2">
        <f>VLOOKUP(B1692,'Cadastro Produtos'!A:F,5,2)</f>
        <v>7</v>
      </c>
      <c r="R1692" s="14">
        <f t="shared" si="130"/>
        <v>16800</v>
      </c>
    </row>
    <row r="1693" spans="1:18" x14ac:dyDescent="0.25">
      <c r="A1693">
        <v>1692</v>
      </c>
      <c r="B1693">
        <v>8</v>
      </c>
      <c r="C1693" t="str">
        <f>VLOOKUP(B1693,'Cadastro Produtos'!A:E,2,2)</f>
        <v>Limonada Beta Zero 1 L</v>
      </c>
      <c r="D1693">
        <v>2</v>
      </c>
      <c r="E1693" t="str">
        <f>VLOOKUP(D1693,'Cadatro Clientes'!A:O,2,2)</f>
        <v>Limão S/A</v>
      </c>
      <c r="F1693" t="str">
        <f>VLOOKUP(D1693,'Cadatro Clientes'!A:O,9,2)</f>
        <v>Centro-Oeste</v>
      </c>
      <c r="G1693" s="15">
        <v>42263</v>
      </c>
      <c r="H1693">
        <f t="shared" si="131"/>
        <v>4</v>
      </c>
      <c r="I1693">
        <f t="shared" si="132"/>
        <v>16</v>
      </c>
      <c r="J1693">
        <f t="shared" si="133"/>
        <v>9</v>
      </c>
      <c r="K1693">
        <f t="shared" si="134"/>
        <v>2015</v>
      </c>
      <c r="M1693">
        <v>9</v>
      </c>
      <c r="N1693" t="str">
        <f>VLOOKUP(M1693,'Cadastro Vendedores'!A:H,2,2)</f>
        <v>Adriana</v>
      </c>
      <c r="O1693" s="2"/>
      <c r="P1693" s="16">
        <v>1000</v>
      </c>
      <c r="Q1693" s="2">
        <f>VLOOKUP(B1693,'Cadastro Produtos'!A:F,5,2)</f>
        <v>12</v>
      </c>
      <c r="R1693" s="14">
        <f t="shared" si="130"/>
        <v>12000</v>
      </c>
    </row>
    <row r="1694" spans="1:18" x14ac:dyDescent="0.25">
      <c r="A1694">
        <v>1693</v>
      </c>
      <c r="B1694">
        <v>9</v>
      </c>
      <c r="C1694" t="str">
        <f>VLOOKUP(B1694,'Cadastro Produtos'!A:E,2,2)</f>
        <v>Limonada Alfa com Hortelã e Açúcar 1 L</v>
      </c>
      <c r="D1694">
        <v>9</v>
      </c>
      <c r="E1694" t="str">
        <f>VLOOKUP(D1694,'Cadatro Clientes'!A:O,2,2)</f>
        <v>Fresh Lemon</v>
      </c>
      <c r="F1694" t="str">
        <f>VLOOKUP(D1694,'Cadatro Clientes'!A:O,9,2)</f>
        <v>Sudeste</v>
      </c>
      <c r="G1694" s="15">
        <v>42263</v>
      </c>
      <c r="H1694">
        <f t="shared" si="131"/>
        <v>4</v>
      </c>
      <c r="I1694">
        <f t="shared" si="132"/>
        <v>16</v>
      </c>
      <c r="J1694">
        <f t="shared" si="133"/>
        <v>9</v>
      </c>
      <c r="K1694">
        <f t="shared" si="134"/>
        <v>2015</v>
      </c>
      <c r="M1694">
        <v>12</v>
      </c>
      <c r="N1694" t="str">
        <f>VLOOKUP(M1694,'Cadastro Vendedores'!A:H,2,2)</f>
        <v>Paulo</v>
      </c>
      <c r="O1694" s="2"/>
      <c r="P1694" s="16">
        <v>2800</v>
      </c>
      <c r="Q1694" s="2">
        <f>VLOOKUP(B1694,'Cadastro Produtos'!A:F,5,2)</f>
        <v>17.5</v>
      </c>
      <c r="R1694" s="14">
        <f t="shared" si="130"/>
        <v>49000</v>
      </c>
    </row>
    <row r="1695" spans="1:18" x14ac:dyDescent="0.25">
      <c r="A1695">
        <v>1694</v>
      </c>
      <c r="B1695">
        <v>7</v>
      </c>
      <c r="C1695" t="str">
        <f>VLOOKUP(B1695,'Cadastro Produtos'!A:E,2,2)</f>
        <v>Limonada Alfa Zero 1 L</v>
      </c>
      <c r="D1695">
        <v>16</v>
      </c>
      <c r="E1695" t="str">
        <f>VLOOKUP(D1695,'Cadatro Clientes'!A:O,2,2)</f>
        <v>Norte Suco</v>
      </c>
      <c r="F1695" t="str">
        <f>VLOOKUP(D1695,'Cadatro Clientes'!A:O,9,2)</f>
        <v>Nordeste</v>
      </c>
      <c r="G1695" s="15">
        <v>42263</v>
      </c>
      <c r="H1695">
        <f t="shared" si="131"/>
        <v>4</v>
      </c>
      <c r="I1695">
        <f t="shared" si="132"/>
        <v>16</v>
      </c>
      <c r="J1695">
        <f t="shared" si="133"/>
        <v>9</v>
      </c>
      <c r="K1695">
        <f t="shared" si="134"/>
        <v>2015</v>
      </c>
      <c r="M1695">
        <v>2</v>
      </c>
      <c r="N1695" t="str">
        <f>VLOOKUP(M1695,'Cadastro Vendedores'!A:H,2,2)</f>
        <v>Luis</v>
      </c>
      <c r="O1695" s="2"/>
      <c r="P1695" s="16">
        <v>800</v>
      </c>
      <c r="Q1695" s="2">
        <f>VLOOKUP(B1695,'Cadastro Produtos'!A:F,5,2)</f>
        <v>15</v>
      </c>
      <c r="R1695" s="14">
        <f t="shared" si="130"/>
        <v>12000</v>
      </c>
    </row>
    <row r="1696" spans="1:18" x14ac:dyDescent="0.25">
      <c r="A1696">
        <v>1695</v>
      </c>
      <c r="B1696">
        <v>7</v>
      </c>
      <c r="C1696" t="str">
        <f>VLOOKUP(B1696,'Cadastro Produtos'!A:E,2,2)</f>
        <v>Limonada Alfa Zero 1 L</v>
      </c>
      <c r="D1696">
        <v>9</v>
      </c>
      <c r="E1696" t="str">
        <f>VLOOKUP(D1696,'Cadatro Clientes'!A:O,2,2)</f>
        <v>Fresh Lemon</v>
      </c>
      <c r="F1696" t="str">
        <f>VLOOKUP(D1696,'Cadatro Clientes'!A:O,9,2)</f>
        <v>Sudeste</v>
      </c>
      <c r="G1696" s="15">
        <v>42263</v>
      </c>
      <c r="H1696">
        <f t="shared" si="131"/>
        <v>4</v>
      </c>
      <c r="I1696">
        <f t="shared" si="132"/>
        <v>16</v>
      </c>
      <c r="J1696">
        <f t="shared" si="133"/>
        <v>9</v>
      </c>
      <c r="K1696">
        <f t="shared" si="134"/>
        <v>2015</v>
      </c>
      <c r="M1696">
        <v>8</v>
      </c>
      <c r="N1696" t="str">
        <f>VLOOKUP(M1696,'Cadastro Vendedores'!A:H,2,2)</f>
        <v>Sérgio</v>
      </c>
      <c r="O1696" s="2"/>
      <c r="P1696" s="16">
        <v>1300</v>
      </c>
      <c r="Q1696" s="2">
        <f>VLOOKUP(B1696,'Cadastro Produtos'!A:F,5,2)</f>
        <v>15</v>
      </c>
      <c r="R1696" s="14">
        <f t="shared" si="130"/>
        <v>19500</v>
      </c>
    </row>
    <row r="1697" spans="1:18" x14ac:dyDescent="0.25">
      <c r="A1697">
        <v>1696</v>
      </c>
      <c r="B1697">
        <v>10</v>
      </c>
      <c r="C1697" t="str">
        <f>VLOOKUP(B1697,'Cadastro Produtos'!A:E,2,2)</f>
        <v>Limonada Alfa com Hortelã Zero 1 L</v>
      </c>
      <c r="D1697">
        <v>16</v>
      </c>
      <c r="E1697" t="str">
        <f>VLOOKUP(D1697,'Cadatro Clientes'!A:O,2,2)</f>
        <v>Norte Suco</v>
      </c>
      <c r="F1697" t="str">
        <f>VLOOKUP(D1697,'Cadatro Clientes'!A:O,9,2)</f>
        <v>Nordeste</v>
      </c>
      <c r="G1697" s="15">
        <v>42263</v>
      </c>
      <c r="H1697">
        <f t="shared" si="131"/>
        <v>4</v>
      </c>
      <c r="I1697">
        <f t="shared" si="132"/>
        <v>16</v>
      </c>
      <c r="J1697">
        <f t="shared" si="133"/>
        <v>9</v>
      </c>
      <c r="K1697">
        <f t="shared" si="134"/>
        <v>2015</v>
      </c>
      <c r="M1697">
        <v>15</v>
      </c>
      <c r="N1697" t="str">
        <f>VLOOKUP(M1697,'Cadastro Vendedores'!A:H,2,2)</f>
        <v>Luis</v>
      </c>
      <c r="O1697" s="2"/>
      <c r="P1697" s="16">
        <v>600</v>
      </c>
      <c r="Q1697" s="2">
        <f>VLOOKUP(B1697,'Cadastro Produtos'!A:F,5,2)</f>
        <v>21</v>
      </c>
      <c r="R1697" s="14">
        <f t="shared" si="130"/>
        <v>12600</v>
      </c>
    </row>
    <row r="1698" spans="1:18" x14ac:dyDescent="0.25">
      <c r="A1698">
        <v>1697</v>
      </c>
      <c r="B1698">
        <v>9</v>
      </c>
      <c r="C1698" t="str">
        <f>VLOOKUP(B1698,'Cadastro Produtos'!A:E,2,2)</f>
        <v>Limonada Alfa com Hortelã e Açúcar 1 L</v>
      </c>
      <c r="D1698">
        <v>5</v>
      </c>
      <c r="E1698" t="str">
        <f>VLOOKUP(D1698,'Cadatro Clientes'!A:O,2,2)</f>
        <v>Axé com Limão</v>
      </c>
      <c r="F1698" t="str">
        <f>VLOOKUP(D1698,'Cadatro Clientes'!A:O,9,2)</f>
        <v>Nordeste</v>
      </c>
      <c r="G1698" s="15">
        <v>42265</v>
      </c>
      <c r="H1698">
        <f t="shared" si="131"/>
        <v>6</v>
      </c>
      <c r="I1698">
        <f t="shared" si="132"/>
        <v>18</v>
      </c>
      <c r="J1698">
        <f t="shared" si="133"/>
        <v>9</v>
      </c>
      <c r="K1698">
        <f t="shared" si="134"/>
        <v>2015</v>
      </c>
      <c r="M1698">
        <v>4</v>
      </c>
      <c r="N1698" t="str">
        <f>VLOOKUP(M1698,'Cadastro Vendedores'!A:H,2,2)</f>
        <v>José</v>
      </c>
      <c r="O1698" s="2"/>
      <c r="P1698" s="16">
        <v>1100</v>
      </c>
      <c r="Q1698" s="2">
        <f>VLOOKUP(B1698,'Cadastro Produtos'!A:F,5,2)</f>
        <v>17.5</v>
      </c>
      <c r="R1698" s="14">
        <f t="shared" si="130"/>
        <v>19250</v>
      </c>
    </row>
    <row r="1699" spans="1:18" x14ac:dyDescent="0.25">
      <c r="A1699">
        <v>1698</v>
      </c>
      <c r="B1699">
        <v>4</v>
      </c>
      <c r="C1699" t="str">
        <f>VLOOKUP(B1699,'Cadastro Produtos'!A:E,2,2)</f>
        <v>Limonada Beta Zero 500 ml</v>
      </c>
      <c r="D1699">
        <v>7</v>
      </c>
      <c r="E1699" t="str">
        <f>VLOOKUP(D1699,'Cadatro Clientes'!A:O,2,2)</f>
        <v>Limo</v>
      </c>
      <c r="F1699" t="str">
        <f>VLOOKUP(D1699,'Cadatro Clientes'!A:O,9,2)</f>
        <v>Centro-Oeste</v>
      </c>
      <c r="G1699" s="15">
        <v>42265</v>
      </c>
      <c r="H1699">
        <f t="shared" si="131"/>
        <v>6</v>
      </c>
      <c r="I1699">
        <f t="shared" si="132"/>
        <v>18</v>
      </c>
      <c r="J1699">
        <f t="shared" si="133"/>
        <v>9</v>
      </c>
      <c r="K1699">
        <f t="shared" si="134"/>
        <v>2015</v>
      </c>
      <c r="M1699">
        <v>15</v>
      </c>
      <c r="N1699" t="str">
        <f>VLOOKUP(M1699,'Cadastro Vendedores'!A:H,2,2)</f>
        <v>Luis</v>
      </c>
      <c r="O1699" s="2"/>
      <c r="P1699" s="16">
        <v>5500</v>
      </c>
      <c r="Q1699" s="2">
        <f>VLOOKUP(B1699,'Cadastro Produtos'!A:F,5,2)</f>
        <v>7</v>
      </c>
      <c r="R1699" s="14">
        <f t="shared" si="130"/>
        <v>38500</v>
      </c>
    </row>
    <row r="1700" spans="1:18" x14ac:dyDescent="0.25">
      <c r="A1700">
        <v>1699</v>
      </c>
      <c r="B1700">
        <v>9</v>
      </c>
      <c r="C1700" t="str">
        <f>VLOOKUP(B1700,'Cadastro Produtos'!A:E,2,2)</f>
        <v>Limonada Alfa com Hortelã e Açúcar 1 L</v>
      </c>
      <c r="D1700">
        <v>14</v>
      </c>
      <c r="E1700" t="str">
        <f>VLOOKUP(D1700,'Cadatro Clientes'!A:O,2,2)</f>
        <v>Sprite</v>
      </c>
      <c r="F1700" t="str">
        <f>VLOOKUP(D1700,'Cadatro Clientes'!A:O,9,2)</f>
        <v>Norte</v>
      </c>
      <c r="G1700" s="15">
        <v>42265</v>
      </c>
      <c r="H1700">
        <f t="shared" si="131"/>
        <v>6</v>
      </c>
      <c r="I1700">
        <f t="shared" si="132"/>
        <v>18</v>
      </c>
      <c r="J1700">
        <f t="shared" si="133"/>
        <v>9</v>
      </c>
      <c r="K1700">
        <f t="shared" si="134"/>
        <v>2015</v>
      </c>
      <c r="M1700">
        <v>16</v>
      </c>
      <c r="N1700" t="str">
        <f>VLOOKUP(M1700,'Cadastro Vendedores'!A:H,2,2)</f>
        <v>Jose</v>
      </c>
      <c r="O1700" s="2"/>
      <c r="P1700" s="16">
        <v>1600</v>
      </c>
      <c r="Q1700" s="2">
        <f>VLOOKUP(B1700,'Cadastro Produtos'!A:F,5,2)</f>
        <v>17.5</v>
      </c>
      <c r="R1700" s="14">
        <f t="shared" si="130"/>
        <v>28000</v>
      </c>
    </row>
    <row r="1701" spans="1:18" x14ac:dyDescent="0.25">
      <c r="A1701">
        <v>1700</v>
      </c>
      <c r="B1701">
        <v>8</v>
      </c>
      <c r="C1701" t="str">
        <f>VLOOKUP(B1701,'Cadastro Produtos'!A:E,2,2)</f>
        <v>Limonada Beta Zero 1 L</v>
      </c>
      <c r="D1701">
        <v>20</v>
      </c>
      <c r="E1701" t="str">
        <f>VLOOKUP(D1701,'Cadatro Clientes'!A:O,2,2)</f>
        <v>Brasil Saúde</v>
      </c>
      <c r="F1701" t="str">
        <f>VLOOKUP(D1701,'Cadatro Clientes'!A:O,9,2)</f>
        <v>Nordeste</v>
      </c>
      <c r="G1701" s="15">
        <v>42266</v>
      </c>
      <c r="H1701">
        <f t="shared" si="131"/>
        <v>7</v>
      </c>
      <c r="I1701">
        <f t="shared" si="132"/>
        <v>19</v>
      </c>
      <c r="J1701">
        <f t="shared" si="133"/>
        <v>9</v>
      </c>
      <c r="K1701">
        <f t="shared" si="134"/>
        <v>2015</v>
      </c>
      <c r="M1701">
        <v>16</v>
      </c>
      <c r="N1701" t="str">
        <f>VLOOKUP(M1701,'Cadastro Vendedores'!A:H,2,2)</f>
        <v>Jose</v>
      </c>
      <c r="O1701" s="2"/>
      <c r="P1701" s="16">
        <v>2100</v>
      </c>
      <c r="Q1701" s="2">
        <f>VLOOKUP(B1701,'Cadastro Produtos'!A:F,5,2)</f>
        <v>12</v>
      </c>
      <c r="R1701" s="14">
        <f t="shared" si="130"/>
        <v>25200</v>
      </c>
    </row>
    <row r="1702" spans="1:18" x14ac:dyDescent="0.25">
      <c r="A1702">
        <v>1701</v>
      </c>
      <c r="B1702">
        <v>9</v>
      </c>
      <c r="C1702" t="str">
        <f>VLOOKUP(B1702,'Cadastro Produtos'!A:E,2,2)</f>
        <v>Limonada Alfa com Hortelã e Açúcar 1 L</v>
      </c>
      <c r="D1702">
        <v>12</v>
      </c>
      <c r="E1702" t="str">
        <f>VLOOKUP(D1702,'Cadatro Clientes'!A:O,2,2)</f>
        <v>Limão da Ilha</v>
      </c>
      <c r="F1702" t="str">
        <f>VLOOKUP(D1702,'Cadatro Clientes'!A:O,9,2)</f>
        <v>Sul</v>
      </c>
      <c r="G1702" s="15">
        <v>42266</v>
      </c>
      <c r="H1702">
        <f t="shared" si="131"/>
        <v>7</v>
      </c>
      <c r="I1702">
        <f t="shared" si="132"/>
        <v>19</v>
      </c>
      <c r="J1702">
        <f t="shared" si="133"/>
        <v>9</v>
      </c>
      <c r="K1702">
        <f t="shared" si="134"/>
        <v>2015</v>
      </c>
      <c r="M1702">
        <v>9</v>
      </c>
      <c r="N1702" t="str">
        <f>VLOOKUP(M1702,'Cadastro Vendedores'!A:H,2,2)</f>
        <v>Adriana</v>
      </c>
      <c r="O1702" s="2"/>
      <c r="P1702" s="16">
        <v>1800</v>
      </c>
      <c r="Q1702" s="2">
        <f>VLOOKUP(B1702,'Cadastro Produtos'!A:F,5,2)</f>
        <v>17.5</v>
      </c>
      <c r="R1702" s="14">
        <f t="shared" si="130"/>
        <v>31500</v>
      </c>
    </row>
    <row r="1703" spans="1:18" x14ac:dyDescent="0.25">
      <c r="A1703">
        <v>1702</v>
      </c>
      <c r="B1703">
        <v>7</v>
      </c>
      <c r="C1703" t="str">
        <f>VLOOKUP(B1703,'Cadastro Produtos'!A:E,2,2)</f>
        <v>Limonada Alfa Zero 1 L</v>
      </c>
      <c r="D1703">
        <v>12</v>
      </c>
      <c r="E1703" t="str">
        <f>VLOOKUP(D1703,'Cadatro Clientes'!A:O,2,2)</f>
        <v>Limão da Ilha</v>
      </c>
      <c r="F1703" t="str">
        <f>VLOOKUP(D1703,'Cadatro Clientes'!A:O,9,2)</f>
        <v>Sul</v>
      </c>
      <c r="G1703" s="15">
        <v>42266</v>
      </c>
      <c r="H1703">
        <f t="shared" si="131"/>
        <v>7</v>
      </c>
      <c r="I1703">
        <f t="shared" si="132"/>
        <v>19</v>
      </c>
      <c r="J1703">
        <f t="shared" si="133"/>
        <v>9</v>
      </c>
      <c r="K1703">
        <f t="shared" si="134"/>
        <v>2015</v>
      </c>
      <c r="M1703">
        <v>9</v>
      </c>
      <c r="N1703" t="str">
        <f>VLOOKUP(M1703,'Cadastro Vendedores'!A:H,2,2)</f>
        <v>Adriana</v>
      </c>
      <c r="O1703" s="2"/>
      <c r="P1703" s="16">
        <v>2400</v>
      </c>
      <c r="Q1703" s="2">
        <f>VLOOKUP(B1703,'Cadastro Produtos'!A:F,5,2)</f>
        <v>15</v>
      </c>
      <c r="R1703" s="14">
        <f t="shared" si="130"/>
        <v>36000</v>
      </c>
    </row>
    <row r="1704" spans="1:18" x14ac:dyDescent="0.25">
      <c r="A1704">
        <v>1703</v>
      </c>
      <c r="B1704">
        <v>1</v>
      </c>
      <c r="C1704" t="str">
        <f>VLOOKUP(B1704,'Cadastro Produtos'!A:E,2,2)</f>
        <v>Limonada Alfa com Açúcar 500 ml</v>
      </c>
      <c r="D1704">
        <v>6</v>
      </c>
      <c r="E1704" t="str">
        <f>VLOOKUP(D1704,'Cadatro Clientes'!A:O,2,2)</f>
        <v>Lemonade</v>
      </c>
      <c r="F1704" t="str">
        <f>VLOOKUP(D1704,'Cadatro Clientes'!A:O,9,2)</f>
        <v>Norte</v>
      </c>
      <c r="G1704" s="15">
        <v>42267</v>
      </c>
      <c r="H1704">
        <f t="shared" si="131"/>
        <v>1</v>
      </c>
      <c r="I1704">
        <f t="shared" si="132"/>
        <v>20</v>
      </c>
      <c r="J1704">
        <f t="shared" si="133"/>
        <v>9</v>
      </c>
      <c r="K1704">
        <f t="shared" si="134"/>
        <v>2015</v>
      </c>
      <c r="M1704">
        <v>15</v>
      </c>
      <c r="N1704" t="str">
        <f>VLOOKUP(M1704,'Cadastro Vendedores'!A:H,2,2)</f>
        <v>Luis</v>
      </c>
      <c r="O1704" s="2"/>
      <c r="P1704" s="16">
        <v>4200</v>
      </c>
      <c r="Q1704" s="2">
        <f>VLOOKUP(B1704,'Cadastro Produtos'!A:F,5,2)</f>
        <v>8.5</v>
      </c>
      <c r="R1704" s="14">
        <f t="shared" si="130"/>
        <v>35700</v>
      </c>
    </row>
    <row r="1705" spans="1:18" x14ac:dyDescent="0.25">
      <c r="A1705">
        <v>1704</v>
      </c>
      <c r="B1705">
        <v>3</v>
      </c>
      <c r="C1705" t="str">
        <f>VLOOKUP(B1705,'Cadastro Produtos'!A:E,2,2)</f>
        <v>Limonada Alfa Zero 500 ml</v>
      </c>
      <c r="D1705">
        <v>7</v>
      </c>
      <c r="E1705" t="str">
        <f>VLOOKUP(D1705,'Cadatro Clientes'!A:O,2,2)</f>
        <v>Limo</v>
      </c>
      <c r="F1705" t="str">
        <f>VLOOKUP(D1705,'Cadatro Clientes'!A:O,9,2)</f>
        <v>Centro-Oeste</v>
      </c>
      <c r="G1705" s="15">
        <v>42267</v>
      </c>
      <c r="H1705">
        <f t="shared" si="131"/>
        <v>1</v>
      </c>
      <c r="I1705">
        <f t="shared" si="132"/>
        <v>20</v>
      </c>
      <c r="J1705">
        <f t="shared" si="133"/>
        <v>9</v>
      </c>
      <c r="K1705">
        <f t="shared" si="134"/>
        <v>2015</v>
      </c>
      <c r="M1705">
        <v>16</v>
      </c>
      <c r="N1705" t="str">
        <f>VLOOKUP(M1705,'Cadastro Vendedores'!A:H,2,2)</f>
        <v>Jose</v>
      </c>
      <c r="O1705" s="2"/>
      <c r="P1705" s="16">
        <v>2000</v>
      </c>
      <c r="Q1705" s="2">
        <f>VLOOKUP(B1705,'Cadastro Produtos'!A:F,5,2)</f>
        <v>9</v>
      </c>
      <c r="R1705" s="14">
        <f t="shared" si="130"/>
        <v>18000</v>
      </c>
    </row>
    <row r="1706" spans="1:18" x14ac:dyDescent="0.25">
      <c r="A1706">
        <v>1705</v>
      </c>
      <c r="B1706">
        <v>1</v>
      </c>
      <c r="C1706" t="str">
        <f>VLOOKUP(B1706,'Cadastro Produtos'!A:E,2,2)</f>
        <v>Limonada Alfa com Açúcar 500 ml</v>
      </c>
      <c r="D1706">
        <v>17</v>
      </c>
      <c r="E1706" t="str">
        <f>VLOOKUP(D1706,'Cadatro Clientes'!A:O,2,2)</f>
        <v>Aracasuco</v>
      </c>
      <c r="F1706" t="str">
        <f>VLOOKUP(D1706,'Cadatro Clientes'!A:O,9,2)</f>
        <v>Nordeste</v>
      </c>
      <c r="G1706" s="15">
        <v>42267</v>
      </c>
      <c r="H1706">
        <f t="shared" si="131"/>
        <v>1</v>
      </c>
      <c r="I1706">
        <f t="shared" si="132"/>
        <v>20</v>
      </c>
      <c r="J1706">
        <f t="shared" si="133"/>
        <v>9</v>
      </c>
      <c r="K1706">
        <f t="shared" si="134"/>
        <v>2015</v>
      </c>
      <c r="M1706">
        <v>8</v>
      </c>
      <c r="N1706" t="str">
        <f>VLOOKUP(M1706,'Cadastro Vendedores'!A:H,2,2)</f>
        <v>Sérgio</v>
      </c>
      <c r="O1706" s="2"/>
      <c r="P1706" s="16">
        <v>1900</v>
      </c>
      <c r="Q1706" s="2">
        <f>VLOOKUP(B1706,'Cadastro Produtos'!A:F,5,2)</f>
        <v>8.5</v>
      </c>
      <c r="R1706" s="14">
        <f t="shared" si="130"/>
        <v>16150</v>
      </c>
    </row>
    <row r="1707" spans="1:18" x14ac:dyDescent="0.25">
      <c r="A1707">
        <v>1706</v>
      </c>
      <c r="B1707">
        <v>5</v>
      </c>
      <c r="C1707" t="str">
        <f>VLOOKUP(B1707,'Cadastro Produtos'!A:E,2,2)</f>
        <v>Limonada Alfa com Açúcar 1 L</v>
      </c>
      <c r="D1707">
        <v>7</v>
      </c>
      <c r="E1707" t="str">
        <f>VLOOKUP(D1707,'Cadatro Clientes'!A:O,2,2)</f>
        <v>Limo</v>
      </c>
      <c r="F1707" t="str">
        <f>VLOOKUP(D1707,'Cadatro Clientes'!A:O,9,2)</f>
        <v>Centro-Oeste</v>
      </c>
      <c r="G1707" s="15">
        <v>42267</v>
      </c>
      <c r="H1707">
        <f t="shared" si="131"/>
        <v>1</v>
      </c>
      <c r="I1707">
        <f t="shared" si="132"/>
        <v>20</v>
      </c>
      <c r="J1707">
        <f t="shared" si="133"/>
        <v>9</v>
      </c>
      <c r="K1707">
        <f t="shared" si="134"/>
        <v>2015</v>
      </c>
      <c r="M1707">
        <v>13</v>
      </c>
      <c r="N1707" t="str">
        <f>VLOOKUP(M1707,'Cadastro Vendedores'!A:H,2,2)</f>
        <v>Andre</v>
      </c>
      <c r="O1707" s="2"/>
      <c r="P1707" s="16">
        <v>3200</v>
      </c>
      <c r="Q1707" s="2">
        <f>VLOOKUP(B1707,'Cadastro Produtos'!A:F,5,2)</f>
        <v>15</v>
      </c>
      <c r="R1707" s="14">
        <f t="shared" si="130"/>
        <v>48000</v>
      </c>
    </row>
    <row r="1708" spans="1:18" x14ac:dyDescent="0.25">
      <c r="A1708">
        <v>1707</v>
      </c>
      <c r="B1708">
        <v>7</v>
      </c>
      <c r="C1708" t="str">
        <f>VLOOKUP(B1708,'Cadastro Produtos'!A:E,2,2)</f>
        <v>Limonada Alfa Zero 1 L</v>
      </c>
      <c r="D1708">
        <v>6</v>
      </c>
      <c r="E1708" t="str">
        <f>VLOOKUP(D1708,'Cadatro Clientes'!A:O,2,2)</f>
        <v>Lemonade</v>
      </c>
      <c r="F1708" t="str">
        <f>VLOOKUP(D1708,'Cadatro Clientes'!A:O,9,2)</f>
        <v>Norte</v>
      </c>
      <c r="G1708" s="15">
        <v>42267</v>
      </c>
      <c r="H1708">
        <f t="shared" si="131"/>
        <v>1</v>
      </c>
      <c r="I1708">
        <f t="shared" si="132"/>
        <v>20</v>
      </c>
      <c r="J1708">
        <f t="shared" si="133"/>
        <v>9</v>
      </c>
      <c r="K1708">
        <f t="shared" si="134"/>
        <v>2015</v>
      </c>
      <c r="M1708">
        <v>4</v>
      </c>
      <c r="N1708" t="str">
        <f>VLOOKUP(M1708,'Cadastro Vendedores'!A:H,2,2)</f>
        <v>José</v>
      </c>
      <c r="O1708" s="2"/>
      <c r="P1708" s="16">
        <v>3300</v>
      </c>
      <c r="Q1708" s="2">
        <f>VLOOKUP(B1708,'Cadastro Produtos'!A:F,5,2)</f>
        <v>15</v>
      </c>
      <c r="R1708" s="14">
        <f t="shared" si="130"/>
        <v>49500</v>
      </c>
    </row>
    <row r="1709" spans="1:18" x14ac:dyDescent="0.25">
      <c r="A1709">
        <v>1708</v>
      </c>
      <c r="B1709">
        <v>5</v>
      </c>
      <c r="C1709" t="str">
        <f>VLOOKUP(B1709,'Cadastro Produtos'!A:E,2,2)</f>
        <v>Limonada Alfa com Açúcar 1 L</v>
      </c>
      <c r="D1709">
        <v>3</v>
      </c>
      <c r="E1709" t="str">
        <f>VLOOKUP(D1709,'Cadatro Clientes'!A:O,2,2)</f>
        <v>Limonada Suíça Ltda</v>
      </c>
      <c r="F1709" t="str">
        <f>VLOOKUP(D1709,'Cadatro Clientes'!A:O,9,2)</f>
        <v>Nordeste</v>
      </c>
      <c r="G1709" s="15">
        <v>42268</v>
      </c>
      <c r="H1709">
        <f t="shared" si="131"/>
        <v>2</v>
      </c>
      <c r="I1709">
        <f t="shared" si="132"/>
        <v>21</v>
      </c>
      <c r="J1709">
        <f t="shared" si="133"/>
        <v>9</v>
      </c>
      <c r="K1709">
        <f t="shared" si="134"/>
        <v>2015</v>
      </c>
      <c r="M1709">
        <v>7</v>
      </c>
      <c r="N1709" t="str">
        <f>VLOOKUP(M1709,'Cadastro Vendedores'!A:H,2,2)</f>
        <v>Benedito</v>
      </c>
      <c r="O1709" s="2"/>
      <c r="P1709" s="16">
        <v>2400</v>
      </c>
      <c r="Q1709" s="2">
        <f>VLOOKUP(B1709,'Cadastro Produtos'!A:F,5,2)</f>
        <v>15</v>
      </c>
      <c r="R1709" s="14">
        <f t="shared" si="130"/>
        <v>36000</v>
      </c>
    </row>
    <row r="1710" spans="1:18" x14ac:dyDescent="0.25">
      <c r="A1710">
        <v>1709</v>
      </c>
      <c r="B1710">
        <v>3</v>
      </c>
      <c r="C1710" t="str">
        <f>VLOOKUP(B1710,'Cadastro Produtos'!A:E,2,2)</f>
        <v>Limonada Alfa Zero 500 ml</v>
      </c>
      <c r="D1710">
        <v>6</v>
      </c>
      <c r="E1710" t="str">
        <f>VLOOKUP(D1710,'Cadatro Clientes'!A:O,2,2)</f>
        <v>Lemonade</v>
      </c>
      <c r="F1710" t="str">
        <f>VLOOKUP(D1710,'Cadatro Clientes'!A:O,9,2)</f>
        <v>Norte</v>
      </c>
      <c r="G1710" s="15">
        <v>42268</v>
      </c>
      <c r="H1710">
        <f t="shared" si="131"/>
        <v>2</v>
      </c>
      <c r="I1710">
        <f t="shared" si="132"/>
        <v>21</v>
      </c>
      <c r="J1710">
        <f t="shared" si="133"/>
        <v>9</v>
      </c>
      <c r="K1710">
        <f t="shared" si="134"/>
        <v>2015</v>
      </c>
      <c r="M1710">
        <v>6</v>
      </c>
      <c r="N1710" t="str">
        <f>VLOOKUP(M1710,'Cadastro Vendedores'!A:H,2,2)</f>
        <v>Antônia</v>
      </c>
      <c r="O1710" s="2"/>
      <c r="P1710" s="16">
        <v>4800</v>
      </c>
      <c r="Q1710" s="2">
        <f>VLOOKUP(B1710,'Cadastro Produtos'!A:F,5,2)</f>
        <v>9</v>
      </c>
      <c r="R1710" s="14">
        <f t="shared" si="130"/>
        <v>43200</v>
      </c>
    </row>
    <row r="1711" spans="1:18" x14ac:dyDescent="0.25">
      <c r="A1711">
        <v>1710</v>
      </c>
      <c r="B1711">
        <v>5</v>
      </c>
      <c r="C1711" t="str">
        <f>VLOOKUP(B1711,'Cadastro Produtos'!A:E,2,2)</f>
        <v>Limonada Alfa com Açúcar 1 L</v>
      </c>
      <c r="D1711">
        <v>15</v>
      </c>
      <c r="E1711" t="str">
        <f>VLOOKUP(D1711,'Cadatro Clientes'!A:O,2,2)</f>
        <v>Limão do Mané</v>
      </c>
      <c r="F1711" t="str">
        <f>VLOOKUP(D1711,'Cadatro Clientes'!A:O,9,2)</f>
        <v>Sul</v>
      </c>
      <c r="G1711" s="15">
        <v>42268</v>
      </c>
      <c r="H1711">
        <f t="shared" si="131"/>
        <v>2</v>
      </c>
      <c r="I1711">
        <f t="shared" si="132"/>
        <v>21</v>
      </c>
      <c r="J1711">
        <f t="shared" si="133"/>
        <v>9</v>
      </c>
      <c r="K1711">
        <f t="shared" si="134"/>
        <v>2015</v>
      </c>
      <c r="M1711">
        <v>6</v>
      </c>
      <c r="N1711" t="str">
        <f>VLOOKUP(M1711,'Cadastro Vendedores'!A:H,2,2)</f>
        <v>Antônia</v>
      </c>
      <c r="O1711" s="2"/>
      <c r="P1711" s="16">
        <v>900</v>
      </c>
      <c r="Q1711" s="2">
        <f>VLOOKUP(B1711,'Cadastro Produtos'!A:F,5,2)</f>
        <v>15</v>
      </c>
      <c r="R1711" s="14">
        <f t="shared" si="130"/>
        <v>13500</v>
      </c>
    </row>
    <row r="1712" spans="1:18" x14ac:dyDescent="0.25">
      <c r="A1712">
        <v>1711</v>
      </c>
      <c r="B1712">
        <v>5</v>
      </c>
      <c r="C1712" t="str">
        <f>VLOOKUP(B1712,'Cadastro Produtos'!A:E,2,2)</f>
        <v>Limonada Alfa com Açúcar 1 L</v>
      </c>
      <c r="D1712">
        <v>5</v>
      </c>
      <c r="E1712" t="str">
        <f>VLOOKUP(D1712,'Cadatro Clientes'!A:O,2,2)</f>
        <v>Axé com Limão</v>
      </c>
      <c r="F1712" t="str">
        <f>VLOOKUP(D1712,'Cadatro Clientes'!A:O,9,2)</f>
        <v>Nordeste</v>
      </c>
      <c r="G1712" s="15">
        <v>42269</v>
      </c>
      <c r="H1712">
        <f t="shared" si="131"/>
        <v>3</v>
      </c>
      <c r="I1712">
        <f t="shared" si="132"/>
        <v>22</v>
      </c>
      <c r="J1712">
        <f t="shared" si="133"/>
        <v>9</v>
      </c>
      <c r="K1712">
        <f t="shared" si="134"/>
        <v>2015</v>
      </c>
      <c r="M1712">
        <v>7</v>
      </c>
      <c r="N1712" t="str">
        <f>VLOOKUP(M1712,'Cadastro Vendedores'!A:H,2,2)</f>
        <v>Benedito</v>
      </c>
      <c r="O1712" s="2"/>
      <c r="P1712" s="16">
        <v>2400</v>
      </c>
      <c r="Q1712" s="2">
        <f>VLOOKUP(B1712,'Cadastro Produtos'!A:F,5,2)</f>
        <v>15</v>
      </c>
      <c r="R1712" s="14">
        <f t="shared" si="130"/>
        <v>36000</v>
      </c>
    </row>
    <row r="1713" spans="1:18" x14ac:dyDescent="0.25">
      <c r="A1713">
        <v>1712</v>
      </c>
      <c r="B1713">
        <v>2</v>
      </c>
      <c r="C1713" t="str">
        <f>VLOOKUP(B1713,'Cadastro Produtos'!A:E,2,2)</f>
        <v>Limonada Beta com Açúcar 500 ml</v>
      </c>
      <c r="D1713">
        <v>1</v>
      </c>
      <c r="E1713" t="str">
        <f>VLOOKUP(D1713,'Cadatro Clientes'!A:O,2,2)</f>
        <v>Meu Suco de Limão</v>
      </c>
      <c r="F1713" t="str">
        <f>VLOOKUP(D1713,'Cadatro Clientes'!A:O,9,2)</f>
        <v>Norte</v>
      </c>
      <c r="G1713" s="15">
        <v>42269</v>
      </c>
      <c r="H1713">
        <f t="shared" si="131"/>
        <v>3</v>
      </c>
      <c r="I1713">
        <f t="shared" si="132"/>
        <v>22</v>
      </c>
      <c r="J1713">
        <f t="shared" si="133"/>
        <v>9</v>
      </c>
      <c r="K1713">
        <f t="shared" si="134"/>
        <v>2015</v>
      </c>
      <c r="M1713">
        <v>16</v>
      </c>
      <c r="N1713" t="str">
        <f>VLOOKUP(M1713,'Cadastro Vendedores'!A:H,2,2)</f>
        <v>Jose</v>
      </c>
      <c r="O1713" s="2"/>
      <c r="P1713" s="16">
        <v>2100</v>
      </c>
      <c r="Q1713" s="2">
        <f>VLOOKUP(B1713,'Cadastro Produtos'!A:F,5,2)</f>
        <v>6.5</v>
      </c>
      <c r="R1713" s="14">
        <f t="shared" si="130"/>
        <v>13650</v>
      </c>
    </row>
    <row r="1714" spans="1:18" x14ac:dyDescent="0.25">
      <c r="A1714">
        <v>1713</v>
      </c>
      <c r="B1714">
        <v>2</v>
      </c>
      <c r="C1714" t="str">
        <f>VLOOKUP(B1714,'Cadastro Produtos'!A:E,2,2)</f>
        <v>Limonada Beta com Açúcar 500 ml</v>
      </c>
      <c r="D1714">
        <v>6</v>
      </c>
      <c r="E1714" t="str">
        <f>VLOOKUP(D1714,'Cadatro Clientes'!A:O,2,2)</f>
        <v>Lemonade</v>
      </c>
      <c r="F1714" t="str">
        <f>VLOOKUP(D1714,'Cadatro Clientes'!A:O,9,2)</f>
        <v>Norte</v>
      </c>
      <c r="G1714" s="15">
        <v>42269</v>
      </c>
      <c r="H1714">
        <f t="shared" si="131"/>
        <v>3</v>
      </c>
      <c r="I1714">
        <f t="shared" si="132"/>
        <v>22</v>
      </c>
      <c r="J1714">
        <f t="shared" si="133"/>
        <v>9</v>
      </c>
      <c r="K1714">
        <f t="shared" si="134"/>
        <v>2015</v>
      </c>
      <c r="M1714">
        <v>4</v>
      </c>
      <c r="N1714" t="str">
        <f>VLOOKUP(M1714,'Cadastro Vendedores'!A:H,2,2)</f>
        <v>José</v>
      </c>
      <c r="O1714" s="2"/>
      <c r="P1714" s="16">
        <v>6800</v>
      </c>
      <c r="Q1714" s="2">
        <f>VLOOKUP(B1714,'Cadastro Produtos'!A:F,5,2)</f>
        <v>6.5</v>
      </c>
      <c r="R1714" s="14">
        <f t="shared" si="130"/>
        <v>44200</v>
      </c>
    </row>
    <row r="1715" spans="1:18" x14ac:dyDescent="0.25">
      <c r="A1715">
        <v>1714</v>
      </c>
      <c r="B1715">
        <v>7</v>
      </c>
      <c r="C1715" t="str">
        <f>VLOOKUP(B1715,'Cadastro Produtos'!A:E,2,2)</f>
        <v>Limonada Alfa Zero 1 L</v>
      </c>
      <c r="D1715">
        <v>11</v>
      </c>
      <c r="E1715" t="str">
        <f>VLOOKUP(D1715,'Cadatro Clientes'!A:O,2,2)</f>
        <v>Red Lemon</v>
      </c>
      <c r="F1715" t="str">
        <f>VLOOKUP(D1715,'Cadatro Clientes'!A:O,9,2)</f>
        <v>Sul</v>
      </c>
      <c r="G1715" s="15">
        <v>42269</v>
      </c>
      <c r="H1715">
        <f t="shared" si="131"/>
        <v>3</v>
      </c>
      <c r="I1715">
        <f t="shared" si="132"/>
        <v>22</v>
      </c>
      <c r="J1715">
        <f t="shared" si="133"/>
        <v>9</v>
      </c>
      <c r="K1715">
        <f t="shared" si="134"/>
        <v>2015</v>
      </c>
      <c r="M1715">
        <v>6</v>
      </c>
      <c r="N1715" t="str">
        <f>VLOOKUP(M1715,'Cadastro Vendedores'!A:H,2,2)</f>
        <v>Antônia</v>
      </c>
      <c r="O1715" s="2"/>
      <c r="P1715" s="16">
        <v>1300</v>
      </c>
      <c r="Q1715" s="2">
        <f>VLOOKUP(B1715,'Cadastro Produtos'!A:F,5,2)</f>
        <v>15</v>
      </c>
      <c r="R1715" s="14">
        <f t="shared" si="130"/>
        <v>19500</v>
      </c>
    </row>
    <row r="1716" spans="1:18" x14ac:dyDescent="0.25">
      <c r="A1716">
        <v>1715</v>
      </c>
      <c r="B1716">
        <v>2</v>
      </c>
      <c r="C1716" t="str">
        <f>VLOOKUP(B1716,'Cadastro Produtos'!A:E,2,2)</f>
        <v>Limonada Beta com Açúcar 500 ml</v>
      </c>
      <c r="D1716">
        <v>1</v>
      </c>
      <c r="E1716" t="str">
        <f>VLOOKUP(D1716,'Cadatro Clientes'!A:O,2,2)</f>
        <v>Meu Suco de Limão</v>
      </c>
      <c r="F1716" t="str">
        <f>VLOOKUP(D1716,'Cadatro Clientes'!A:O,9,2)</f>
        <v>Norte</v>
      </c>
      <c r="G1716" s="15">
        <v>42270</v>
      </c>
      <c r="H1716">
        <f t="shared" si="131"/>
        <v>4</v>
      </c>
      <c r="I1716">
        <f t="shared" si="132"/>
        <v>23</v>
      </c>
      <c r="J1716">
        <f t="shared" si="133"/>
        <v>9</v>
      </c>
      <c r="K1716">
        <f t="shared" si="134"/>
        <v>2015</v>
      </c>
      <c r="M1716">
        <v>8</v>
      </c>
      <c r="N1716" t="str">
        <f>VLOOKUP(M1716,'Cadastro Vendedores'!A:H,2,2)</f>
        <v>Sérgio</v>
      </c>
      <c r="O1716" s="2"/>
      <c r="P1716" s="16">
        <v>7400</v>
      </c>
      <c r="Q1716" s="2">
        <f>VLOOKUP(B1716,'Cadastro Produtos'!A:F,5,2)</f>
        <v>6.5</v>
      </c>
      <c r="R1716" s="14">
        <f t="shared" si="130"/>
        <v>48100</v>
      </c>
    </row>
    <row r="1717" spans="1:18" x14ac:dyDescent="0.25">
      <c r="A1717">
        <v>1716</v>
      </c>
      <c r="B1717">
        <v>6</v>
      </c>
      <c r="C1717" t="str">
        <f>VLOOKUP(B1717,'Cadastro Produtos'!A:E,2,2)</f>
        <v>Limonada Beta com Açúcar 1 L</v>
      </c>
      <c r="D1717">
        <v>7</v>
      </c>
      <c r="E1717" t="str">
        <f>VLOOKUP(D1717,'Cadatro Clientes'!A:O,2,2)</f>
        <v>Limo</v>
      </c>
      <c r="F1717" t="str">
        <f>VLOOKUP(D1717,'Cadatro Clientes'!A:O,9,2)</f>
        <v>Centro-Oeste</v>
      </c>
      <c r="G1717" s="15">
        <v>42270</v>
      </c>
      <c r="H1717">
        <f t="shared" si="131"/>
        <v>4</v>
      </c>
      <c r="I1717">
        <f t="shared" si="132"/>
        <v>23</v>
      </c>
      <c r="J1717">
        <f t="shared" si="133"/>
        <v>9</v>
      </c>
      <c r="K1717">
        <f t="shared" si="134"/>
        <v>2015</v>
      </c>
      <c r="M1717">
        <v>9</v>
      </c>
      <c r="N1717" t="str">
        <f>VLOOKUP(M1717,'Cadastro Vendedores'!A:H,2,2)</f>
        <v>Adriana</v>
      </c>
      <c r="O1717" s="2"/>
      <c r="P1717" s="16">
        <v>1400</v>
      </c>
      <c r="Q1717" s="2">
        <f>VLOOKUP(B1717,'Cadastro Produtos'!A:F,5,2)</f>
        <v>12</v>
      </c>
      <c r="R1717" s="14">
        <f t="shared" si="130"/>
        <v>16800</v>
      </c>
    </row>
    <row r="1718" spans="1:18" x14ac:dyDescent="0.25">
      <c r="A1718">
        <v>1717</v>
      </c>
      <c r="B1718">
        <v>8</v>
      </c>
      <c r="C1718" t="str">
        <f>VLOOKUP(B1718,'Cadastro Produtos'!A:E,2,2)</f>
        <v>Limonada Beta Zero 1 L</v>
      </c>
      <c r="D1718">
        <v>12</v>
      </c>
      <c r="E1718" t="str">
        <f>VLOOKUP(D1718,'Cadatro Clientes'!A:O,2,2)</f>
        <v>Limão da Ilha</v>
      </c>
      <c r="F1718" t="str">
        <f>VLOOKUP(D1718,'Cadatro Clientes'!A:O,9,2)</f>
        <v>Sul</v>
      </c>
      <c r="G1718" s="15">
        <v>42270</v>
      </c>
      <c r="H1718">
        <f t="shared" si="131"/>
        <v>4</v>
      </c>
      <c r="I1718">
        <f t="shared" si="132"/>
        <v>23</v>
      </c>
      <c r="J1718">
        <f t="shared" si="133"/>
        <v>9</v>
      </c>
      <c r="K1718">
        <f t="shared" si="134"/>
        <v>2015</v>
      </c>
      <c r="M1718">
        <v>12</v>
      </c>
      <c r="N1718" t="str">
        <f>VLOOKUP(M1718,'Cadastro Vendedores'!A:H,2,2)</f>
        <v>Paulo</v>
      </c>
      <c r="O1718" s="2"/>
      <c r="P1718" s="16">
        <v>2500</v>
      </c>
      <c r="Q1718" s="2">
        <f>VLOOKUP(B1718,'Cadastro Produtos'!A:F,5,2)</f>
        <v>12</v>
      </c>
      <c r="R1718" s="14">
        <f t="shared" si="130"/>
        <v>30000</v>
      </c>
    </row>
    <row r="1719" spans="1:18" x14ac:dyDescent="0.25">
      <c r="A1719">
        <v>1718</v>
      </c>
      <c r="B1719">
        <v>1</v>
      </c>
      <c r="C1719" t="str">
        <f>VLOOKUP(B1719,'Cadastro Produtos'!A:E,2,2)</f>
        <v>Limonada Alfa com Açúcar 500 ml</v>
      </c>
      <c r="D1719">
        <v>5</v>
      </c>
      <c r="E1719" t="str">
        <f>VLOOKUP(D1719,'Cadatro Clientes'!A:O,2,2)</f>
        <v>Axé com Limão</v>
      </c>
      <c r="F1719" t="str">
        <f>VLOOKUP(D1719,'Cadatro Clientes'!A:O,9,2)</f>
        <v>Nordeste</v>
      </c>
      <c r="G1719" s="15">
        <v>42271</v>
      </c>
      <c r="H1719">
        <f t="shared" si="131"/>
        <v>5</v>
      </c>
      <c r="I1719">
        <f t="shared" si="132"/>
        <v>24</v>
      </c>
      <c r="J1719">
        <f t="shared" si="133"/>
        <v>9</v>
      </c>
      <c r="K1719">
        <f t="shared" si="134"/>
        <v>2015</v>
      </c>
      <c r="M1719">
        <v>2</v>
      </c>
      <c r="N1719" t="str">
        <f>VLOOKUP(M1719,'Cadastro Vendedores'!A:H,2,2)</f>
        <v>Luis</v>
      </c>
      <c r="O1719" s="2"/>
      <c r="P1719" s="16">
        <v>4500</v>
      </c>
      <c r="Q1719" s="2">
        <f>VLOOKUP(B1719,'Cadastro Produtos'!A:F,5,2)</f>
        <v>8.5</v>
      </c>
      <c r="R1719" s="14">
        <f t="shared" si="130"/>
        <v>38250</v>
      </c>
    </row>
    <row r="1720" spans="1:18" x14ac:dyDescent="0.25">
      <c r="A1720">
        <v>1719</v>
      </c>
      <c r="B1720">
        <v>10</v>
      </c>
      <c r="C1720" t="str">
        <f>VLOOKUP(B1720,'Cadastro Produtos'!A:E,2,2)</f>
        <v>Limonada Alfa com Hortelã Zero 1 L</v>
      </c>
      <c r="D1720">
        <v>8</v>
      </c>
      <c r="E1720" t="str">
        <f>VLOOKUP(D1720,'Cadatro Clientes'!A:O,2,2)</f>
        <v>Refresko</v>
      </c>
      <c r="F1720" t="str">
        <f>VLOOKUP(D1720,'Cadatro Clientes'!A:O,9,2)</f>
        <v>Sul</v>
      </c>
      <c r="G1720" s="15">
        <v>42271</v>
      </c>
      <c r="H1720">
        <f t="shared" si="131"/>
        <v>5</v>
      </c>
      <c r="I1720">
        <f t="shared" si="132"/>
        <v>24</v>
      </c>
      <c r="J1720">
        <f t="shared" si="133"/>
        <v>9</v>
      </c>
      <c r="K1720">
        <f t="shared" si="134"/>
        <v>2015</v>
      </c>
      <c r="M1720">
        <v>4</v>
      </c>
      <c r="N1720" t="str">
        <f>VLOOKUP(M1720,'Cadastro Vendedores'!A:H,2,2)</f>
        <v>José</v>
      </c>
      <c r="O1720" s="2"/>
      <c r="P1720" s="16">
        <v>1500</v>
      </c>
      <c r="Q1720" s="2">
        <f>VLOOKUP(B1720,'Cadastro Produtos'!A:F,5,2)</f>
        <v>21</v>
      </c>
      <c r="R1720" s="14">
        <f t="shared" si="130"/>
        <v>31500</v>
      </c>
    </row>
    <row r="1721" spans="1:18" x14ac:dyDescent="0.25">
      <c r="A1721">
        <v>1720</v>
      </c>
      <c r="B1721">
        <v>1</v>
      </c>
      <c r="C1721" t="str">
        <f>VLOOKUP(B1721,'Cadastro Produtos'!A:E,2,2)</f>
        <v>Limonada Alfa com Açúcar 500 ml</v>
      </c>
      <c r="D1721">
        <v>18</v>
      </c>
      <c r="E1721" t="str">
        <f>VLOOKUP(D1721,'Cadatro Clientes'!A:O,2,2)</f>
        <v>Rio Branco Limonada Ltda</v>
      </c>
      <c r="F1721" t="str">
        <f>VLOOKUP(D1721,'Cadatro Clientes'!A:O,9,2)</f>
        <v>Norte</v>
      </c>
      <c r="G1721" s="15">
        <v>42271</v>
      </c>
      <c r="H1721">
        <f t="shared" si="131"/>
        <v>5</v>
      </c>
      <c r="I1721">
        <f t="shared" si="132"/>
        <v>24</v>
      </c>
      <c r="J1721">
        <f t="shared" si="133"/>
        <v>9</v>
      </c>
      <c r="K1721">
        <f t="shared" si="134"/>
        <v>2015</v>
      </c>
      <c r="M1721">
        <v>8</v>
      </c>
      <c r="N1721" t="str">
        <f>VLOOKUP(M1721,'Cadastro Vendedores'!A:H,2,2)</f>
        <v>Sérgio</v>
      </c>
      <c r="O1721" s="2"/>
      <c r="P1721" s="16">
        <v>4200</v>
      </c>
      <c r="Q1721" s="2">
        <f>VLOOKUP(B1721,'Cadastro Produtos'!A:F,5,2)</f>
        <v>8.5</v>
      </c>
      <c r="R1721" s="14">
        <f t="shared" si="130"/>
        <v>35700</v>
      </c>
    </row>
    <row r="1722" spans="1:18" x14ac:dyDescent="0.25">
      <c r="A1722">
        <v>1721</v>
      </c>
      <c r="B1722">
        <v>1</v>
      </c>
      <c r="C1722" t="str">
        <f>VLOOKUP(B1722,'Cadastro Produtos'!A:E,2,2)</f>
        <v>Limonada Alfa com Açúcar 500 ml</v>
      </c>
      <c r="D1722">
        <v>5</v>
      </c>
      <c r="E1722" t="str">
        <f>VLOOKUP(D1722,'Cadatro Clientes'!A:O,2,2)</f>
        <v>Axé com Limão</v>
      </c>
      <c r="F1722" t="str">
        <f>VLOOKUP(D1722,'Cadatro Clientes'!A:O,9,2)</f>
        <v>Nordeste</v>
      </c>
      <c r="G1722" s="15">
        <v>42272</v>
      </c>
      <c r="H1722">
        <f t="shared" si="131"/>
        <v>6</v>
      </c>
      <c r="I1722">
        <f t="shared" si="132"/>
        <v>25</v>
      </c>
      <c r="J1722">
        <f t="shared" si="133"/>
        <v>9</v>
      </c>
      <c r="K1722">
        <f t="shared" si="134"/>
        <v>2015</v>
      </c>
      <c r="M1722">
        <v>3</v>
      </c>
      <c r="N1722" t="str">
        <f>VLOOKUP(M1722,'Cadastro Vendedores'!A:H,2,2)</f>
        <v>Antônia</v>
      </c>
      <c r="O1722" s="2"/>
      <c r="P1722" s="16">
        <v>2900</v>
      </c>
      <c r="Q1722" s="2">
        <f>VLOOKUP(B1722,'Cadastro Produtos'!A:F,5,2)</f>
        <v>8.5</v>
      </c>
      <c r="R1722" s="14">
        <f t="shared" si="130"/>
        <v>24650</v>
      </c>
    </row>
    <row r="1723" spans="1:18" x14ac:dyDescent="0.25">
      <c r="A1723">
        <v>1722</v>
      </c>
      <c r="B1723">
        <v>8</v>
      </c>
      <c r="C1723" t="str">
        <f>VLOOKUP(B1723,'Cadastro Produtos'!A:E,2,2)</f>
        <v>Limonada Beta Zero 1 L</v>
      </c>
      <c r="D1723">
        <v>20</v>
      </c>
      <c r="E1723" t="str">
        <f>VLOOKUP(D1723,'Cadatro Clientes'!A:O,2,2)</f>
        <v>Brasil Saúde</v>
      </c>
      <c r="F1723" t="str">
        <f>VLOOKUP(D1723,'Cadatro Clientes'!A:O,9,2)</f>
        <v>Nordeste</v>
      </c>
      <c r="G1723" s="15">
        <v>42272</v>
      </c>
      <c r="H1723">
        <f t="shared" si="131"/>
        <v>6</v>
      </c>
      <c r="I1723">
        <f t="shared" si="132"/>
        <v>25</v>
      </c>
      <c r="J1723">
        <f t="shared" si="133"/>
        <v>9</v>
      </c>
      <c r="K1723">
        <f t="shared" si="134"/>
        <v>2015</v>
      </c>
      <c r="M1723">
        <v>7</v>
      </c>
      <c r="N1723" t="str">
        <f>VLOOKUP(M1723,'Cadastro Vendedores'!A:H,2,2)</f>
        <v>Benedito</v>
      </c>
      <c r="O1723" s="2"/>
      <c r="P1723" s="16">
        <v>4200</v>
      </c>
      <c r="Q1723" s="2">
        <f>VLOOKUP(B1723,'Cadastro Produtos'!A:F,5,2)</f>
        <v>12</v>
      </c>
      <c r="R1723" s="14">
        <f t="shared" si="130"/>
        <v>50400</v>
      </c>
    </row>
    <row r="1724" spans="1:18" x14ac:dyDescent="0.25">
      <c r="A1724">
        <v>1723</v>
      </c>
      <c r="B1724">
        <v>5</v>
      </c>
      <c r="C1724" t="str">
        <f>VLOOKUP(B1724,'Cadastro Produtos'!A:E,2,2)</f>
        <v>Limonada Alfa com Açúcar 1 L</v>
      </c>
      <c r="D1724">
        <v>14</v>
      </c>
      <c r="E1724" t="str">
        <f>VLOOKUP(D1724,'Cadatro Clientes'!A:O,2,2)</f>
        <v>Sprite</v>
      </c>
      <c r="F1724" t="str">
        <f>VLOOKUP(D1724,'Cadatro Clientes'!A:O,9,2)</f>
        <v>Norte</v>
      </c>
      <c r="G1724" s="15">
        <v>42272</v>
      </c>
      <c r="H1724">
        <f t="shared" si="131"/>
        <v>6</v>
      </c>
      <c r="I1724">
        <f t="shared" si="132"/>
        <v>25</v>
      </c>
      <c r="J1724">
        <f t="shared" si="133"/>
        <v>9</v>
      </c>
      <c r="K1724">
        <f t="shared" si="134"/>
        <v>2015</v>
      </c>
      <c r="M1724">
        <v>7</v>
      </c>
      <c r="N1724" t="str">
        <f>VLOOKUP(M1724,'Cadastro Vendedores'!A:H,2,2)</f>
        <v>Benedito</v>
      </c>
      <c r="O1724" s="2"/>
      <c r="P1724" s="16">
        <v>900</v>
      </c>
      <c r="Q1724" s="2">
        <f>VLOOKUP(B1724,'Cadastro Produtos'!A:F,5,2)</f>
        <v>15</v>
      </c>
      <c r="R1724" s="14">
        <f t="shared" si="130"/>
        <v>13500</v>
      </c>
    </row>
    <row r="1725" spans="1:18" x14ac:dyDescent="0.25">
      <c r="A1725">
        <v>1724</v>
      </c>
      <c r="B1725">
        <v>6</v>
      </c>
      <c r="C1725" t="str">
        <f>VLOOKUP(B1725,'Cadastro Produtos'!A:E,2,2)</f>
        <v>Limonada Beta com Açúcar 1 L</v>
      </c>
      <c r="D1725">
        <v>6</v>
      </c>
      <c r="E1725" t="str">
        <f>VLOOKUP(D1725,'Cadatro Clientes'!A:O,2,2)</f>
        <v>Lemonade</v>
      </c>
      <c r="F1725" t="str">
        <f>VLOOKUP(D1725,'Cadatro Clientes'!A:O,9,2)</f>
        <v>Norte</v>
      </c>
      <c r="G1725" s="15">
        <v>42273</v>
      </c>
      <c r="H1725">
        <f t="shared" si="131"/>
        <v>7</v>
      </c>
      <c r="I1725">
        <f t="shared" si="132"/>
        <v>26</v>
      </c>
      <c r="J1725">
        <f t="shared" si="133"/>
        <v>9</v>
      </c>
      <c r="K1725">
        <f t="shared" si="134"/>
        <v>2015</v>
      </c>
      <c r="M1725">
        <v>16</v>
      </c>
      <c r="N1725" t="str">
        <f>VLOOKUP(M1725,'Cadastro Vendedores'!A:H,2,2)</f>
        <v>Jose</v>
      </c>
      <c r="O1725" s="2"/>
      <c r="P1725" s="16">
        <v>1800</v>
      </c>
      <c r="Q1725" s="2">
        <f>VLOOKUP(B1725,'Cadastro Produtos'!A:F,5,2)</f>
        <v>12</v>
      </c>
      <c r="R1725" s="14">
        <f t="shared" si="130"/>
        <v>21600</v>
      </c>
    </row>
    <row r="1726" spans="1:18" x14ac:dyDescent="0.25">
      <c r="A1726">
        <v>1725</v>
      </c>
      <c r="B1726">
        <v>1</v>
      </c>
      <c r="C1726" t="str">
        <f>VLOOKUP(B1726,'Cadastro Produtos'!A:E,2,2)</f>
        <v>Limonada Alfa com Açúcar 500 ml</v>
      </c>
      <c r="D1726">
        <v>3</v>
      </c>
      <c r="E1726" t="str">
        <f>VLOOKUP(D1726,'Cadatro Clientes'!A:O,2,2)</f>
        <v>Limonada Suíça Ltda</v>
      </c>
      <c r="F1726" t="str">
        <f>VLOOKUP(D1726,'Cadatro Clientes'!A:O,9,2)</f>
        <v>Nordeste</v>
      </c>
      <c r="G1726" s="15">
        <v>42274</v>
      </c>
      <c r="H1726">
        <f t="shared" si="131"/>
        <v>1</v>
      </c>
      <c r="I1726">
        <f t="shared" si="132"/>
        <v>27</v>
      </c>
      <c r="J1726">
        <f t="shared" si="133"/>
        <v>9</v>
      </c>
      <c r="K1726">
        <f t="shared" si="134"/>
        <v>2015</v>
      </c>
      <c r="M1726">
        <v>16</v>
      </c>
      <c r="N1726" t="str">
        <f>VLOOKUP(M1726,'Cadastro Vendedores'!A:H,2,2)</f>
        <v>Jose</v>
      </c>
      <c r="O1726" s="2"/>
      <c r="P1726" s="16">
        <v>3700</v>
      </c>
      <c r="Q1726" s="2">
        <f>VLOOKUP(B1726,'Cadastro Produtos'!A:F,5,2)</f>
        <v>8.5</v>
      </c>
      <c r="R1726" s="14">
        <f t="shared" si="130"/>
        <v>31450</v>
      </c>
    </row>
    <row r="1727" spans="1:18" x14ac:dyDescent="0.25">
      <c r="A1727">
        <v>1726</v>
      </c>
      <c r="B1727">
        <v>6</v>
      </c>
      <c r="C1727" t="str">
        <f>VLOOKUP(B1727,'Cadastro Produtos'!A:E,2,2)</f>
        <v>Limonada Beta com Açúcar 1 L</v>
      </c>
      <c r="D1727">
        <v>11</v>
      </c>
      <c r="E1727" t="str">
        <f>VLOOKUP(D1727,'Cadatro Clientes'!A:O,2,2)</f>
        <v>Red Lemon</v>
      </c>
      <c r="F1727" t="str">
        <f>VLOOKUP(D1727,'Cadatro Clientes'!A:O,9,2)</f>
        <v>Sul</v>
      </c>
      <c r="G1727" s="15">
        <v>42274</v>
      </c>
      <c r="H1727">
        <f t="shared" si="131"/>
        <v>1</v>
      </c>
      <c r="I1727">
        <f t="shared" si="132"/>
        <v>27</v>
      </c>
      <c r="J1727">
        <f t="shared" si="133"/>
        <v>9</v>
      </c>
      <c r="K1727">
        <f t="shared" si="134"/>
        <v>2015</v>
      </c>
      <c r="M1727">
        <v>7</v>
      </c>
      <c r="N1727" t="str">
        <f>VLOOKUP(M1727,'Cadastro Vendedores'!A:H,2,2)</f>
        <v>Benedito</v>
      </c>
      <c r="O1727" s="2"/>
      <c r="P1727" s="16">
        <v>1000</v>
      </c>
      <c r="Q1727" s="2">
        <f>VLOOKUP(B1727,'Cadastro Produtos'!A:F,5,2)</f>
        <v>12</v>
      </c>
      <c r="R1727" s="14">
        <f t="shared" si="130"/>
        <v>12000</v>
      </c>
    </row>
    <row r="1728" spans="1:18" x14ac:dyDescent="0.25">
      <c r="A1728">
        <v>1727</v>
      </c>
      <c r="B1728">
        <v>9</v>
      </c>
      <c r="C1728" t="str">
        <f>VLOOKUP(B1728,'Cadastro Produtos'!A:E,2,2)</f>
        <v>Limonada Alfa com Hortelã e Açúcar 1 L</v>
      </c>
      <c r="D1728">
        <v>8</v>
      </c>
      <c r="E1728" t="str">
        <f>VLOOKUP(D1728,'Cadatro Clientes'!A:O,2,2)</f>
        <v>Refresko</v>
      </c>
      <c r="F1728" t="str">
        <f>VLOOKUP(D1728,'Cadatro Clientes'!A:O,9,2)</f>
        <v>Sul</v>
      </c>
      <c r="G1728" s="15">
        <v>42275</v>
      </c>
      <c r="H1728">
        <f t="shared" si="131"/>
        <v>2</v>
      </c>
      <c r="I1728">
        <f t="shared" si="132"/>
        <v>28</v>
      </c>
      <c r="J1728">
        <f t="shared" si="133"/>
        <v>9</v>
      </c>
      <c r="K1728">
        <f t="shared" si="134"/>
        <v>2015</v>
      </c>
      <c r="M1728">
        <v>15</v>
      </c>
      <c r="N1728" t="str">
        <f>VLOOKUP(M1728,'Cadastro Vendedores'!A:H,2,2)</f>
        <v>Luis</v>
      </c>
      <c r="O1728" s="2"/>
      <c r="P1728" s="16">
        <v>2500</v>
      </c>
      <c r="Q1728" s="2">
        <f>VLOOKUP(B1728,'Cadastro Produtos'!A:F,5,2)</f>
        <v>17.5</v>
      </c>
      <c r="R1728" s="14">
        <f t="shared" si="130"/>
        <v>43750</v>
      </c>
    </row>
    <row r="1729" spans="1:18" x14ac:dyDescent="0.25">
      <c r="A1729">
        <v>1728</v>
      </c>
      <c r="B1729">
        <v>8</v>
      </c>
      <c r="C1729" t="str">
        <f>VLOOKUP(B1729,'Cadastro Produtos'!A:E,2,2)</f>
        <v>Limonada Beta Zero 1 L</v>
      </c>
      <c r="D1729">
        <v>14</v>
      </c>
      <c r="E1729" t="str">
        <f>VLOOKUP(D1729,'Cadatro Clientes'!A:O,2,2)</f>
        <v>Sprite</v>
      </c>
      <c r="F1729" t="str">
        <f>VLOOKUP(D1729,'Cadatro Clientes'!A:O,9,2)</f>
        <v>Norte</v>
      </c>
      <c r="G1729" s="15">
        <v>42275</v>
      </c>
      <c r="H1729">
        <f t="shared" si="131"/>
        <v>2</v>
      </c>
      <c r="I1729">
        <f t="shared" si="132"/>
        <v>28</v>
      </c>
      <c r="J1729">
        <f t="shared" si="133"/>
        <v>9</v>
      </c>
      <c r="K1729">
        <f t="shared" si="134"/>
        <v>2015</v>
      </c>
      <c r="M1729">
        <v>8</v>
      </c>
      <c r="N1729" t="str">
        <f>VLOOKUP(M1729,'Cadastro Vendedores'!A:H,2,2)</f>
        <v>Sérgio</v>
      </c>
      <c r="O1729" s="2"/>
      <c r="P1729" s="16">
        <v>3300</v>
      </c>
      <c r="Q1729" s="2">
        <f>VLOOKUP(B1729,'Cadastro Produtos'!A:F,5,2)</f>
        <v>12</v>
      </c>
      <c r="R1729" s="14">
        <f t="shared" si="130"/>
        <v>39600</v>
      </c>
    </row>
    <row r="1730" spans="1:18" x14ac:dyDescent="0.25">
      <c r="A1730">
        <v>1729</v>
      </c>
      <c r="B1730">
        <v>10</v>
      </c>
      <c r="C1730" t="str">
        <f>VLOOKUP(B1730,'Cadastro Produtos'!A:E,2,2)</f>
        <v>Limonada Alfa com Hortelã Zero 1 L</v>
      </c>
      <c r="D1730">
        <v>15</v>
      </c>
      <c r="E1730" t="str">
        <f>VLOOKUP(D1730,'Cadatro Clientes'!A:O,2,2)</f>
        <v>Limão do Mané</v>
      </c>
      <c r="F1730" t="str">
        <f>VLOOKUP(D1730,'Cadatro Clientes'!A:O,9,2)</f>
        <v>Sul</v>
      </c>
      <c r="G1730" s="15">
        <v>42275</v>
      </c>
      <c r="H1730">
        <f t="shared" si="131"/>
        <v>2</v>
      </c>
      <c r="I1730">
        <f t="shared" si="132"/>
        <v>28</v>
      </c>
      <c r="J1730">
        <f t="shared" si="133"/>
        <v>9</v>
      </c>
      <c r="K1730">
        <f t="shared" si="134"/>
        <v>2015</v>
      </c>
      <c r="M1730">
        <v>6</v>
      </c>
      <c r="N1730" t="str">
        <f>VLOOKUP(M1730,'Cadastro Vendedores'!A:H,2,2)</f>
        <v>Antônia</v>
      </c>
      <c r="O1730" s="2"/>
      <c r="P1730" s="16">
        <v>2300</v>
      </c>
      <c r="Q1730" s="2">
        <f>VLOOKUP(B1730,'Cadastro Produtos'!A:F,5,2)</f>
        <v>21</v>
      </c>
      <c r="R1730" s="14">
        <f t="shared" ref="R1730:R1793" si="135">Q1730*P1730</f>
        <v>48300</v>
      </c>
    </row>
    <row r="1731" spans="1:18" x14ac:dyDescent="0.25">
      <c r="A1731">
        <v>1730</v>
      </c>
      <c r="B1731">
        <v>7</v>
      </c>
      <c r="C1731" t="str">
        <f>VLOOKUP(B1731,'Cadastro Produtos'!A:E,2,2)</f>
        <v>Limonada Alfa Zero 1 L</v>
      </c>
      <c r="D1731">
        <v>3</v>
      </c>
      <c r="E1731" t="str">
        <f>VLOOKUP(D1731,'Cadatro Clientes'!A:O,2,2)</f>
        <v>Limonada Suíça Ltda</v>
      </c>
      <c r="F1731" t="str">
        <f>VLOOKUP(D1731,'Cadatro Clientes'!A:O,9,2)</f>
        <v>Nordeste</v>
      </c>
      <c r="G1731" s="15">
        <v>42276</v>
      </c>
      <c r="H1731">
        <f t="shared" ref="H1731:H1794" si="136">WEEKDAY(G1731)</f>
        <v>3</v>
      </c>
      <c r="I1731">
        <f t="shared" ref="I1731:I1794" si="137">DAY(G1731)</f>
        <v>29</v>
      </c>
      <c r="J1731">
        <f t="shared" ref="J1731:J1794" si="138">MONTH(G1731)</f>
        <v>9</v>
      </c>
      <c r="K1731">
        <f t="shared" ref="K1731:K1794" si="139">YEAR(G1731)</f>
        <v>2015</v>
      </c>
      <c r="M1731">
        <v>6</v>
      </c>
      <c r="N1731" t="str">
        <f>VLOOKUP(M1731,'Cadastro Vendedores'!A:H,2,2)</f>
        <v>Antônia</v>
      </c>
      <c r="O1731" s="2"/>
      <c r="P1731" s="16">
        <v>700</v>
      </c>
      <c r="Q1731" s="2">
        <f>VLOOKUP(B1731,'Cadastro Produtos'!A:F,5,2)</f>
        <v>15</v>
      </c>
      <c r="R1731" s="14">
        <f t="shared" si="135"/>
        <v>10500</v>
      </c>
    </row>
    <row r="1732" spans="1:18" x14ac:dyDescent="0.25">
      <c r="A1732">
        <v>1731</v>
      </c>
      <c r="B1732">
        <v>7</v>
      </c>
      <c r="C1732" t="str">
        <f>VLOOKUP(B1732,'Cadastro Produtos'!A:E,2,2)</f>
        <v>Limonada Alfa Zero 1 L</v>
      </c>
      <c r="D1732">
        <v>4</v>
      </c>
      <c r="E1732" t="str">
        <f>VLOOKUP(D1732,'Cadatro Clientes'!A:O,2,2)</f>
        <v>Limão Carioca e Cia</v>
      </c>
      <c r="F1732" t="str">
        <f>VLOOKUP(D1732,'Cadatro Clientes'!A:O,9,2)</f>
        <v>Sudeste</v>
      </c>
      <c r="G1732" s="15">
        <v>42276</v>
      </c>
      <c r="H1732">
        <f t="shared" si="136"/>
        <v>3</v>
      </c>
      <c r="I1732">
        <f t="shared" si="137"/>
        <v>29</v>
      </c>
      <c r="J1732">
        <f t="shared" si="138"/>
        <v>9</v>
      </c>
      <c r="K1732">
        <f t="shared" si="139"/>
        <v>2015</v>
      </c>
      <c r="M1732">
        <v>6</v>
      </c>
      <c r="N1732" t="str">
        <f>VLOOKUP(M1732,'Cadastro Vendedores'!A:H,2,2)</f>
        <v>Antônia</v>
      </c>
      <c r="O1732" s="2"/>
      <c r="P1732" s="16">
        <v>1500</v>
      </c>
      <c r="Q1732" s="2">
        <f>VLOOKUP(B1732,'Cadastro Produtos'!A:F,5,2)</f>
        <v>15</v>
      </c>
      <c r="R1732" s="14">
        <f t="shared" si="135"/>
        <v>22500</v>
      </c>
    </row>
    <row r="1733" spans="1:18" x14ac:dyDescent="0.25">
      <c r="A1733">
        <v>1732</v>
      </c>
      <c r="B1733">
        <v>2</v>
      </c>
      <c r="C1733" t="str">
        <f>VLOOKUP(B1733,'Cadastro Produtos'!A:E,2,2)</f>
        <v>Limonada Beta com Açúcar 500 ml</v>
      </c>
      <c r="D1733">
        <v>18</v>
      </c>
      <c r="E1733" t="str">
        <f>VLOOKUP(D1733,'Cadatro Clientes'!A:O,2,2)</f>
        <v>Rio Branco Limonada Ltda</v>
      </c>
      <c r="F1733" t="str">
        <f>VLOOKUP(D1733,'Cadatro Clientes'!A:O,9,2)</f>
        <v>Norte</v>
      </c>
      <c r="G1733" s="15">
        <v>42276</v>
      </c>
      <c r="H1733">
        <f t="shared" si="136"/>
        <v>3</v>
      </c>
      <c r="I1733">
        <f t="shared" si="137"/>
        <v>29</v>
      </c>
      <c r="J1733">
        <f t="shared" si="138"/>
        <v>9</v>
      </c>
      <c r="K1733">
        <f t="shared" si="139"/>
        <v>2015</v>
      </c>
      <c r="M1733">
        <v>2</v>
      </c>
      <c r="N1733" t="str">
        <f>VLOOKUP(M1733,'Cadastro Vendedores'!A:H,2,2)</f>
        <v>Luis</v>
      </c>
      <c r="O1733" s="2"/>
      <c r="P1733" s="16">
        <v>5200</v>
      </c>
      <c r="Q1733" s="2">
        <f>VLOOKUP(B1733,'Cadastro Produtos'!A:F,5,2)</f>
        <v>6.5</v>
      </c>
      <c r="R1733" s="14">
        <f t="shared" si="135"/>
        <v>33800</v>
      </c>
    </row>
    <row r="1734" spans="1:18" x14ac:dyDescent="0.25">
      <c r="A1734">
        <v>1733</v>
      </c>
      <c r="B1734">
        <v>9</v>
      </c>
      <c r="C1734" t="str">
        <f>VLOOKUP(B1734,'Cadastro Produtos'!A:E,2,2)</f>
        <v>Limonada Alfa com Hortelã e Açúcar 1 L</v>
      </c>
      <c r="D1734">
        <v>6</v>
      </c>
      <c r="E1734" t="str">
        <f>VLOOKUP(D1734,'Cadatro Clientes'!A:O,2,2)</f>
        <v>Lemonade</v>
      </c>
      <c r="F1734" t="str">
        <f>VLOOKUP(D1734,'Cadatro Clientes'!A:O,9,2)</f>
        <v>Norte</v>
      </c>
      <c r="G1734" s="15">
        <v>42276</v>
      </c>
      <c r="H1734">
        <f t="shared" si="136"/>
        <v>3</v>
      </c>
      <c r="I1734">
        <f t="shared" si="137"/>
        <v>29</v>
      </c>
      <c r="J1734">
        <f t="shared" si="138"/>
        <v>9</v>
      </c>
      <c r="K1734">
        <f t="shared" si="139"/>
        <v>2015</v>
      </c>
      <c r="M1734">
        <v>9</v>
      </c>
      <c r="N1734" t="str">
        <f>VLOOKUP(M1734,'Cadastro Vendedores'!A:H,2,2)</f>
        <v>Adriana</v>
      </c>
      <c r="O1734" s="2"/>
      <c r="P1734" s="16">
        <v>2600</v>
      </c>
      <c r="Q1734" s="2">
        <f>VLOOKUP(B1734,'Cadastro Produtos'!A:F,5,2)</f>
        <v>17.5</v>
      </c>
      <c r="R1734" s="14">
        <f t="shared" si="135"/>
        <v>45500</v>
      </c>
    </row>
    <row r="1735" spans="1:18" x14ac:dyDescent="0.25">
      <c r="A1735">
        <v>1734</v>
      </c>
      <c r="B1735">
        <v>5</v>
      </c>
      <c r="C1735" t="str">
        <f>VLOOKUP(B1735,'Cadastro Produtos'!A:E,2,2)</f>
        <v>Limonada Alfa com Açúcar 1 L</v>
      </c>
      <c r="D1735">
        <v>12</v>
      </c>
      <c r="E1735" t="str">
        <f>VLOOKUP(D1735,'Cadatro Clientes'!A:O,2,2)</f>
        <v>Limão da Ilha</v>
      </c>
      <c r="F1735" t="str">
        <f>VLOOKUP(D1735,'Cadatro Clientes'!A:O,9,2)</f>
        <v>Sul</v>
      </c>
      <c r="G1735" s="15">
        <v>42276</v>
      </c>
      <c r="H1735">
        <f t="shared" si="136"/>
        <v>3</v>
      </c>
      <c r="I1735">
        <f t="shared" si="137"/>
        <v>29</v>
      </c>
      <c r="J1735">
        <f t="shared" si="138"/>
        <v>9</v>
      </c>
      <c r="K1735">
        <f t="shared" si="139"/>
        <v>2015</v>
      </c>
      <c r="M1735">
        <v>7</v>
      </c>
      <c r="N1735" t="str">
        <f>VLOOKUP(M1735,'Cadastro Vendedores'!A:H,2,2)</f>
        <v>Benedito</v>
      </c>
      <c r="O1735" s="2"/>
      <c r="P1735" s="16">
        <v>3200</v>
      </c>
      <c r="Q1735" s="2">
        <f>VLOOKUP(B1735,'Cadastro Produtos'!A:F,5,2)</f>
        <v>15</v>
      </c>
      <c r="R1735" s="14">
        <f t="shared" si="135"/>
        <v>48000</v>
      </c>
    </row>
    <row r="1736" spans="1:18" x14ac:dyDescent="0.25">
      <c r="A1736">
        <v>1735</v>
      </c>
      <c r="B1736">
        <v>7</v>
      </c>
      <c r="C1736" t="str">
        <f>VLOOKUP(B1736,'Cadastro Produtos'!A:E,2,2)</f>
        <v>Limonada Alfa Zero 1 L</v>
      </c>
      <c r="D1736">
        <v>15</v>
      </c>
      <c r="E1736" t="str">
        <f>VLOOKUP(D1736,'Cadatro Clientes'!A:O,2,2)</f>
        <v>Limão do Mané</v>
      </c>
      <c r="F1736" t="str">
        <f>VLOOKUP(D1736,'Cadatro Clientes'!A:O,9,2)</f>
        <v>Sul</v>
      </c>
      <c r="G1736" s="15">
        <v>42277</v>
      </c>
      <c r="H1736">
        <f t="shared" si="136"/>
        <v>4</v>
      </c>
      <c r="I1736">
        <f t="shared" si="137"/>
        <v>30</v>
      </c>
      <c r="J1736">
        <f t="shared" si="138"/>
        <v>9</v>
      </c>
      <c r="K1736">
        <f t="shared" si="139"/>
        <v>2015</v>
      </c>
      <c r="M1736">
        <v>3</v>
      </c>
      <c r="N1736" t="str">
        <f>VLOOKUP(M1736,'Cadastro Vendedores'!A:H,2,2)</f>
        <v>Antônia</v>
      </c>
      <c r="O1736" s="2"/>
      <c r="P1736" s="16">
        <v>1600</v>
      </c>
      <c r="Q1736" s="2">
        <f>VLOOKUP(B1736,'Cadastro Produtos'!A:F,5,2)</f>
        <v>15</v>
      </c>
      <c r="R1736" s="14">
        <f t="shared" si="135"/>
        <v>24000</v>
      </c>
    </row>
    <row r="1737" spans="1:18" x14ac:dyDescent="0.25">
      <c r="A1737">
        <v>1736</v>
      </c>
      <c r="B1737">
        <v>9</v>
      </c>
      <c r="C1737" t="str">
        <f>VLOOKUP(B1737,'Cadastro Produtos'!A:E,2,2)</f>
        <v>Limonada Alfa com Hortelã e Açúcar 1 L</v>
      </c>
      <c r="D1737">
        <v>3</v>
      </c>
      <c r="E1737" t="str">
        <f>VLOOKUP(D1737,'Cadatro Clientes'!A:O,2,2)</f>
        <v>Limonada Suíça Ltda</v>
      </c>
      <c r="F1737" t="str">
        <f>VLOOKUP(D1737,'Cadatro Clientes'!A:O,9,2)</f>
        <v>Nordeste</v>
      </c>
      <c r="G1737" s="15">
        <v>42278</v>
      </c>
      <c r="H1737">
        <f t="shared" si="136"/>
        <v>5</v>
      </c>
      <c r="I1737">
        <f t="shared" si="137"/>
        <v>1</v>
      </c>
      <c r="J1737">
        <f t="shared" si="138"/>
        <v>10</v>
      </c>
      <c r="K1737">
        <f t="shared" si="139"/>
        <v>2015</v>
      </c>
      <c r="M1737">
        <v>2</v>
      </c>
      <c r="N1737" t="str">
        <f>VLOOKUP(M1737,'Cadastro Vendedores'!A:H,2,2)</f>
        <v>Luis</v>
      </c>
      <c r="O1737" s="2"/>
      <c r="P1737" s="16">
        <v>2700</v>
      </c>
      <c r="Q1737" s="2">
        <f>VLOOKUP(B1737,'Cadastro Produtos'!A:F,5,2)</f>
        <v>17.5</v>
      </c>
      <c r="R1737" s="14">
        <f t="shared" si="135"/>
        <v>47250</v>
      </c>
    </row>
    <row r="1738" spans="1:18" x14ac:dyDescent="0.25">
      <c r="A1738">
        <v>1737</v>
      </c>
      <c r="B1738">
        <v>3</v>
      </c>
      <c r="C1738" t="str">
        <f>VLOOKUP(B1738,'Cadastro Produtos'!A:E,2,2)</f>
        <v>Limonada Alfa Zero 500 ml</v>
      </c>
      <c r="D1738">
        <v>1</v>
      </c>
      <c r="E1738" t="str">
        <f>VLOOKUP(D1738,'Cadatro Clientes'!A:O,2,2)</f>
        <v>Meu Suco de Limão</v>
      </c>
      <c r="F1738" t="str">
        <f>VLOOKUP(D1738,'Cadatro Clientes'!A:O,9,2)</f>
        <v>Norte</v>
      </c>
      <c r="G1738" s="15">
        <v>42278</v>
      </c>
      <c r="H1738">
        <f t="shared" si="136"/>
        <v>5</v>
      </c>
      <c r="I1738">
        <f t="shared" si="137"/>
        <v>1</v>
      </c>
      <c r="J1738">
        <f t="shared" si="138"/>
        <v>10</v>
      </c>
      <c r="K1738">
        <f t="shared" si="139"/>
        <v>2015</v>
      </c>
      <c r="M1738">
        <v>8</v>
      </c>
      <c r="N1738" t="str">
        <f>VLOOKUP(M1738,'Cadastro Vendedores'!A:H,2,2)</f>
        <v>Sérgio</v>
      </c>
      <c r="O1738" s="2"/>
      <c r="P1738" s="16">
        <v>2100</v>
      </c>
      <c r="Q1738" s="2">
        <f>VLOOKUP(B1738,'Cadastro Produtos'!A:F,5,2)</f>
        <v>9</v>
      </c>
      <c r="R1738" s="14">
        <f t="shared" si="135"/>
        <v>18900</v>
      </c>
    </row>
    <row r="1739" spans="1:18" x14ac:dyDescent="0.25">
      <c r="A1739">
        <v>1738</v>
      </c>
      <c r="B1739">
        <v>8</v>
      </c>
      <c r="C1739" t="str">
        <f>VLOOKUP(B1739,'Cadastro Produtos'!A:E,2,2)</f>
        <v>Limonada Beta Zero 1 L</v>
      </c>
      <c r="D1739">
        <v>11</v>
      </c>
      <c r="E1739" t="str">
        <f>VLOOKUP(D1739,'Cadatro Clientes'!A:O,2,2)</f>
        <v>Red Lemon</v>
      </c>
      <c r="F1739" t="str">
        <f>VLOOKUP(D1739,'Cadatro Clientes'!A:O,9,2)</f>
        <v>Sul</v>
      </c>
      <c r="G1739" s="15">
        <v>42278</v>
      </c>
      <c r="H1739">
        <f t="shared" si="136"/>
        <v>5</v>
      </c>
      <c r="I1739">
        <f t="shared" si="137"/>
        <v>1</v>
      </c>
      <c r="J1739">
        <f t="shared" si="138"/>
        <v>10</v>
      </c>
      <c r="K1739">
        <f t="shared" si="139"/>
        <v>2015</v>
      </c>
      <c r="M1739">
        <v>3</v>
      </c>
      <c r="N1739" t="str">
        <f>VLOOKUP(M1739,'Cadastro Vendedores'!A:H,2,2)</f>
        <v>Antônia</v>
      </c>
      <c r="O1739" s="2"/>
      <c r="P1739" s="16">
        <v>1100</v>
      </c>
      <c r="Q1739" s="2">
        <f>VLOOKUP(B1739,'Cadastro Produtos'!A:F,5,2)</f>
        <v>12</v>
      </c>
      <c r="R1739" s="14">
        <f t="shared" si="135"/>
        <v>13200</v>
      </c>
    </row>
    <row r="1740" spans="1:18" x14ac:dyDescent="0.25">
      <c r="A1740">
        <v>1739</v>
      </c>
      <c r="B1740">
        <v>5</v>
      </c>
      <c r="C1740" t="str">
        <f>VLOOKUP(B1740,'Cadastro Produtos'!A:E,2,2)</f>
        <v>Limonada Alfa com Açúcar 1 L</v>
      </c>
      <c r="D1740">
        <v>18</v>
      </c>
      <c r="E1740" t="str">
        <f>VLOOKUP(D1740,'Cadatro Clientes'!A:O,2,2)</f>
        <v>Rio Branco Limonada Ltda</v>
      </c>
      <c r="F1740" t="str">
        <f>VLOOKUP(D1740,'Cadatro Clientes'!A:O,9,2)</f>
        <v>Norte</v>
      </c>
      <c r="G1740" s="15">
        <v>42280</v>
      </c>
      <c r="H1740">
        <f t="shared" si="136"/>
        <v>7</v>
      </c>
      <c r="I1740">
        <f t="shared" si="137"/>
        <v>3</v>
      </c>
      <c r="J1740">
        <f t="shared" si="138"/>
        <v>10</v>
      </c>
      <c r="K1740">
        <f t="shared" si="139"/>
        <v>2015</v>
      </c>
      <c r="M1740">
        <v>12</v>
      </c>
      <c r="N1740" t="str">
        <f>VLOOKUP(M1740,'Cadastro Vendedores'!A:H,2,2)</f>
        <v>Paulo</v>
      </c>
      <c r="O1740" s="2"/>
      <c r="P1740" s="16">
        <v>900</v>
      </c>
      <c r="Q1740" s="2">
        <f>VLOOKUP(B1740,'Cadastro Produtos'!A:F,5,2)</f>
        <v>15</v>
      </c>
      <c r="R1740" s="14">
        <f t="shared" si="135"/>
        <v>13500</v>
      </c>
    </row>
    <row r="1741" spans="1:18" x14ac:dyDescent="0.25">
      <c r="A1741">
        <v>1740</v>
      </c>
      <c r="B1741">
        <v>4</v>
      </c>
      <c r="C1741" t="str">
        <f>VLOOKUP(B1741,'Cadastro Produtos'!A:E,2,2)</f>
        <v>Limonada Beta Zero 500 ml</v>
      </c>
      <c r="D1741">
        <v>2</v>
      </c>
      <c r="E1741" t="str">
        <f>VLOOKUP(D1741,'Cadatro Clientes'!A:O,2,2)</f>
        <v>Limão S/A</v>
      </c>
      <c r="F1741" t="str">
        <f>VLOOKUP(D1741,'Cadatro Clientes'!A:O,9,2)</f>
        <v>Centro-Oeste</v>
      </c>
      <c r="G1741" s="15">
        <v>42280</v>
      </c>
      <c r="H1741">
        <f t="shared" si="136"/>
        <v>7</v>
      </c>
      <c r="I1741">
        <f t="shared" si="137"/>
        <v>3</v>
      </c>
      <c r="J1741">
        <f t="shared" si="138"/>
        <v>10</v>
      </c>
      <c r="K1741">
        <f t="shared" si="139"/>
        <v>2015</v>
      </c>
      <c r="M1741">
        <v>4</v>
      </c>
      <c r="N1741" t="str">
        <f>VLOOKUP(M1741,'Cadastro Vendedores'!A:H,2,2)</f>
        <v>José</v>
      </c>
      <c r="O1741" s="2"/>
      <c r="P1741" s="16">
        <v>6200</v>
      </c>
      <c r="Q1741" s="2">
        <f>VLOOKUP(B1741,'Cadastro Produtos'!A:F,5,2)</f>
        <v>7</v>
      </c>
      <c r="R1741" s="14">
        <f t="shared" si="135"/>
        <v>43400</v>
      </c>
    </row>
    <row r="1742" spans="1:18" x14ac:dyDescent="0.25">
      <c r="A1742">
        <v>1741</v>
      </c>
      <c r="B1742">
        <v>10</v>
      </c>
      <c r="C1742" t="str">
        <f>VLOOKUP(B1742,'Cadastro Produtos'!A:E,2,2)</f>
        <v>Limonada Alfa com Hortelã Zero 1 L</v>
      </c>
      <c r="D1742">
        <v>14</v>
      </c>
      <c r="E1742" t="str">
        <f>VLOOKUP(D1742,'Cadatro Clientes'!A:O,2,2)</f>
        <v>Sprite</v>
      </c>
      <c r="F1742" t="str">
        <f>VLOOKUP(D1742,'Cadatro Clientes'!A:O,9,2)</f>
        <v>Norte</v>
      </c>
      <c r="G1742" s="15">
        <v>42280</v>
      </c>
      <c r="H1742">
        <f t="shared" si="136"/>
        <v>7</v>
      </c>
      <c r="I1742">
        <f t="shared" si="137"/>
        <v>3</v>
      </c>
      <c r="J1742">
        <f t="shared" si="138"/>
        <v>10</v>
      </c>
      <c r="K1742">
        <f t="shared" si="139"/>
        <v>2015</v>
      </c>
      <c r="M1742">
        <v>13</v>
      </c>
      <c r="N1742" t="str">
        <f>VLOOKUP(M1742,'Cadastro Vendedores'!A:H,2,2)</f>
        <v>Andre</v>
      </c>
      <c r="O1742" s="2"/>
      <c r="P1742" s="16">
        <v>3200</v>
      </c>
      <c r="Q1742" s="2">
        <f>VLOOKUP(B1742,'Cadastro Produtos'!A:F,5,2)</f>
        <v>21</v>
      </c>
      <c r="R1742" s="14">
        <f t="shared" si="135"/>
        <v>67200</v>
      </c>
    </row>
    <row r="1743" spans="1:18" x14ac:dyDescent="0.25">
      <c r="A1743">
        <v>1742</v>
      </c>
      <c r="B1743">
        <v>4</v>
      </c>
      <c r="C1743" t="str">
        <f>VLOOKUP(B1743,'Cadastro Produtos'!A:E,2,2)</f>
        <v>Limonada Beta Zero 500 ml</v>
      </c>
      <c r="D1743">
        <v>14</v>
      </c>
      <c r="E1743" t="str">
        <f>VLOOKUP(D1743,'Cadatro Clientes'!A:O,2,2)</f>
        <v>Sprite</v>
      </c>
      <c r="F1743" t="str">
        <f>VLOOKUP(D1743,'Cadatro Clientes'!A:O,9,2)</f>
        <v>Norte</v>
      </c>
      <c r="G1743" s="15">
        <v>42280</v>
      </c>
      <c r="H1743">
        <f t="shared" si="136"/>
        <v>7</v>
      </c>
      <c r="I1743">
        <f t="shared" si="137"/>
        <v>3</v>
      </c>
      <c r="J1743">
        <f t="shared" si="138"/>
        <v>10</v>
      </c>
      <c r="K1743">
        <f t="shared" si="139"/>
        <v>2015</v>
      </c>
      <c r="M1743">
        <v>7</v>
      </c>
      <c r="N1743" t="str">
        <f>VLOOKUP(M1743,'Cadastro Vendedores'!A:H,2,2)</f>
        <v>Benedito</v>
      </c>
      <c r="O1743" s="2"/>
      <c r="P1743" s="16">
        <v>7900</v>
      </c>
      <c r="Q1743" s="2">
        <f>VLOOKUP(B1743,'Cadastro Produtos'!A:F,5,2)</f>
        <v>7</v>
      </c>
      <c r="R1743" s="14">
        <f t="shared" si="135"/>
        <v>55300</v>
      </c>
    </row>
    <row r="1744" spans="1:18" x14ac:dyDescent="0.25">
      <c r="A1744">
        <v>1743</v>
      </c>
      <c r="B1744">
        <v>5</v>
      </c>
      <c r="C1744" t="str">
        <f>VLOOKUP(B1744,'Cadastro Produtos'!A:E,2,2)</f>
        <v>Limonada Alfa com Açúcar 1 L</v>
      </c>
      <c r="D1744">
        <v>20</v>
      </c>
      <c r="E1744" t="str">
        <f>VLOOKUP(D1744,'Cadatro Clientes'!A:O,2,2)</f>
        <v>Brasil Saúde</v>
      </c>
      <c r="F1744" t="str">
        <f>VLOOKUP(D1744,'Cadatro Clientes'!A:O,9,2)</f>
        <v>Nordeste</v>
      </c>
      <c r="G1744" s="15">
        <v>42280</v>
      </c>
      <c r="H1744">
        <f t="shared" si="136"/>
        <v>7</v>
      </c>
      <c r="I1744">
        <f t="shared" si="137"/>
        <v>3</v>
      </c>
      <c r="J1744">
        <f t="shared" si="138"/>
        <v>10</v>
      </c>
      <c r="K1744">
        <f t="shared" si="139"/>
        <v>2015</v>
      </c>
      <c r="M1744">
        <v>16</v>
      </c>
      <c r="N1744" t="str">
        <f>VLOOKUP(M1744,'Cadastro Vendedores'!A:H,2,2)</f>
        <v>Jose</v>
      </c>
      <c r="O1744" s="2"/>
      <c r="P1744" s="16">
        <v>3900</v>
      </c>
      <c r="Q1744" s="2">
        <f>VLOOKUP(B1744,'Cadastro Produtos'!A:F,5,2)</f>
        <v>15</v>
      </c>
      <c r="R1744" s="14">
        <f t="shared" si="135"/>
        <v>58500</v>
      </c>
    </row>
    <row r="1745" spans="1:18" x14ac:dyDescent="0.25">
      <c r="A1745">
        <v>1744</v>
      </c>
      <c r="B1745">
        <v>5</v>
      </c>
      <c r="C1745" t="str">
        <f>VLOOKUP(B1745,'Cadastro Produtos'!A:E,2,2)</f>
        <v>Limonada Alfa com Açúcar 1 L</v>
      </c>
      <c r="D1745">
        <v>16</v>
      </c>
      <c r="E1745" t="str">
        <f>VLOOKUP(D1745,'Cadatro Clientes'!A:O,2,2)</f>
        <v>Norte Suco</v>
      </c>
      <c r="F1745" t="str">
        <f>VLOOKUP(D1745,'Cadatro Clientes'!A:O,9,2)</f>
        <v>Nordeste</v>
      </c>
      <c r="G1745" s="15">
        <v>42281</v>
      </c>
      <c r="H1745">
        <f t="shared" si="136"/>
        <v>1</v>
      </c>
      <c r="I1745">
        <f t="shared" si="137"/>
        <v>4</v>
      </c>
      <c r="J1745">
        <f t="shared" si="138"/>
        <v>10</v>
      </c>
      <c r="K1745">
        <f t="shared" si="139"/>
        <v>2015</v>
      </c>
      <c r="M1745">
        <v>4</v>
      </c>
      <c r="N1745" t="str">
        <f>VLOOKUP(M1745,'Cadastro Vendedores'!A:H,2,2)</f>
        <v>José</v>
      </c>
      <c r="O1745" s="2"/>
      <c r="P1745" s="16">
        <v>1000</v>
      </c>
      <c r="Q1745" s="2">
        <f>VLOOKUP(B1745,'Cadastro Produtos'!A:F,5,2)</f>
        <v>15</v>
      </c>
      <c r="R1745" s="14">
        <f t="shared" si="135"/>
        <v>15000</v>
      </c>
    </row>
    <row r="1746" spans="1:18" x14ac:dyDescent="0.25">
      <c r="A1746">
        <v>1745</v>
      </c>
      <c r="B1746">
        <v>7</v>
      </c>
      <c r="C1746" t="str">
        <f>VLOOKUP(B1746,'Cadastro Produtos'!A:E,2,2)</f>
        <v>Limonada Alfa Zero 1 L</v>
      </c>
      <c r="D1746">
        <v>6</v>
      </c>
      <c r="E1746" t="str">
        <f>VLOOKUP(D1746,'Cadatro Clientes'!A:O,2,2)</f>
        <v>Lemonade</v>
      </c>
      <c r="F1746" t="str">
        <f>VLOOKUP(D1746,'Cadatro Clientes'!A:O,9,2)</f>
        <v>Norte</v>
      </c>
      <c r="G1746" s="15">
        <v>42281</v>
      </c>
      <c r="H1746">
        <f t="shared" si="136"/>
        <v>1</v>
      </c>
      <c r="I1746">
        <f t="shared" si="137"/>
        <v>4</v>
      </c>
      <c r="J1746">
        <f t="shared" si="138"/>
        <v>10</v>
      </c>
      <c r="K1746">
        <f t="shared" si="139"/>
        <v>2015</v>
      </c>
      <c r="M1746">
        <v>4</v>
      </c>
      <c r="N1746" t="str">
        <f>VLOOKUP(M1746,'Cadastro Vendedores'!A:H,2,2)</f>
        <v>José</v>
      </c>
      <c r="O1746" s="2"/>
      <c r="P1746" s="16">
        <v>3100</v>
      </c>
      <c r="Q1746" s="2">
        <f>VLOOKUP(B1746,'Cadastro Produtos'!A:F,5,2)</f>
        <v>15</v>
      </c>
      <c r="R1746" s="14">
        <f t="shared" si="135"/>
        <v>46500</v>
      </c>
    </row>
    <row r="1747" spans="1:18" x14ac:dyDescent="0.25">
      <c r="A1747">
        <v>1746</v>
      </c>
      <c r="B1747">
        <v>4</v>
      </c>
      <c r="C1747" t="str">
        <f>VLOOKUP(B1747,'Cadastro Produtos'!A:E,2,2)</f>
        <v>Limonada Beta Zero 500 ml</v>
      </c>
      <c r="D1747">
        <v>11</v>
      </c>
      <c r="E1747" t="str">
        <f>VLOOKUP(D1747,'Cadatro Clientes'!A:O,2,2)</f>
        <v>Red Lemon</v>
      </c>
      <c r="F1747" t="str">
        <f>VLOOKUP(D1747,'Cadatro Clientes'!A:O,9,2)</f>
        <v>Sul</v>
      </c>
      <c r="G1747" s="15">
        <v>42281</v>
      </c>
      <c r="H1747">
        <f t="shared" si="136"/>
        <v>1</v>
      </c>
      <c r="I1747">
        <f t="shared" si="137"/>
        <v>4</v>
      </c>
      <c r="J1747">
        <f t="shared" si="138"/>
        <v>10</v>
      </c>
      <c r="K1747">
        <f t="shared" si="139"/>
        <v>2015</v>
      </c>
      <c r="M1747">
        <v>6</v>
      </c>
      <c r="N1747" t="str">
        <f>VLOOKUP(M1747,'Cadastro Vendedores'!A:H,2,2)</f>
        <v>Antônia</v>
      </c>
      <c r="O1747" s="2"/>
      <c r="P1747" s="16">
        <v>4700</v>
      </c>
      <c r="Q1747" s="2">
        <f>VLOOKUP(B1747,'Cadastro Produtos'!A:F,5,2)</f>
        <v>7</v>
      </c>
      <c r="R1747" s="14">
        <f t="shared" si="135"/>
        <v>32900</v>
      </c>
    </row>
    <row r="1748" spans="1:18" x14ac:dyDescent="0.25">
      <c r="A1748">
        <v>1747</v>
      </c>
      <c r="B1748">
        <v>3</v>
      </c>
      <c r="C1748" t="str">
        <f>VLOOKUP(B1748,'Cadastro Produtos'!A:E,2,2)</f>
        <v>Limonada Alfa Zero 500 ml</v>
      </c>
      <c r="D1748">
        <v>3</v>
      </c>
      <c r="E1748" t="str">
        <f>VLOOKUP(D1748,'Cadatro Clientes'!A:O,2,2)</f>
        <v>Limonada Suíça Ltda</v>
      </c>
      <c r="F1748" t="str">
        <f>VLOOKUP(D1748,'Cadatro Clientes'!A:O,9,2)</f>
        <v>Nordeste</v>
      </c>
      <c r="G1748" s="15">
        <v>42282</v>
      </c>
      <c r="H1748">
        <f t="shared" si="136"/>
        <v>2</v>
      </c>
      <c r="I1748">
        <f t="shared" si="137"/>
        <v>5</v>
      </c>
      <c r="J1748">
        <f t="shared" si="138"/>
        <v>10</v>
      </c>
      <c r="K1748">
        <f t="shared" si="139"/>
        <v>2015</v>
      </c>
      <c r="M1748">
        <v>3</v>
      </c>
      <c r="N1748" t="str">
        <f>VLOOKUP(M1748,'Cadastro Vendedores'!A:H,2,2)</f>
        <v>Antônia</v>
      </c>
      <c r="O1748" s="2"/>
      <c r="P1748" s="16">
        <v>6200</v>
      </c>
      <c r="Q1748" s="2">
        <f>VLOOKUP(B1748,'Cadastro Produtos'!A:F,5,2)</f>
        <v>9</v>
      </c>
      <c r="R1748" s="14">
        <f t="shared" si="135"/>
        <v>55800</v>
      </c>
    </row>
    <row r="1749" spans="1:18" x14ac:dyDescent="0.25">
      <c r="A1749">
        <v>1748</v>
      </c>
      <c r="B1749">
        <v>9</v>
      </c>
      <c r="C1749" t="str">
        <f>VLOOKUP(B1749,'Cadastro Produtos'!A:E,2,2)</f>
        <v>Limonada Alfa com Hortelã e Açúcar 1 L</v>
      </c>
      <c r="D1749">
        <v>3</v>
      </c>
      <c r="E1749" t="str">
        <f>VLOOKUP(D1749,'Cadatro Clientes'!A:O,2,2)</f>
        <v>Limonada Suíça Ltda</v>
      </c>
      <c r="F1749" t="str">
        <f>VLOOKUP(D1749,'Cadatro Clientes'!A:O,9,2)</f>
        <v>Nordeste</v>
      </c>
      <c r="G1749" s="15">
        <v>42282</v>
      </c>
      <c r="H1749">
        <f t="shared" si="136"/>
        <v>2</v>
      </c>
      <c r="I1749">
        <f t="shared" si="137"/>
        <v>5</v>
      </c>
      <c r="J1749">
        <f t="shared" si="138"/>
        <v>10</v>
      </c>
      <c r="K1749">
        <f t="shared" si="139"/>
        <v>2015</v>
      </c>
      <c r="M1749">
        <v>2</v>
      </c>
      <c r="N1749" t="str">
        <f>VLOOKUP(M1749,'Cadastro Vendedores'!A:H,2,2)</f>
        <v>Luis</v>
      </c>
      <c r="O1749" s="2"/>
      <c r="P1749" s="16">
        <v>1900</v>
      </c>
      <c r="Q1749" s="2">
        <f>VLOOKUP(B1749,'Cadastro Produtos'!A:F,5,2)</f>
        <v>17.5</v>
      </c>
      <c r="R1749" s="14">
        <f t="shared" si="135"/>
        <v>33250</v>
      </c>
    </row>
    <row r="1750" spans="1:18" x14ac:dyDescent="0.25">
      <c r="A1750">
        <v>1749</v>
      </c>
      <c r="B1750">
        <v>9</v>
      </c>
      <c r="C1750" t="str">
        <f>VLOOKUP(B1750,'Cadastro Produtos'!A:E,2,2)</f>
        <v>Limonada Alfa com Hortelã e Açúcar 1 L</v>
      </c>
      <c r="D1750">
        <v>1</v>
      </c>
      <c r="E1750" t="str">
        <f>VLOOKUP(D1750,'Cadatro Clientes'!A:O,2,2)</f>
        <v>Meu Suco de Limão</v>
      </c>
      <c r="F1750" t="str">
        <f>VLOOKUP(D1750,'Cadatro Clientes'!A:O,9,2)</f>
        <v>Norte</v>
      </c>
      <c r="G1750" s="15">
        <v>42282</v>
      </c>
      <c r="H1750">
        <f t="shared" si="136"/>
        <v>2</v>
      </c>
      <c r="I1750">
        <f t="shared" si="137"/>
        <v>5</v>
      </c>
      <c r="J1750">
        <f t="shared" si="138"/>
        <v>10</v>
      </c>
      <c r="K1750">
        <f t="shared" si="139"/>
        <v>2015</v>
      </c>
      <c r="M1750">
        <v>3</v>
      </c>
      <c r="N1750" t="str">
        <f>VLOOKUP(M1750,'Cadastro Vendedores'!A:H,2,2)</f>
        <v>Antônia</v>
      </c>
      <c r="O1750" s="2"/>
      <c r="P1750" s="16">
        <v>3200</v>
      </c>
      <c r="Q1750" s="2">
        <f>VLOOKUP(B1750,'Cadastro Produtos'!A:F,5,2)</f>
        <v>17.5</v>
      </c>
      <c r="R1750" s="14">
        <f t="shared" si="135"/>
        <v>56000</v>
      </c>
    </row>
    <row r="1751" spans="1:18" x14ac:dyDescent="0.25">
      <c r="A1751">
        <v>1750</v>
      </c>
      <c r="B1751">
        <v>5</v>
      </c>
      <c r="C1751" t="str">
        <f>VLOOKUP(B1751,'Cadastro Produtos'!A:E,2,2)</f>
        <v>Limonada Alfa com Açúcar 1 L</v>
      </c>
      <c r="D1751">
        <v>20</v>
      </c>
      <c r="E1751" t="str">
        <f>VLOOKUP(D1751,'Cadatro Clientes'!A:O,2,2)</f>
        <v>Brasil Saúde</v>
      </c>
      <c r="F1751" t="str">
        <f>VLOOKUP(D1751,'Cadatro Clientes'!A:O,9,2)</f>
        <v>Nordeste</v>
      </c>
      <c r="G1751" s="15">
        <v>42282</v>
      </c>
      <c r="H1751">
        <f t="shared" si="136"/>
        <v>2</v>
      </c>
      <c r="I1751">
        <f t="shared" si="137"/>
        <v>5</v>
      </c>
      <c r="J1751">
        <f t="shared" si="138"/>
        <v>10</v>
      </c>
      <c r="K1751">
        <f t="shared" si="139"/>
        <v>2015</v>
      </c>
      <c r="M1751">
        <v>13</v>
      </c>
      <c r="N1751" t="str">
        <f>VLOOKUP(M1751,'Cadastro Vendedores'!A:H,2,2)</f>
        <v>Andre</v>
      </c>
      <c r="O1751" s="2"/>
      <c r="P1751" s="16">
        <v>1400</v>
      </c>
      <c r="Q1751" s="2">
        <f>VLOOKUP(B1751,'Cadastro Produtos'!A:F,5,2)</f>
        <v>15</v>
      </c>
      <c r="R1751" s="14">
        <f t="shared" si="135"/>
        <v>21000</v>
      </c>
    </row>
    <row r="1752" spans="1:18" x14ac:dyDescent="0.25">
      <c r="A1752">
        <v>1751</v>
      </c>
      <c r="B1752">
        <v>9</v>
      </c>
      <c r="C1752" t="str">
        <f>VLOOKUP(B1752,'Cadastro Produtos'!A:E,2,2)</f>
        <v>Limonada Alfa com Hortelã e Açúcar 1 L</v>
      </c>
      <c r="D1752">
        <v>17</v>
      </c>
      <c r="E1752" t="str">
        <f>VLOOKUP(D1752,'Cadatro Clientes'!A:O,2,2)</f>
        <v>Aracasuco</v>
      </c>
      <c r="F1752" t="str">
        <f>VLOOKUP(D1752,'Cadatro Clientes'!A:O,9,2)</f>
        <v>Nordeste</v>
      </c>
      <c r="G1752" s="15">
        <v>42282</v>
      </c>
      <c r="H1752">
        <f t="shared" si="136"/>
        <v>2</v>
      </c>
      <c r="I1752">
        <f t="shared" si="137"/>
        <v>5</v>
      </c>
      <c r="J1752">
        <f t="shared" si="138"/>
        <v>10</v>
      </c>
      <c r="K1752">
        <f t="shared" si="139"/>
        <v>2015</v>
      </c>
      <c r="M1752">
        <v>6</v>
      </c>
      <c r="N1752" t="str">
        <f>VLOOKUP(M1752,'Cadastro Vendedores'!A:H,2,2)</f>
        <v>Antônia</v>
      </c>
      <c r="O1752" s="2"/>
      <c r="P1752" s="16">
        <v>3700</v>
      </c>
      <c r="Q1752" s="2">
        <f>VLOOKUP(B1752,'Cadastro Produtos'!A:F,5,2)</f>
        <v>17.5</v>
      </c>
      <c r="R1752" s="14">
        <f t="shared" si="135"/>
        <v>64750</v>
      </c>
    </row>
    <row r="1753" spans="1:18" x14ac:dyDescent="0.25">
      <c r="A1753">
        <v>1752</v>
      </c>
      <c r="B1753">
        <v>8</v>
      </c>
      <c r="C1753" t="str">
        <f>VLOOKUP(B1753,'Cadastro Produtos'!A:E,2,2)</f>
        <v>Limonada Beta Zero 1 L</v>
      </c>
      <c r="D1753">
        <v>2</v>
      </c>
      <c r="E1753" t="str">
        <f>VLOOKUP(D1753,'Cadatro Clientes'!A:O,2,2)</f>
        <v>Limão S/A</v>
      </c>
      <c r="F1753" t="str">
        <f>VLOOKUP(D1753,'Cadatro Clientes'!A:O,9,2)</f>
        <v>Centro-Oeste</v>
      </c>
      <c r="G1753" s="15">
        <v>42282</v>
      </c>
      <c r="H1753">
        <f t="shared" si="136"/>
        <v>2</v>
      </c>
      <c r="I1753">
        <f t="shared" si="137"/>
        <v>5</v>
      </c>
      <c r="J1753">
        <f t="shared" si="138"/>
        <v>10</v>
      </c>
      <c r="K1753">
        <f t="shared" si="139"/>
        <v>2015</v>
      </c>
      <c r="M1753">
        <v>15</v>
      </c>
      <c r="N1753" t="str">
        <f>VLOOKUP(M1753,'Cadastro Vendedores'!A:H,2,2)</f>
        <v>Luis</v>
      </c>
      <c r="O1753" s="2"/>
      <c r="P1753" s="16">
        <v>1700</v>
      </c>
      <c r="Q1753" s="2">
        <f>VLOOKUP(B1753,'Cadastro Produtos'!A:F,5,2)</f>
        <v>12</v>
      </c>
      <c r="R1753" s="14">
        <f t="shared" si="135"/>
        <v>20400</v>
      </c>
    </row>
    <row r="1754" spans="1:18" x14ac:dyDescent="0.25">
      <c r="A1754">
        <v>1753</v>
      </c>
      <c r="B1754">
        <v>1</v>
      </c>
      <c r="C1754" t="str">
        <f>VLOOKUP(B1754,'Cadastro Produtos'!A:E,2,2)</f>
        <v>Limonada Alfa com Açúcar 500 ml</v>
      </c>
      <c r="D1754">
        <v>10</v>
      </c>
      <c r="E1754" t="str">
        <f>VLOOKUP(D1754,'Cadatro Clientes'!A:O,2,2)</f>
        <v>Lemon Gator</v>
      </c>
      <c r="F1754" t="str">
        <f>VLOOKUP(D1754,'Cadatro Clientes'!A:O,9,2)</f>
        <v>Nordeste</v>
      </c>
      <c r="G1754" s="15">
        <v>42282</v>
      </c>
      <c r="H1754">
        <f t="shared" si="136"/>
        <v>2</v>
      </c>
      <c r="I1754">
        <f t="shared" si="137"/>
        <v>5</v>
      </c>
      <c r="J1754">
        <f t="shared" si="138"/>
        <v>10</v>
      </c>
      <c r="K1754">
        <f t="shared" si="139"/>
        <v>2015</v>
      </c>
      <c r="M1754">
        <v>4</v>
      </c>
      <c r="N1754" t="str">
        <f>VLOOKUP(M1754,'Cadastro Vendedores'!A:H,2,2)</f>
        <v>José</v>
      </c>
      <c r="O1754" s="2"/>
      <c r="P1754" s="16">
        <v>4000</v>
      </c>
      <c r="Q1754" s="2">
        <f>VLOOKUP(B1754,'Cadastro Produtos'!A:F,5,2)</f>
        <v>8.5</v>
      </c>
      <c r="R1754" s="14">
        <f t="shared" si="135"/>
        <v>34000</v>
      </c>
    </row>
    <row r="1755" spans="1:18" x14ac:dyDescent="0.25">
      <c r="A1755">
        <v>1754</v>
      </c>
      <c r="B1755">
        <v>7</v>
      </c>
      <c r="C1755" t="str">
        <f>VLOOKUP(B1755,'Cadastro Produtos'!A:E,2,2)</f>
        <v>Limonada Alfa Zero 1 L</v>
      </c>
      <c r="D1755">
        <v>1</v>
      </c>
      <c r="E1755" t="str">
        <f>VLOOKUP(D1755,'Cadatro Clientes'!A:O,2,2)</f>
        <v>Meu Suco de Limão</v>
      </c>
      <c r="F1755" t="str">
        <f>VLOOKUP(D1755,'Cadatro Clientes'!A:O,9,2)</f>
        <v>Norte</v>
      </c>
      <c r="G1755" s="15">
        <v>42283</v>
      </c>
      <c r="H1755">
        <f t="shared" si="136"/>
        <v>3</v>
      </c>
      <c r="I1755">
        <f t="shared" si="137"/>
        <v>6</v>
      </c>
      <c r="J1755">
        <f t="shared" si="138"/>
        <v>10</v>
      </c>
      <c r="K1755">
        <f t="shared" si="139"/>
        <v>2015</v>
      </c>
      <c r="M1755">
        <v>6</v>
      </c>
      <c r="N1755" t="str">
        <f>VLOOKUP(M1755,'Cadastro Vendedores'!A:H,2,2)</f>
        <v>Antônia</v>
      </c>
      <c r="O1755" s="2"/>
      <c r="P1755" s="16">
        <v>1400</v>
      </c>
      <c r="Q1755" s="2">
        <f>VLOOKUP(B1755,'Cadastro Produtos'!A:F,5,2)</f>
        <v>15</v>
      </c>
      <c r="R1755" s="14">
        <f t="shared" si="135"/>
        <v>21000</v>
      </c>
    </row>
    <row r="1756" spans="1:18" x14ac:dyDescent="0.25">
      <c r="A1756">
        <v>1755</v>
      </c>
      <c r="B1756">
        <v>4</v>
      </c>
      <c r="C1756" t="str">
        <f>VLOOKUP(B1756,'Cadastro Produtos'!A:E,2,2)</f>
        <v>Limonada Beta Zero 500 ml</v>
      </c>
      <c r="D1756">
        <v>8</v>
      </c>
      <c r="E1756" t="str">
        <f>VLOOKUP(D1756,'Cadatro Clientes'!A:O,2,2)</f>
        <v>Refresko</v>
      </c>
      <c r="F1756" t="str">
        <f>VLOOKUP(D1756,'Cadatro Clientes'!A:O,9,2)</f>
        <v>Sul</v>
      </c>
      <c r="G1756" s="15">
        <v>42283</v>
      </c>
      <c r="H1756">
        <f t="shared" si="136"/>
        <v>3</v>
      </c>
      <c r="I1756">
        <f t="shared" si="137"/>
        <v>6</v>
      </c>
      <c r="J1756">
        <f t="shared" si="138"/>
        <v>10</v>
      </c>
      <c r="K1756">
        <f t="shared" si="139"/>
        <v>2015</v>
      </c>
      <c r="M1756">
        <v>12</v>
      </c>
      <c r="N1756" t="str">
        <f>VLOOKUP(M1756,'Cadastro Vendedores'!A:H,2,2)</f>
        <v>Paulo</v>
      </c>
      <c r="O1756" s="2"/>
      <c r="P1756" s="16">
        <v>8700</v>
      </c>
      <c r="Q1756" s="2">
        <f>VLOOKUP(B1756,'Cadastro Produtos'!A:F,5,2)</f>
        <v>7</v>
      </c>
      <c r="R1756" s="14">
        <f t="shared" si="135"/>
        <v>60900</v>
      </c>
    </row>
    <row r="1757" spans="1:18" x14ac:dyDescent="0.25">
      <c r="A1757">
        <v>1756</v>
      </c>
      <c r="B1757">
        <v>1</v>
      </c>
      <c r="C1757" t="str">
        <f>VLOOKUP(B1757,'Cadastro Produtos'!A:E,2,2)</f>
        <v>Limonada Alfa com Açúcar 500 ml</v>
      </c>
      <c r="D1757">
        <v>7</v>
      </c>
      <c r="E1757" t="str">
        <f>VLOOKUP(D1757,'Cadatro Clientes'!A:O,2,2)</f>
        <v>Limo</v>
      </c>
      <c r="F1757" t="str">
        <f>VLOOKUP(D1757,'Cadatro Clientes'!A:O,9,2)</f>
        <v>Centro-Oeste</v>
      </c>
      <c r="G1757" s="15">
        <v>42283</v>
      </c>
      <c r="H1757">
        <f t="shared" si="136"/>
        <v>3</v>
      </c>
      <c r="I1757">
        <f t="shared" si="137"/>
        <v>6</v>
      </c>
      <c r="J1757">
        <f t="shared" si="138"/>
        <v>10</v>
      </c>
      <c r="K1757">
        <f t="shared" si="139"/>
        <v>2015</v>
      </c>
      <c r="M1757">
        <v>15</v>
      </c>
      <c r="N1757" t="str">
        <f>VLOOKUP(M1757,'Cadastro Vendedores'!A:H,2,2)</f>
        <v>Luis</v>
      </c>
      <c r="O1757" s="2"/>
      <c r="P1757" s="16">
        <v>6200</v>
      </c>
      <c r="Q1757" s="2">
        <f>VLOOKUP(B1757,'Cadastro Produtos'!A:F,5,2)</f>
        <v>8.5</v>
      </c>
      <c r="R1757" s="14">
        <f t="shared" si="135"/>
        <v>52700</v>
      </c>
    </row>
    <row r="1758" spans="1:18" x14ac:dyDescent="0.25">
      <c r="A1758">
        <v>1757</v>
      </c>
      <c r="B1758">
        <v>9</v>
      </c>
      <c r="C1758" t="str">
        <f>VLOOKUP(B1758,'Cadastro Produtos'!A:E,2,2)</f>
        <v>Limonada Alfa com Hortelã e Açúcar 1 L</v>
      </c>
      <c r="D1758">
        <v>17</v>
      </c>
      <c r="E1758" t="str">
        <f>VLOOKUP(D1758,'Cadatro Clientes'!A:O,2,2)</f>
        <v>Aracasuco</v>
      </c>
      <c r="F1758" t="str">
        <f>VLOOKUP(D1758,'Cadatro Clientes'!A:O,9,2)</f>
        <v>Nordeste</v>
      </c>
      <c r="G1758" s="15">
        <v>42283</v>
      </c>
      <c r="H1758">
        <f t="shared" si="136"/>
        <v>3</v>
      </c>
      <c r="I1758">
        <f t="shared" si="137"/>
        <v>6</v>
      </c>
      <c r="J1758">
        <f t="shared" si="138"/>
        <v>10</v>
      </c>
      <c r="K1758">
        <f t="shared" si="139"/>
        <v>2015</v>
      </c>
      <c r="M1758">
        <v>7</v>
      </c>
      <c r="N1758" t="str">
        <f>VLOOKUP(M1758,'Cadastro Vendedores'!A:H,2,2)</f>
        <v>Benedito</v>
      </c>
      <c r="O1758" s="2"/>
      <c r="P1758" s="16">
        <v>2400</v>
      </c>
      <c r="Q1758" s="2">
        <f>VLOOKUP(B1758,'Cadastro Produtos'!A:F,5,2)</f>
        <v>17.5</v>
      </c>
      <c r="R1758" s="14">
        <f t="shared" si="135"/>
        <v>42000</v>
      </c>
    </row>
    <row r="1759" spans="1:18" x14ac:dyDescent="0.25">
      <c r="A1759">
        <v>1758</v>
      </c>
      <c r="B1759">
        <v>10</v>
      </c>
      <c r="C1759" t="str">
        <f>VLOOKUP(B1759,'Cadastro Produtos'!A:E,2,2)</f>
        <v>Limonada Alfa com Hortelã Zero 1 L</v>
      </c>
      <c r="D1759">
        <v>6</v>
      </c>
      <c r="E1759" t="str">
        <f>VLOOKUP(D1759,'Cadatro Clientes'!A:O,2,2)</f>
        <v>Lemonade</v>
      </c>
      <c r="F1759" t="str">
        <f>VLOOKUP(D1759,'Cadatro Clientes'!A:O,9,2)</f>
        <v>Norte</v>
      </c>
      <c r="G1759" s="15">
        <v>42283</v>
      </c>
      <c r="H1759">
        <f t="shared" si="136"/>
        <v>3</v>
      </c>
      <c r="I1759">
        <f t="shared" si="137"/>
        <v>6</v>
      </c>
      <c r="J1759">
        <f t="shared" si="138"/>
        <v>10</v>
      </c>
      <c r="K1759">
        <f t="shared" si="139"/>
        <v>2015</v>
      </c>
      <c r="M1759">
        <v>6</v>
      </c>
      <c r="N1759" t="str">
        <f>VLOOKUP(M1759,'Cadastro Vendedores'!A:H,2,2)</f>
        <v>Antônia</v>
      </c>
      <c r="O1759" s="2"/>
      <c r="P1759" s="16">
        <v>1300</v>
      </c>
      <c r="Q1759" s="2">
        <f>VLOOKUP(B1759,'Cadastro Produtos'!A:F,5,2)</f>
        <v>21</v>
      </c>
      <c r="R1759" s="14">
        <f t="shared" si="135"/>
        <v>27300</v>
      </c>
    </row>
    <row r="1760" spans="1:18" x14ac:dyDescent="0.25">
      <c r="A1760">
        <v>1759</v>
      </c>
      <c r="B1760">
        <v>4</v>
      </c>
      <c r="C1760" t="str">
        <f>VLOOKUP(B1760,'Cadastro Produtos'!A:E,2,2)</f>
        <v>Limonada Beta Zero 500 ml</v>
      </c>
      <c r="D1760">
        <v>1</v>
      </c>
      <c r="E1760" t="str">
        <f>VLOOKUP(D1760,'Cadatro Clientes'!A:O,2,2)</f>
        <v>Meu Suco de Limão</v>
      </c>
      <c r="F1760" t="str">
        <f>VLOOKUP(D1760,'Cadatro Clientes'!A:O,9,2)</f>
        <v>Norte</v>
      </c>
      <c r="G1760" s="15">
        <v>42284</v>
      </c>
      <c r="H1760">
        <f t="shared" si="136"/>
        <v>4</v>
      </c>
      <c r="I1760">
        <f t="shared" si="137"/>
        <v>7</v>
      </c>
      <c r="J1760">
        <f t="shared" si="138"/>
        <v>10</v>
      </c>
      <c r="K1760">
        <f t="shared" si="139"/>
        <v>2015</v>
      </c>
      <c r="M1760">
        <v>7</v>
      </c>
      <c r="N1760" t="str">
        <f>VLOOKUP(M1760,'Cadastro Vendedores'!A:H,2,2)</f>
        <v>Benedito</v>
      </c>
      <c r="O1760" s="2"/>
      <c r="P1760" s="16">
        <v>3500</v>
      </c>
      <c r="Q1760" s="2">
        <f>VLOOKUP(B1760,'Cadastro Produtos'!A:F,5,2)</f>
        <v>7</v>
      </c>
      <c r="R1760" s="14">
        <f t="shared" si="135"/>
        <v>24500</v>
      </c>
    </row>
    <row r="1761" spans="1:18" x14ac:dyDescent="0.25">
      <c r="A1761">
        <v>1760</v>
      </c>
      <c r="B1761">
        <v>6</v>
      </c>
      <c r="C1761" t="str">
        <f>VLOOKUP(B1761,'Cadastro Produtos'!A:E,2,2)</f>
        <v>Limonada Beta com Açúcar 1 L</v>
      </c>
      <c r="D1761">
        <v>7</v>
      </c>
      <c r="E1761" t="str">
        <f>VLOOKUP(D1761,'Cadatro Clientes'!A:O,2,2)</f>
        <v>Limo</v>
      </c>
      <c r="F1761" t="str">
        <f>VLOOKUP(D1761,'Cadatro Clientes'!A:O,9,2)</f>
        <v>Centro-Oeste</v>
      </c>
      <c r="G1761" s="15">
        <v>42284</v>
      </c>
      <c r="H1761">
        <f t="shared" si="136"/>
        <v>4</v>
      </c>
      <c r="I1761">
        <f t="shared" si="137"/>
        <v>7</v>
      </c>
      <c r="J1761">
        <f t="shared" si="138"/>
        <v>10</v>
      </c>
      <c r="K1761">
        <f t="shared" si="139"/>
        <v>2015</v>
      </c>
      <c r="M1761">
        <v>4</v>
      </c>
      <c r="N1761" t="str">
        <f>VLOOKUP(M1761,'Cadastro Vendedores'!A:H,2,2)</f>
        <v>José</v>
      </c>
      <c r="O1761" s="2"/>
      <c r="P1761" s="16">
        <v>2000</v>
      </c>
      <c r="Q1761" s="2">
        <f>VLOOKUP(B1761,'Cadastro Produtos'!A:F,5,2)</f>
        <v>12</v>
      </c>
      <c r="R1761" s="14">
        <f t="shared" si="135"/>
        <v>24000</v>
      </c>
    </row>
    <row r="1762" spans="1:18" x14ac:dyDescent="0.25">
      <c r="A1762">
        <v>1761</v>
      </c>
      <c r="B1762">
        <v>9</v>
      </c>
      <c r="C1762" t="str">
        <f>VLOOKUP(B1762,'Cadastro Produtos'!A:E,2,2)</f>
        <v>Limonada Alfa com Hortelã e Açúcar 1 L</v>
      </c>
      <c r="D1762">
        <v>14</v>
      </c>
      <c r="E1762" t="str">
        <f>VLOOKUP(D1762,'Cadatro Clientes'!A:O,2,2)</f>
        <v>Sprite</v>
      </c>
      <c r="F1762" t="str">
        <f>VLOOKUP(D1762,'Cadatro Clientes'!A:O,9,2)</f>
        <v>Norte</v>
      </c>
      <c r="G1762" s="15">
        <v>42285</v>
      </c>
      <c r="H1762">
        <f t="shared" si="136"/>
        <v>5</v>
      </c>
      <c r="I1762">
        <f t="shared" si="137"/>
        <v>8</v>
      </c>
      <c r="J1762">
        <f t="shared" si="138"/>
        <v>10</v>
      </c>
      <c r="K1762">
        <f t="shared" si="139"/>
        <v>2015</v>
      </c>
      <c r="M1762">
        <v>9</v>
      </c>
      <c r="N1762" t="str">
        <f>VLOOKUP(M1762,'Cadastro Vendedores'!A:H,2,2)</f>
        <v>Adriana</v>
      </c>
      <c r="O1762" s="2"/>
      <c r="P1762" s="16">
        <v>1000</v>
      </c>
      <c r="Q1762" s="2">
        <f>VLOOKUP(B1762,'Cadastro Produtos'!A:F,5,2)</f>
        <v>17.5</v>
      </c>
      <c r="R1762" s="14">
        <f t="shared" si="135"/>
        <v>17500</v>
      </c>
    </row>
    <row r="1763" spans="1:18" x14ac:dyDescent="0.25">
      <c r="A1763">
        <v>1762</v>
      </c>
      <c r="B1763">
        <v>8</v>
      </c>
      <c r="C1763" t="str">
        <f>VLOOKUP(B1763,'Cadastro Produtos'!A:E,2,2)</f>
        <v>Limonada Beta Zero 1 L</v>
      </c>
      <c r="D1763">
        <v>10</v>
      </c>
      <c r="E1763" t="str">
        <f>VLOOKUP(D1763,'Cadatro Clientes'!A:O,2,2)</f>
        <v>Lemon Gator</v>
      </c>
      <c r="F1763" t="str">
        <f>VLOOKUP(D1763,'Cadatro Clientes'!A:O,9,2)</f>
        <v>Nordeste</v>
      </c>
      <c r="G1763" s="15">
        <v>42285</v>
      </c>
      <c r="H1763">
        <f t="shared" si="136"/>
        <v>5</v>
      </c>
      <c r="I1763">
        <f t="shared" si="137"/>
        <v>8</v>
      </c>
      <c r="J1763">
        <f t="shared" si="138"/>
        <v>10</v>
      </c>
      <c r="K1763">
        <f t="shared" si="139"/>
        <v>2015</v>
      </c>
      <c r="M1763">
        <v>8</v>
      </c>
      <c r="N1763" t="str">
        <f>VLOOKUP(M1763,'Cadastro Vendedores'!A:H,2,2)</f>
        <v>Sérgio</v>
      </c>
      <c r="O1763" s="2"/>
      <c r="P1763" s="16">
        <v>2900</v>
      </c>
      <c r="Q1763" s="2">
        <f>VLOOKUP(B1763,'Cadastro Produtos'!A:F,5,2)</f>
        <v>12</v>
      </c>
      <c r="R1763" s="14">
        <f t="shared" si="135"/>
        <v>34800</v>
      </c>
    </row>
    <row r="1764" spans="1:18" x14ac:dyDescent="0.25">
      <c r="A1764">
        <v>1763</v>
      </c>
      <c r="B1764">
        <v>2</v>
      </c>
      <c r="C1764" t="str">
        <f>VLOOKUP(B1764,'Cadastro Produtos'!A:E,2,2)</f>
        <v>Limonada Beta com Açúcar 500 ml</v>
      </c>
      <c r="D1764">
        <v>20</v>
      </c>
      <c r="E1764" t="str">
        <f>VLOOKUP(D1764,'Cadatro Clientes'!A:O,2,2)</f>
        <v>Brasil Saúde</v>
      </c>
      <c r="F1764" t="str">
        <f>VLOOKUP(D1764,'Cadatro Clientes'!A:O,9,2)</f>
        <v>Nordeste</v>
      </c>
      <c r="G1764" s="15">
        <v>42286</v>
      </c>
      <c r="H1764">
        <f t="shared" si="136"/>
        <v>6</v>
      </c>
      <c r="I1764">
        <f t="shared" si="137"/>
        <v>9</v>
      </c>
      <c r="J1764">
        <f t="shared" si="138"/>
        <v>10</v>
      </c>
      <c r="K1764">
        <f t="shared" si="139"/>
        <v>2015</v>
      </c>
      <c r="M1764">
        <v>16</v>
      </c>
      <c r="N1764" t="str">
        <f>VLOOKUP(M1764,'Cadastro Vendedores'!A:H,2,2)</f>
        <v>Jose</v>
      </c>
      <c r="O1764" s="2"/>
      <c r="P1764" s="16">
        <v>3400</v>
      </c>
      <c r="Q1764" s="2">
        <f>VLOOKUP(B1764,'Cadastro Produtos'!A:F,5,2)</f>
        <v>6.5</v>
      </c>
      <c r="R1764" s="14">
        <f t="shared" si="135"/>
        <v>22100</v>
      </c>
    </row>
    <row r="1765" spans="1:18" x14ac:dyDescent="0.25">
      <c r="A1765">
        <v>1764</v>
      </c>
      <c r="B1765">
        <v>1</v>
      </c>
      <c r="C1765" t="str">
        <f>VLOOKUP(B1765,'Cadastro Produtos'!A:E,2,2)</f>
        <v>Limonada Alfa com Açúcar 500 ml</v>
      </c>
      <c r="D1765">
        <v>10</v>
      </c>
      <c r="E1765" t="str">
        <f>VLOOKUP(D1765,'Cadatro Clientes'!A:O,2,2)</f>
        <v>Lemon Gator</v>
      </c>
      <c r="F1765" t="str">
        <f>VLOOKUP(D1765,'Cadatro Clientes'!A:O,9,2)</f>
        <v>Nordeste</v>
      </c>
      <c r="G1765" s="15">
        <v>42286</v>
      </c>
      <c r="H1765">
        <f t="shared" si="136"/>
        <v>6</v>
      </c>
      <c r="I1765">
        <f t="shared" si="137"/>
        <v>9</v>
      </c>
      <c r="J1765">
        <f t="shared" si="138"/>
        <v>10</v>
      </c>
      <c r="K1765">
        <f t="shared" si="139"/>
        <v>2015</v>
      </c>
      <c r="M1765">
        <v>2</v>
      </c>
      <c r="N1765" t="str">
        <f>VLOOKUP(M1765,'Cadastro Vendedores'!A:H,2,2)</f>
        <v>Luis</v>
      </c>
      <c r="O1765" s="2"/>
      <c r="P1765" s="16">
        <v>4900</v>
      </c>
      <c r="Q1765" s="2">
        <f>VLOOKUP(B1765,'Cadastro Produtos'!A:F,5,2)</f>
        <v>8.5</v>
      </c>
      <c r="R1765" s="14">
        <f t="shared" si="135"/>
        <v>41650</v>
      </c>
    </row>
    <row r="1766" spans="1:18" x14ac:dyDescent="0.25">
      <c r="A1766">
        <v>1765</v>
      </c>
      <c r="B1766">
        <v>6</v>
      </c>
      <c r="C1766" t="str">
        <f>VLOOKUP(B1766,'Cadastro Produtos'!A:E,2,2)</f>
        <v>Limonada Beta com Açúcar 1 L</v>
      </c>
      <c r="D1766">
        <v>13</v>
      </c>
      <c r="E1766" t="str">
        <f>VLOOKUP(D1766,'Cadatro Clientes'!A:O,2,2)</f>
        <v>Monster Lemon</v>
      </c>
      <c r="F1766" t="str">
        <f>VLOOKUP(D1766,'Cadatro Clientes'!A:O,9,2)</f>
        <v>Nordeste</v>
      </c>
      <c r="G1766" s="15">
        <v>42287</v>
      </c>
      <c r="H1766">
        <f t="shared" si="136"/>
        <v>7</v>
      </c>
      <c r="I1766">
        <f t="shared" si="137"/>
        <v>10</v>
      </c>
      <c r="J1766">
        <f t="shared" si="138"/>
        <v>10</v>
      </c>
      <c r="K1766">
        <f t="shared" si="139"/>
        <v>2015</v>
      </c>
      <c r="M1766">
        <v>4</v>
      </c>
      <c r="N1766" t="str">
        <f>VLOOKUP(M1766,'Cadastro Vendedores'!A:H,2,2)</f>
        <v>José</v>
      </c>
      <c r="O1766" s="2"/>
      <c r="P1766" s="16">
        <v>4400</v>
      </c>
      <c r="Q1766" s="2">
        <f>VLOOKUP(B1766,'Cadastro Produtos'!A:F,5,2)</f>
        <v>12</v>
      </c>
      <c r="R1766" s="14">
        <f t="shared" si="135"/>
        <v>52800</v>
      </c>
    </row>
    <row r="1767" spans="1:18" x14ac:dyDescent="0.25">
      <c r="A1767">
        <v>1766</v>
      </c>
      <c r="B1767">
        <v>6</v>
      </c>
      <c r="C1767" t="str">
        <f>VLOOKUP(B1767,'Cadastro Produtos'!A:E,2,2)</f>
        <v>Limonada Beta com Açúcar 1 L</v>
      </c>
      <c r="D1767">
        <v>1</v>
      </c>
      <c r="E1767" t="str">
        <f>VLOOKUP(D1767,'Cadatro Clientes'!A:O,2,2)</f>
        <v>Meu Suco de Limão</v>
      </c>
      <c r="F1767" t="str">
        <f>VLOOKUP(D1767,'Cadatro Clientes'!A:O,9,2)</f>
        <v>Norte</v>
      </c>
      <c r="G1767" s="15">
        <v>42288</v>
      </c>
      <c r="H1767">
        <f t="shared" si="136"/>
        <v>1</v>
      </c>
      <c r="I1767">
        <f t="shared" si="137"/>
        <v>11</v>
      </c>
      <c r="J1767">
        <f t="shared" si="138"/>
        <v>10</v>
      </c>
      <c r="K1767">
        <f t="shared" si="139"/>
        <v>2015</v>
      </c>
      <c r="M1767">
        <v>2</v>
      </c>
      <c r="N1767" t="str">
        <f>VLOOKUP(M1767,'Cadastro Vendedores'!A:H,2,2)</f>
        <v>Luis</v>
      </c>
      <c r="O1767" s="2"/>
      <c r="P1767" s="16">
        <v>4900</v>
      </c>
      <c r="Q1767" s="2">
        <f>VLOOKUP(B1767,'Cadastro Produtos'!A:F,5,2)</f>
        <v>12</v>
      </c>
      <c r="R1767" s="14">
        <f t="shared" si="135"/>
        <v>58800</v>
      </c>
    </row>
    <row r="1768" spans="1:18" x14ac:dyDescent="0.25">
      <c r="A1768">
        <v>1767</v>
      </c>
      <c r="B1768">
        <v>1</v>
      </c>
      <c r="C1768" t="str">
        <f>VLOOKUP(B1768,'Cadastro Produtos'!A:E,2,2)</f>
        <v>Limonada Alfa com Açúcar 500 ml</v>
      </c>
      <c r="D1768">
        <v>1</v>
      </c>
      <c r="E1768" t="str">
        <f>VLOOKUP(D1768,'Cadatro Clientes'!A:O,2,2)</f>
        <v>Meu Suco de Limão</v>
      </c>
      <c r="F1768" t="str">
        <f>VLOOKUP(D1768,'Cadatro Clientes'!A:O,9,2)</f>
        <v>Norte</v>
      </c>
      <c r="G1768" s="15">
        <v>42288</v>
      </c>
      <c r="H1768">
        <f t="shared" si="136"/>
        <v>1</v>
      </c>
      <c r="I1768">
        <f t="shared" si="137"/>
        <v>11</v>
      </c>
      <c r="J1768">
        <f t="shared" si="138"/>
        <v>10</v>
      </c>
      <c r="K1768">
        <f t="shared" si="139"/>
        <v>2015</v>
      </c>
      <c r="M1768">
        <v>7</v>
      </c>
      <c r="N1768" t="str">
        <f>VLOOKUP(M1768,'Cadastro Vendedores'!A:H,2,2)</f>
        <v>Benedito</v>
      </c>
      <c r="O1768" s="2"/>
      <c r="P1768" s="16">
        <v>3600</v>
      </c>
      <c r="Q1768" s="2">
        <f>VLOOKUP(B1768,'Cadastro Produtos'!A:F,5,2)</f>
        <v>8.5</v>
      </c>
      <c r="R1768" s="14">
        <f t="shared" si="135"/>
        <v>30600</v>
      </c>
    </row>
    <row r="1769" spans="1:18" x14ac:dyDescent="0.25">
      <c r="A1769">
        <v>1768</v>
      </c>
      <c r="B1769">
        <v>1</v>
      </c>
      <c r="C1769" t="str">
        <f>VLOOKUP(B1769,'Cadastro Produtos'!A:E,2,2)</f>
        <v>Limonada Alfa com Açúcar 500 ml</v>
      </c>
      <c r="D1769">
        <v>8</v>
      </c>
      <c r="E1769" t="str">
        <f>VLOOKUP(D1769,'Cadatro Clientes'!A:O,2,2)</f>
        <v>Refresko</v>
      </c>
      <c r="F1769" t="str">
        <f>VLOOKUP(D1769,'Cadatro Clientes'!A:O,9,2)</f>
        <v>Sul</v>
      </c>
      <c r="G1769" s="15">
        <v>42288</v>
      </c>
      <c r="H1769">
        <f t="shared" si="136"/>
        <v>1</v>
      </c>
      <c r="I1769">
        <f t="shared" si="137"/>
        <v>11</v>
      </c>
      <c r="J1769">
        <f t="shared" si="138"/>
        <v>10</v>
      </c>
      <c r="K1769">
        <f t="shared" si="139"/>
        <v>2015</v>
      </c>
      <c r="M1769">
        <v>4</v>
      </c>
      <c r="N1769" t="str">
        <f>VLOOKUP(M1769,'Cadastro Vendedores'!A:H,2,2)</f>
        <v>José</v>
      </c>
      <c r="O1769" s="2"/>
      <c r="P1769" s="16">
        <v>3600</v>
      </c>
      <c r="Q1769" s="2">
        <f>VLOOKUP(B1769,'Cadastro Produtos'!A:F,5,2)</f>
        <v>8.5</v>
      </c>
      <c r="R1769" s="14">
        <f t="shared" si="135"/>
        <v>30600</v>
      </c>
    </row>
    <row r="1770" spans="1:18" x14ac:dyDescent="0.25">
      <c r="A1770">
        <v>1769</v>
      </c>
      <c r="B1770">
        <v>1</v>
      </c>
      <c r="C1770" t="str">
        <f>VLOOKUP(B1770,'Cadastro Produtos'!A:E,2,2)</f>
        <v>Limonada Alfa com Açúcar 500 ml</v>
      </c>
      <c r="D1770">
        <v>2</v>
      </c>
      <c r="E1770" t="str">
        <f>VLOOKUP(D1770,'Cadatro Clientes'!A:O,2,2)</f>
        <v>Limão S/A</v>
      </c>
      <c r="F1770" t="str">
        <f>VLOOKUP(D1770,'Cadatro Clientes'!A:O,9,2)</f>
        <v>Centro-Oeste</v>
      </c>
      <c r="G1770" s="15">
        <v>42288</v>
      </c>
      <c r="H1770">
        <f t="shared" si="136"/>
        <v>1</v>
      </c>
      <c r="I1770">
        <f t="shared" si="137"/>
        <v>11</v>
      </c>
      <c r="J1770">
        <f t="shared" si="138"/>
        <v>10</v>
      </c>
      <c r="K1770">
        <f t="shared" si="139"/>
        <v>2015</v>
      </c>
      <c r="M1770">
        <v>4</v>
      </c>
      <c r="N1770" t="str">
        <f>VLOOKUP(M1770,'Cadastro Vendedores'!A:H,2,2)</f>
        <v>José</v>
      </c>
      <c r="O1770" s="2"/>
      <c r="P1770" s="16">
        <v>4400</v>
      </c>
      <c r="Q1770" s="2">
        <f>VLOOKUP(B1770,'Cadastro Produtos'!A:F,5,2)</f>
        <v>8.5</v>
      </c>
      <c r="R1770" s="14">
        <f t="shared" si="135"/>
        <v>37400</v>
      </c>
    </row>
    <row r="1771" spans="1:18" x14ac:dyDescent="0.25">
      <c r="A1771">
        <v>1770</v>
      </c>
      <c r="B1771">
        <v>7</v>
      </c>
      <c r="C1771" t="str">
        <f>VLOOKUP(B1771,'Cadastro Produtos'!A:E,2,2)</f>
        <v>Limonada Alfa Zero 1 L</v>
      </c>
      <c r="D1771">
        <v>20</v>
      </c>
      <c r="E1771" t="str">
        <f>VLOOKUP(D1771,'Cadatro Clientes'!A:O,2,2)</f>
        <v>Brasil Saúde</v>
      </c>
      <c r="F1771" t="str">
        <f>VLOOKUP(D1771,'Cadatro Clientes'!A:O,9,2)</f>
        <v>Nordeste</v>
      </c>
      <c r="G1771" s="15">
        <v>42288</v>
      </c>
      <c r="H1771">
        <f t="shared" si="136"/>
        <v>1</v>
      </c>
      <c r="I1771">
        <f t="shared" si="137"/>
        <v>11</v>
      </c>
      <c r="J1771">
        <f t="shared" si="138"/>
        <v>10</v>
      </c>
      <c r="K1771">
        <f t="shared" si="139"/>
        <v>2015</v>
      </c>
      <c r="M1771">
        <v>13</v>
      </c>
      <c r="N1771" t="str">
        <f>VLOOKUP(M1771,'Cadastro Vendedores'!A:H,2,2)</f>
        <v>Andre</v>
      </c>
      <c r="O1771" s="2"/>
      <c r="P1771" s="16">
        <v>3900</v>
      </c>
      <c r="Q1771" s="2">
        <f>VLOOKUP(B1771,'Cadastro Produtos'!A:F,5,2)</f>
        <v>15</v>
      </c>
      <c r="R1771" s="14">
        <f t="shared" si="135"/>
        <v>58500</v>
      </c>
    </row>
    <row r="1772" spans="1:18" x14ac:dyDescent="0.25">
      <c r="A1772">
        <v>1771</v>
      </c>
      <c r="B1772">
        <v>10</v>
      </c>
      <c r="C1772" t="str">
        <f>VLOOKUP(B1772,'Cadastro Produtos'!A:E,2,2)</f>
        <v>Limonada Alfa com Hortelã Zero 1 L</v>
      </c>
      <c r="D1772">
        <v>9</v>
      </c>
      <c r="E1772" t="str">
        <f>VLOOKUP(D1772,'Cadatro Clientes'!A:O,2,2)</f>
        <v>Fresh Lemon</v>
      </c>
      <c r="F1772" t="str">
        <f>VLOOKUP(D1772,'Cadatro Clientes'!A:O,9,2)</f>
        <v>Sudeste</v>
      </c>
      <c r="G1772" s="15">
        <v>42289</v>
      </c>
      <c r="H1772">
        <f t="shared" si="136"/>
        <v>2</v>
      </c>
      <c r="I1772">
        <f t="shared" si="137"/>
        <v>12</v>
      </c>
      <c r="J1772">
        <f t="shared" si="138"/>
        <v>10</v>
      </c>
      <c r="K1772">
        <f t="shared" si="139"/>
        <v>2015</v>
      </c>
      <c r="M1772">
        <v>4</v>
      </c>
      <c r="N1772" t="str">
        <f>VLOOKUP(M1772,'Cadastro Vendedores'!A:H,2,2)</f>
        <v>José</v>
      </c>
      <c r="O1772" s="2"/>
      <c r="P1772" s="16">
        <v>2900</v>
      </c>
      <c r="Q1772" s="2">
        <f>VLOOKUP(B1772,'Cadastro Produtos'!A:F,5,2)</f>
        <v>21</v>
      </c>
      <c r="R1772" s="14">
        <f t="shared" si="135"/>
        <v>60900</v>
      </c>
    </row>
    <row r="1773" spans="1:18" x14ac:dyDescent="0.25">
      <c r="A1773">
        <v>1772</v>
      </c>
      <c r="B1773">
        <v>1</v>
      </c>
      <c r="C1773" t="str">
        <f>VLOOKUP(B1773,'Cadastro Produtos'!A:E,2,2)</f>
        <v>Limonada Alfa com Açúcar 500 ml</v>
      </c>
      <c r="D1773">
        <v>11</v>
      </c>
      <c r="E1773" t="str">
        <f>VLOOKUP(D1773,'Cadatro Clientes'!A:O,2,2)</f>
        <v>Red Lemon</v>
      </c>
      <c r="F1773" t="str">
        <f>VLOOKUP(D1773,'Cadatro Clientes'!A:O,9,2)</f>
        <v>Sul</v>
      </c>
      <c r="G1773" s="15">
        <v>42290</v>
      </c>
      <c r="H1773">
        <f t="shared" si="136"/>
        <v>3</v>
      </c>
      <c r="I1773">
        <f t="shared" si="137"/>
        <v>13</v>
      </c>
      <c r="J1773">
        <f t="shared" si="138"/>
        <v>10</v>
      </c>
      <c r="K1773">
        <f t="shared" si="139"/>
        <v>2015</v>
      </c>
      <c r="M1773">
        <v>6</v>
      </c>
      <c r="N1773" t="str">
        <f>VLOOKUP(M1773,'Cadastro Vendedores'!A:H,2,2)</f>
        <v>Antônia</v>
      </c>
      <c r="O1773" s="2"/>
      <c r="P1773" s="16">
        <v>4200</v>
      </c>
      <c r="Q1773" s="2">
        <f>VLOOKUP(B1773,'Cadastro Produtos'!A:F,5,2)</f>
        <v>8.5</v>
      </c>
      <c r="R1773" s="14">
        <f t="shared" si="135"/>
        <v>35700</v>
      </c>
    </row>
    <row r="1774" spans="1:18" x14ac:dyDescent="0.25">
      <c r="A1774">
        <v>1773</v>
      </c>
      <c r="B1774">
        <v>2</v>
      </c>
      <c r="C1774" t="str">
        <f>VLOOKUP(B1774,'Cadastro Produtos'!A:E,2,2)</f>
        <v>Limonada Beta com Açúcar 500 ml</v>
      </c>
      <c r="D1774">
        <v>11</v>
      </c>
      <c r="E1774" t="str">
        <f>VLOOKUP(D1774,'Cadatro Clientes'!A:O,2,2)</f>
        <v>Red Lemon</v>
      </c>
      <c r="F1774" t="str">
        <f>VLOOKUP(D1774,'Cadatro Clientes'!A:O,9,2)</f>
        <v>Sul</v>
      </c>
      <c r="G1774" s="15">
        <v>42290</v>
      </c>
      <c r="H1774">
        <f t="shared" si="136"/>
        <v>3</v>
      </c>
      <c r="I1774">
        <f t="shared" si="137"/>
        <v>13</v>
      </c>
      <c r="J1774">
        <f t="shared" si="138"/>
        <v>10</v>
      </c>
      <c r="K1774">
        <f t="shared" si="139"/>
        <v>2015</v>
      </c>
      <c r="M1774">
        <v>8</v>
      </c>
      <c r="N1774" t="str">
        <f>VLOOKUP(M1774,'Cadastro Vendedores'!A:H,2,2)</f>
        <v>Sérgio</v>
      </c>
      <c r="O1774" s="2"/>
      <c r="P1774" s="16">
        <v>4900</v>
      </c>
      <c r="Q1774" s="2">
        <f>VLOOKUP(B1774,'Cadastro Produtos'!A:F,5,2)</f>
        <v>6.5</v>
      </c>
      <c r="R1774" s="14">
        <f t="shared" si="135"/>
        <v>31850</v>
      </c>
    </row>
    <row r="1775" spans="1:18" x14ac:dyDescent="0.25">
      <c r="A1775">
        <v>1774</v>
      </c>
      <c r="B1775">
        <v>2</v>
      </c>
      <c r="C1775" t="str">
        <f>VLOOKUP(B1775,'Cadastro Produtos'!A:E,2,2)</f>
        <v>Limonada Beta com Açúcar 500 ml</v>
      </c>
      <c r="D1775">
        <v>1</v>
      </c>
      <c r="E1775" t="str">
        <f>VLOOKUP(D1775,'Cadatro Clientes'!A:O,2,2)</f>
        <v>Meu Suco de Limão</v>
      </c>
      <c r="F1775" t="str">
        <f>VLOOKUP(D1775,'Cadatro Clientes'!A:O,9,2)</f>
        <v>Norte</v>
      </c>
      <c r="G1775" s="15">
        <v>42291</v>
      </c>
      <c r="H1775">
        <f t="shared" si="136"/>
        <v>4</v>
      </c>
      <c r="I1775">
        <f t="shared" si="137"/>
        <v>14</v>
      </c>
      <c r="J1775">
        <f t="shared" si="138"/>
        <v>10</v>
      </c>
      <c r="K1775">
        <f t="shared" si="139"/>
        <v>2015</v>
      </c>
      <c r="M1775">
        <v>12</v>
      </c>
      <c r="N1775" t="str">
        <f>VLOOKUP(M1775,'Cadastro Vendedores'!A:H,2,2)</f>
        <v>Paulo</v>
      </c>
      <c r="O1775" s="2"/>
      <c r="P1775" s="16">
        <v>8100</v>
      </c>
      <c r="Q1775" s="2">
        <f>VLOOKUP(B1775,'Cadastro Produtos'!A:F,5,2)</f>
        <v>6.5</v>
      </c>
      <c r="R1775" s="14">
        <f t="shared" si="135"/>
        <v>52650</v>
      </c>
    </row>
    <row r="1776" spans="1:18" x14ac:dyDescent="0.25">
      <c r="A1776">
        <v>1775</v>
      </c>
      <c r="B1776">
        <v>1</v>
      </c>
      <c r="C1776" t="str">
        <f>VLOOKUP(B1776,'Cadastro Produtos'!A:E,2,2)</f>
        <v>Limonada Alfa com Açúcar 500 ml</v>
      </c>
      <c r="D1776">
        <v>2</v>
      </c>
      <c r="E1776" t="str">
        <f>VLOOKUP(D1776,'Cadatro Clientes'!A:O,2,2)</f>
        <v>Limão S/A</v>
      </c>
      <c r="F1776" t="str">
        <f>VLOOKUP(D1776,'Cadatro Clientes'!A:O,9,2)</f>
        <v>Centro-Oeste</v>
      </c>
      <c r="G1776" s="15">
        <v>42291</v>
      </c>
      <c r="H1776">
        <f t="shared" si="136"/>
        <v>4</v>
      </c>
      <c r="I1776">
        <f t="shared" si="137"/>
        <v>14</v>
      </c>
      <c r="J1776">
        <f t="shared" si="138"/>
        <v>10</v>
      </c>
      <c r="K1776">
        <f t="shared" si="139"/>
        <v>2015</v>
      </c>
      <c r="M1776">
        <v>6</v>
      </c>
      <c r="N1776" t="str">
        <f>VLOOKUP(M1776,'Cadastro Vendedores'!A:H,2,2)</f>
        <v>Antônia</v>
      </c>
      <c r="O1776" s="2"/>
      <c r="P1776" s="16">
        <v>2600</v>
      </c>
      <c r="Q1776" s="2">
        <f>VLOOKUP(B1776,'Cadastro Produtos'!A:F,5,2)</f>
        <v>8.5</v>
      </c>
      <c r="R1776" s="14">
        <f t="shared" si="135"/>
        <v>22100</v>
      </c>
    </row>
    <row r="1777" spans="1:18" x14ac:dyDescent="0.25">
      <c r="A1777">
        <v>1776</v>
      </c>
      <c r="B1777">
        <v>2</v>
      </c>
      <c r="C1777" t="str">
        <f>VLOOKUP(B1777,'Cadastro Produtos'!A:E,2,2)</f>
        <v>Limonada Beta com Açúcar 500 ml</v>
      </c>
      <c r="D1777">
        <v>19</v>
      </c>
      <c r="E1777" t="str">
        <f>VLOOKUP(D1777,'Cadatro Clientes'!A:O,2,2)</f>
        <v>Lima Limão</v>
      </c>
      <c r="F1777" t="str">
        <f>VLOOKUP(D1777,'Cadatro Clientes'!A:O,9,2)</f>
        <v>Sudeste</v>
      </c>
      <c r="G1777" s="15">
        <v>42291</v>
      </c>
      <c r="H1777">
        <f t="shared" si="136"/>
        <v>4</v>
      </c>
      <c r="I1777">
        <f t="shared" si="137"/>
        <v>14</v>
      </c>
      <c r="J1777">
        <f t="shared" si="138"/>
        <v>10</v>
      </c>
      <c r="K1777">
        <f t="shared" si="139"/>
        <v>2015</v>
      </c>
      <c r="M1777">
        <v>2</v>
      </c>
      <c r="N1777" t="str">
        <f>VLOOKUP(M1777,'Cadastro Vendedores'!A:H,2,2)</f>
        <v>Luis</v>
      </c>
      <c r="O1777" s="2"/>
      <c r="P1777" s="16">
        <v>6000</v>
      </c>
      <c r="Q1777" s="2">
        <f>VLOOKUP(B1777,'Cadastro Produtos'!A:F,5,2)</f>
        <v>6.5</v>
      </c>
      <c r="R1777" s="14">
        <f t="shared" si="135"/>
        <v>39000</v>
      </c>
    </row>
    <row r="1778" spans="1:18" x14ac:dyDescent="0.25">
      <c r="A1778">
        <v>1777</v>
      </c>
      <c r="B1778">
        <v>1</v>
      </c>
      <c r="C1778" t="str">
        <f>VLOOKUP(B1778,'Cadastro Produtos'!A:E,2,2)</f>
        <v>Limonada Alfa com Açúcar 500 ml</v>
      </c>
      <c r="D1778">
        <v>7</v>
      </c>
      <c r="E1778" t="str">
        <f>VLOOKUP(D1778,'Cadatro Clientes'!A:O,2,2)</f>
        <v>Limo</v>
      </c>
      <c r="F1778" t="str">
        <f>VLOOKUP(D1778,'Cadatro Clientes'!A:O,9,2)</f>
        <v>Centro-Oeste</v>
      </c>
      <c r="G1778" s="15">
        <v>42292</v>
      </c>
      <c r="H1778">
        <f t="shared" si="136"/>
        <v>5</v>
      </c>
      <c r="I1778">
        <f t="shared" si="137"/>
        <v>15</v>
      </c>
      <c r="J1778">
        <f t="shared" si="138"/>
        <v>10</v>
      </c>
      <c r="K1778">
        <f t="shared" si="139"/>
        <v>2015</v>
      </c>
      <c r="M1778">
        <v>6</v>
      </c>
      <c r="N1778" t="str">
        <f>VLOOKUP(M1778,'Cadastro Vendedores'!A:H,2,2)</f>
        <v>Antônia</v>
      </c>
      <c r="O1778" s="2"/>
      <c r="P1778" s="16">
        <v>1500</v>
      </c>
      <c r="Q1778" s="2">
        <f>VLOOKUP(B1778,'Cadastro Produtos'!A:F,5,2)</f>
        <v>8.5</v>
      </c>
      <c r="R1778" s="14">
        <f t="shared" si="135"/>
        <v>12750</v>
      </c>
    </row>
    <row r="1779" spans="1:18" x14ac:dyDescent="0.25">
      <c r="A1779">
        <v>1778</v>
      </c>
      <c r="B1779">
        <v>2</v>
      </c>
      <c r="C1779" t="str">
        <f>VLOOKUP(B1779,'Cadastro Produtos'!A:E,2,2)</f>
        <v>Limonada Beta com Açúcar 500 ml</v>
      </c>
      <c r="D1779">
        <v>2</v>
      </c>
      <c r="E1779" t="str">
        <f>VLOOKUP(D1779,'Cadatro Clientes'!A:O,2,2)</f>
        <v>Limão S/A</v>
      </c>
      <c r="F1779" t="str">
        <f>VLOOKUP(D1779,'Cadatro Clientes'!A:O,9,2)</f>
        <v>Centro-Oeste</v>
      </c>
      <c r="G1779" s="15">
        <v>42292</v>
      </c>
      <c r="H1779">
        <f t="shared" si="136"/>
        <v>5</v>
      </c>
      <c r="I1779">
        <f t="shared" si="137"/>
        <v>15</v>
      </c>
      <c r="J1779">
        <f t="shared" si="138"/>
        <v>10</v>
      </c>
      <c r="K1779">
        <f t="shared" si="139"/>
        <v>2015</v>
      </c>
      <c r="M1779">
        <v>7</v>
      </c>
      <c r="N1779" t="str">
        <f>VLOOKUP(M1779,'Cadastro Vendedores'!A:H,2,2)</f>
        <v>Benedito</v>
      </c>
      <c r="O1779" s="2"/>
      <c r="P1779" s="16">
        <v>8600</v>
      </c>
      <c r="Q1779" s="2">
        <f>VLOOKUP(B1779,'Cadastro Produtos'!A:F,5,2)</f>
        <v>6.5</v>
      </c>
      <c r="R1779" s="14">
        <f t="shared" si="135"/>
        <v>55900</v>
      </c>
    </row>
    <row r="1780" spans="1:18" x14ac:dyDescent="0.25">
      <c r="A1780">
        <v>1779</v>
      </c>
      <c r="B1780">
        <v>3</v>
      </c>
      <c r="C1780" t="str">
        <f>VLOOKUP(B1780,'Cadastro Produtos'!A:E,2,2)</f>
        <v>Limonada Alfa Zero 500 ml</v>
      </c>
      <c r="D1780">
        <v>9</v>
      </c>
      <c r="E1780" t="str">
        <f>VLOOKUP(D1780,'Cadatro Clientes'!A:O,2,2)</f>
        <v>Fresh Lemon</v>
      </c>
      <c r="F1780" t="str">
        <f>VLOOKUP(D1780,'Cadatro Clientes'!A:O,9,2)</f>
        <v>Sudeste</v>
      </c>
      <c r="G1780" s="15">
        <v>42292</v>
      </c>
      <c r="H1780">
        <f t="shared" si="136"/>
        <v>5</v>
      </c>
      <c r="I1780">
        <f t="shared" si="137"/>
        <v>15</v>
      </c>
      <c r="J1780">
        <f t="shared" si="138"/>
        <v>10</v>
      </c>
      <c r="K1780">
        <f t="shared" si="139"/>
        <v>2015</v>
      </c>
      <c r="M1780">
        <v>15</v>
      </c>
      <c r="N1780" t="str">
        <f>VLOOKUP(M1780,'Cadastro Vendedores'!A:H,2,2)</f>
        <v>Luis</v>
      </c>
      <c r="O1780" s="2"/>
      <c r="P1780" s="16">
        <v>2500</v>
      </c>
      <c r="Q1780" s="2">
        <f>VLOOKUP(B1780,'Cadastro Produtos'!A:F,5,2)</f>
        <v>9</v>
      </c>
      <c r="R1780" s="14">
        <f t="shared" si="135"/>
        <v>22500</v>
      </c>
    </row>
    <row r="1781" spans="1:18" x14ac:dyDescent="0.25">
      <c r="A1781">
        <v>1780</v>
      </c>
      <c r="B1781">
        <v>8</v>
      </c>
      <c r="C1781" t="str">
        <f>VLOOKUP(B1781,'Cadastro Produtos'!A:E,2,2)</f>
        <v>Limonada Beta Zero 1 L</v>
      </c>
      <c r="D1781">
        <v>17</v>
      </c>
      <c r="E1781" t="str">
        <f>VLOOKUP(D1781,'Cadatro Clientes'!A:O,2,2)</f>
        <v>Aracasuco</v>
      </c>
      <c r="F1781" t="str">
        <f>VLOOKUP(D1781,'Cadatro Clientes'!A:O,9,2)</f>
        <v>Nordeste</v>
      </c>
      <c r="G1781" s="15">
        <v>42292</v>
      </c>
      <c r="H1781">
        <f t="shared" si="136"/>
        <v>5</v>
      </c>
      <c r="I1781">
        <f t="shared" si="137"/>
        <v>15</v>
      </c>
      <c r="J1781">
        <f t="shared" si="138"/>
        <v>10</v>
      </c>
      <c r="K1781">
        <f t="shared" si="139"/>
        <v>2015</v>
      </c>
      <c r="M1781">
        <v>3</v>
      </c>
      <c r="N1781" t="str">
        <f>VLOOKUP(M1781,'Cadastro Vendedores'!A:H,2,2)</f>
        <v>Antônia</v>
      </c>
      <c r="O1781" s="2"/>
      <c r="P1781" s="16">
        <v>5700</v>
      </c>
      <c r="Q1781" s="2">
        <f>VLOOKUP(B1781,'Cadastro Produtos'!A:F,5,2)</f>
        <v>12</v>
      </c>
      <c r="R1781" s="14">
        <f t="shared" si="135"/>
        <v>68400</v>
      </c>
    </row>
    <row r="1782" spans="1:18" x14ac:dyDescent="0.25">
      <c r="A1782">
        <v>1781</v>
      </c>
      <c r="B1782">
        <v>9</v>
      </c>
      <c r="C1782" t="str">
        <f>VLOOKUP(B1782,'Cadastro Produtos'!A:E,2,2)</f>
        <v>Limonada Alfa com Hortelã e Açúcar 1 L</v>
      </c>
      <c r="D1782">
        <v>15</v>
      </c>
      <c r="E1782" t="str">
        <f>VLOOKUP(D1782,'Cadatro Clientes'!A:O,2,2)</f>
        <v>Limão do Mané</v>
      </c>
      <c r="F1782" t="str">
        <f>VLOOKUP(D1782,'Cadatro Clientes'!A:O,9,2)</f>
        <v>Sul</v>
      </c>
      <c r="G1782" s="15">
        <v>42292</v>
      </c>
      <c r="H1782">
        <f t="shared" si="136"/>
        <v>5</v>
      </c>
      <c r="I1782">
        <f t="shared" si="137"/>
        <v>15</v>
      </c>
      <c r="J1782">
        <f t="shared" si="138"/>
        <v>10</v>
      </c>
      <c r="K1782">
        <f t="shared" si="139"/>
        <v>2015</v>
      </c>
      <c r="M1782">
        <v>15</v>
      </c>
      <c r="N1782" t="str">
        <f>VLOOKUP(M1782,'Cadastro Vendedores'!A:H,2,2)</f>
        <v>Luis</v>
      </c>
      <c r="O1782" s="2"/>
      <c r="P1782" s="16">
        <v>1100</v>
      </c>
      <c r="Q1782" s="2">
        <f>VLOOKUP(B1782,'Cadastro Produtos'!A:F,5,2)</f>
        <v>17.5</v>
      </c>
      <c r="R1782" s="14">
        <f t="shared" si="135"/>
        <v>19250</v>
      </c>
    </row>
    <row r="1783" spans="1:18" x14ac:dyDescent="0.25">
      <c r="A1783">
        <v>1782</v>
      </c>
      <c r="B1783">
        <v>3</v>
      </c>
      <c r="C1783" t="str">
        <f>VLOOKUP(B1783,'Cadastro Produtos'!A:E,2,2)</f>
        <v>Limonada Alfa Zero 500 ml</v>
      </c>
      <c r="D1783">
        <v>3</v>
      </c>
      <c r="E1783" t="str">
        <f>VLOOKUP(D1783,'Cadatro Clientes'!A:O,2,2)</f>
        <v>Limonada Suíça Ltda</v>
      </c>
      <c r="F1783" t="str">
        <f>VLOOKUP(D1783,'Cadatro Clientes'!A:O,9,2)</f>
        <v>Nordeste</v>
      </c>
      <c r="G1783" s="15">
        <v>42293</v>
      </c>
      <c r="H1783">
        <f t="shared" si="136"/>
        <v>6</v>
      </c>
      <c r="I1783">
        <f t="shared" si="137"/>
        <v>16</v>
      </c>
      <c r="J1783">
        <f t="shared" si="138"/>
        <v>10</v>
      </c>
      <c r="K1783">
        <f t="shared" si="139"/>
        <v>2015</v>
      </c>
      <c r="M1783">
        <v>8</v>
      </c>
      <c r="N1783" t="str">
        <f>VLOOKUP(M1783,'Cadastro Vendedores'!A:H,2,2)</f>
        <v>Sérgio</v>
      </c>
      <c r="O1783" s="2"/>
      <c r="P1783" s="16">
        <v>7500</v>
      </c>
      <c r="Q1783" s="2">
        <f>VLOOKUP(B1783,'Cadastro Produtos'!A:F,5,2)</f>
        <v>9</v>
      </c>
      <c r="R1783" s="14">
        <f t="shared" si="135"/>
        <v>67500</v>
      </c>
    </row>
    <row r="1784" spans="1:18" x14ac:dyDescent="0.25">
      <c r="A1784">
        <v>1783</v>
      </c>
      <c r="B1784">
        <v>7</v>
      </c>
      <c r="C1784" t="str">
        <f>VLOOKUP(B1784,'Cadastro Produtos'!A:E,2,2)</f>
        <v>Limonada Alfa Zero 1 L</v>
      </c>
      <c r="D1784">
        <v>4</v>
      </c>
      <c r="E1784" t="str">
        <f>VLOOKUP(D1784,'Cadatro Clientes'!A:O,2,2)</f>
        <v>Limão Carioca e Cia</v>
      </c>
      <c r="F1784" t="str">
        <f>VLOOKUP(D1784,'Cadatro Clientes'!A:O,9,2)</f>
        <v>Sudeste</v>
      </c>
      <c r="G1784" s="15">
        <v>42293</v>
      </c>
      <c r="H1784">
        <f t="shared" si="136"/>
        <v>6</v>
      </c>
      <c r="I1784">
        <f t="shared" si="137"/>
        <v>16</v>
      </c>
      <c r="J1784">
        <f t="shared" si="138"/>
        <v>10</v>
      </c>
      <c r="K1784">
        <f t="shared" si="139"/>
        <v>2015</v>
      </c>
      <c r="M1784">
        <v>16</v>
      </c>
      <c r="N1784" t="str">
        <f>VLOOKUP(M1784,'Cadastro Vendedores'!A:H,2,2)</f>
        <v>Jose</v>
      </c>
      <c r="O1784" s="2"/>
      <c r="P1784" s="16">
        <v>1100</v>
      </c>
      <c r="Q1784" s="2">
        <f>VLOOKUP(B1784,'Cadastro Produtos'!A:F,5,2)</f>
        <v>15</v>
      </c>
      <c r="R1784" s="14">
        <f t="shared" si="135"/>
        <v>16500</v>
      </c>
    </row>
    <row r="1785" spans="1:18" x14ac:dyDescent="0.25">
      <c r="A1785">
        <v>1784</v>
      </c>
      <c r="B1785">
        <v>1</v>
      </c>
      <c r="C1785" t="str">
        <f>VLOOKUP(B1785,'Cadastro Produtos'!A:E,2,2)</f>
        <v>Limonada Alfa com Açúcar 500 ml</v>
      </c>
      <c r="D1785">
        <v>9</v>
      </c>
      <c r="E1785" t="str">
        <f>VLOOKUP(D1785,'Cadatro Clientes'!A:O,2,2)</f>
        <v>Fresh Lemon</v>
      </c>
      <c r="F1785" t="str">
        <f>VLOOKUP(D1785,'Cadatro Clientes'!A:O,9,2)</f>
        <v>Sudeste</v>
      </c>
      <c r="G1785" s="15">
        <v>42293</v>
      </c>
      <c r="H1785">
        <f t="shared" si="136"/>
        <v>6</v>
      </c>
      <c r="I1785">
        <f t="shared" si="137"/>
        <v>16</v>
      </c>
      <c r="J1785">
        <f t="shared" si="138"/>
        <v>10</v>
      </c>
      <c r="K1785">
        <f t="shared" si="139"/>
        <v>2015</v>
      </c>
      <c r="M1785">
        <v>9</v>
      </c>
      <c r="N1785" t="str">
        <f>VLOOKUP(M1785,'Cadastro Vendedores'!A:H,2,2)</f>
        <v>Adriana</v>
      </c>
      <c r="O1785" s="2"/>
      <c r="P1785" s="16">
        <v>5100</v>
      </c>
      <c r="Q1785" s="2">
        <f>VLOOKUP(B1785,'Cadastro Produtos'!A:F,5,2)</f>
        <v>8.5</v>
      </c>
      <c r="R1785" s="14">
        <f t="shared" si="135"/>
        <v>43350</v>
      </c>
    </row>
    <row r="1786" spans="1:18" x14ac:dyDescent="0.25">
      <c r="A1786">
        <v>1785</v>
      </c>
      <c r="B1786">
        <v>9</v>
      </c>
      <c r="C1786" t="str">
        <f>VLOOKUP(B1786,'Cadastro Produtos'!A:E,2,2)</f>
        <v>Limonada Alfa com Hortelã e Açúcar 1 L</v>
      </c>
      <c r="D1786">
        <v>13</v>
      </c>
      <c r="E1786" t="str">
        <f>VLOOKUP(D1786,'Cadatro Clientes'!A:O,2,2)</f>
        <v>Monster Lemon</v>
      </c>
      <c r="F1786" t="str">
        <f>VLOOKUP(D1786,'Cadatro Clientes'!A:O,9,2)</f>
        <v>Nordeste</v>
      </c>
      <c r="G1786" s="15">
        <v>42293</v>
      </c>
      <c r="H1786">
        <f t="shared" si="136"/>
        <v>6</v>
      </c>
      <c r="I1786">
        <f t="shared" si="137"/>
        <v>16</v>
      </c>
      <c r="J1786">
        <f t="shared" si="138"/>
        <v>10</v>
      </c>
      <c r="K1786">
        <f t="shared" si="139"/>
        <v>2015</v>
      </c>
      <c r="M1786">
        <v>13</v>
      </c>
      <c r="N1786" t="str">
        <f>VLOOKUP(M1786,'Cadastro Vendedores'!A:H,2,2)</f>
        <v>Andre</v>
      </c>
      <c r="O1786" s="2"/>
      <c r="P1786" s="16">
        <v>1800</v>
      </c>
      <c r="Q1786" s="2">
        <f>VLOOKUP(B1786,'Cadastro Produtos'!A:F,5,2)</f>
        <v>17.5</v>
      </c>
      <c r="R1786" s="14">
        <f t="shared" si="135"/>
        <v>31500</v>
      </c>
    </row>
    <row r="1787" spans="1:18" x14ac:dyDescent="0.25">
      <c r="A1787">
        <v>1786</v>
      </c>
      <c r="B1787">
        <v>10</v>
      </c>
      <c r="C1787" t="str">
        <f>VLOOKUP(B1787,'Cadastro Produtos'!A:E,2,2)</f>
        <v>Limonada Alfa com Hortelã Zero 1 L</v>
      </c>
      <c r="D1787">
        <v>11</v>
      </c>
      <c r="E1787" t="str">
        <f>VLOOKUP(D1787,'Cadatro Clientes'!A:O,2,2)</f>
        <v>Red Lemon</v>
      </c>
      <c r="F1787" t="str">
        <f>VLOOKUP(D1787,'Cadatro Clientes'!A:O,9,2)</f>
        <v>Sul</v>
      </c>
      <c r="G1787" s="15">
        <v>42293</v>
      </c>
      <c r="H1787">
        <f t="shared" si="136"/>
        <v>6</v>
      </c>
      <c r="I1787">
        <f t="shared" si="137"/>
        <v>16</v>
      </c>
      <c r="J1787">
        <f t="shared" si="138"/>
        <v>10</v>
      </c>
      <c r="K1787">
        <f t="shared" si="139"/>
        <v>2015</v>
      </c>
      <c r="M1787">
        <v>2</v>
      </c>
      <c r="N1787" t="str">
        <f>VLOOKUP(M1787,'Cadastro Vendedores'!A:H,2,2)</f>
        <v>Luis</v>
      </c>
      <c r="O1787" s="2"/>
      <c r="P1787" s="16">
        <v>2500</v>
      </c>
      <c r="Q1787" s="2">
        <f>VLOOKUP(B1787,'Cadastro Produtos'!A:F,5,2)</f>
        <v>21</v>
      </c>
      <c r="R1787" s="14">
        <f t="shared" si="135"/>
        <v>52500</v>
      </c>
    </row>
    <row r="1788" spans="1:18" x14ac:dyDescent="0.25">
      <c r="A1788">
        <v>1787</v>
      </c>
      <c r="B1788">
        <v>5</v>
      </c>
      <c r="C1788" t="str">
        <f>VLOOKUP(B1788,'Cadastro Produtos'!A:E,2,2)</f>
        <v>Limonada Alfa com Açúcar 1 L</v>
      </c>
      <c r="D1788">
        <v>8</v>
      </c>
      <c r="E1788" t="str">
        <f>VLOOKUP(D1788,'Cadatro Clientes'!A:O,2,2)</f>
        <v>Refresko</v>
      </c>
      <c r="F1788" t="str">
        <f>VLOOKUP(D1788,'Cadatro Clientes'!A:O,9,2)</f>
        <v>Sul</v>
      </c>
      <c r="G1788" s="15">
        <v>42294</v>
      </c>
      <c r="H1788">
        <f t="shared" si="136"/>
        <v>7</v>
      </c>
      <c r="I1788">
        <f t="shared" si="137"/>
        <v>17</v>
      </c>
      <c r="J1788">
        <f t="shared" si="138"/>
        <v>10</v>
      </c>
      <c r="K1788">
        <f t="shared" si="139"/>
        <v>2015</v>
      </c>
      <c r="M1788">
        <v>15</v>
      </c>
      <c r="N1788" t="str">
        <f>VLOOKUP(M1788,'Cadastro Vendedores'!A:H,2,2)</f>
        <v>Luis</v>
      </c>
      <c r="O1788" s="2"/>
      <c r="P1788" s="16">
        <v>4200</v>
      </c>
      <c r="Q1788" s="2">
        <f>VLOOKUP(B1788,'Cadastro Produtos'!A:F,5,2)</f>
        <v>15</v>
      </c>
      <c r="R1788" s="14">
        <f t="shared" si="135"/>
        <v>63000</v>
      </c>
    </row>
    <row r="1789" spans="1:18" x14ac:dyDescent="0.25">
      <c r="A1789">
        <v>1788</v>
      </c>
      <c r="B1789">
        <v>8</v>
      </c>
      <c r="C1789" t="str">
        <f>VLOOKUP(B1789,'Cadastro Produtos'!A:E,2,2)</f>
        <v>Limonada Beta Zero 1 L</v>
      </c>
      <c r="D1789">
        <v>18</v>
      </c>
      <c r="E1789" t="str">
        <f>VLOOKUP(D1789,'Cadatro Clientes'!A:O,2,2)</f>
        <v>Rio Branco Limonada Ltda</v>
      </c>
      <c r="F1789" t="str">
        <f>VLOOKUP(D1789,'Cadatro Clientes'!A:O,9,2)</f>
        <v>Norte</v>
      </c>
      <c r="G1789" s="15">
        <v>42294</v>
      </c>
      <c r="H1789">
        <f t="shared" si="136"/>
        <v>7</v>
      </c>
      <c r="I1789">
        <f t="shared" si="137"/>
        <v>17</v>
      </c>
      <c r="J1789">
        <f t="shared" si="138"/>
        <v>10</v>
      </c>
      <c r="K1789">
        <f t="shared" si="139"/>
        <v>2015</v>
      </c>
      <c r="M1789">
        <v>7</v>
      </c>
      <c r="N1789" t="str">
        <f>VLOOKUP(M1789,'Cadastro Vendedores'!A:H,2,2)</f>
        <v>Benedito</v>
      </c>
      <c r="O1789" s="2"/>
      <c r="P1789" s="16">
        <v>2600</v>
      </c>
      <c r="Q1789" s="2">
        <f>VLOOKUP(B1789,'Cadastro Produtos'!A:F,5,2)</f>
        <v>12</v>
      </c>
      <c r="R1789" s="14">
        <f t="shared" si="135"/>
        <v>31200</v>
      </c>
    </row>
    <row r="1790" spans="1:18" x14ac:dyDescent="0.25">
      <c r="A1790">
        <v>1789</v>
      </c>
      <c r="B1790">
        <v>5</v>
      </c>
      <c r="C1790" t="str">
        <f>VLOOKUP(B1790,'Cadastro Produtos'!A:E,2,2)</f>
        <v>Limonada Alfa com Açúcar 1 L</v>
      </c>
      <c r="D1790">
        <v>20</v>
      </c>
      <c r="E1790" t="str">
        <f>VLOOKUP(D1790,'Cadatro Clientes'!A:O,2,2)</f>
        <v>Brasil Saúde</v>
      </c>
      <c r="F1790" t="str">
        <f>VLOOKUP(D1790,'Cadatro Clientes'!A:O,9,2)</f>
        <v>Nordeste</v>
      </c>
      <c r="G1790" s="15">
        <v>42294</v>
      </c>
      <c r="H1790">
        <f t="shared" si="136"/>
        <v>7</v>
      </c>
      <c r="I1790">
        <f t="shared" si="137"/>
        <v>17</v>
      </c>
      <c r="J1790">
        <f t="shared" si="138"/>
        <v>10</v>
      </c>
      <c r="K1790">
        <f t="shared" si="139"/>
        <v>2015</v>
      </c>
      <c r="M1790">
        <v>2</v>
      </c>
      <c r="N1790" t="str">
        <f>VLOOKUP(M1790,'Cadastro Vendedores'!A:H,2,2)</f>
        <v>Luis</v>
      </c>
      <c r="O1790" s="2"/>
      <c r="P1790" s="16">
        <v>2200</v>
      </c>
      <c r="Q1790" s="2">
        <f>VLOOKUP(B1790,'Cadastro Produtos'!A:F,5,2)</f>
        <v>15</v>
      </c>
      <c r="R1790" s="14">
        <f t="shared" si="135"/>
        <v>33000</v>
      </c>
    </row>
    <row r="1791" spans="1:18" x14ac:dyDescent="0.25">
      <c r="A1791">
        <v>1790</v>
      </c>
      <c r="B1791">
        <v>2</v>
      </c>
      <c r="C1791" t="str">
        <f>VLOOKUP(B1791,'Cadastro Produtos'!A:E,2,2)</f>
        <v>Limonada Beta com Açúcar 500 ml</v>
      </c>
      <c r="D1791">
        <v>15</v>
      </c>
      <c r="E1791" t="str">
        <f>VLOOKUP(D1791,'Cadatro Clientes'!A:O,2,2)</f>
        <v>Limão do Mané</v>
      </c>
      <c r="F1791" t="str">
        <f>VLOOKUP(D1791,'Cadatro Clientes'!A:O,9,2)</f>
        <v>Sul</v>
      </c>
      <c r="G1791" s="15">
        <v>42294</v>
      </c>
      <c r="H1791">
        <f t="shared" si="136"/>
        <v>7</v>
      </c>
      <c r="I1791">
        <f t="shared" si="137"/>
        <v>17</v>
      </c>
      <c r="J1791">
        <f t="shared" si="138"/>
        <v>10</v>
      </c>
      <c r="K1791">
        <f t="shared" si="139"/>
        <v>2015</v>
      </c>
      <c r="M1791">
        <v>7</v>
      </c>
      <c r="N1791" t="str">
        <f>VLOOKUP(M1791,'Cadastro Vendedores'!A:H,2,2)</f>
        <v>Benedito</v>
      </c>
      <c r="O1791" s="2"/>
      <c r="P1791" s="16">
        <v>8900</v>
      </c>
      <c r="Q1791" s="2">
        <f>VLOOKUP(B1791,'Cadastro Produtos'!A:F,5,2)</f>
        <v>6.5</v>
      </c>
      <c r="R1791" s="14">
        <f t="shared" si="135"/>
        <v>57850</v>
      </c>
    </row>
    <row r="1792" spans="1:18" x14ac:dyDescent="0.25">
      <c r="A1792">
        <v>1791</v>
      </c>
      <c r="B1792">
        <v>10</v>
      </c>
      <c r="C1792" t="str">
        <f>VLOOKUP(B1792,'Cadastro Produtos'!A:E,2,2)</f>
        <v>Limonada Alfa com Hortelã Zero 1 L</v>
      </c>
      <c r="D1792">
        <v>11</v>
      </c>
      <c r="E1792" t="str">
        <f>VLOOKUP(D1792,'Cadatro Clientes'!A:O,2,2)</f>
        <v>Red Lemon</v>
      </c>
      <c r="F1792" t="str">
        <f>VLOOKUP(D1792,'Cadatro Clientes'!A:O,9,2)</f>
        <v>Sul</v>
      </c>
      <c r="G1792" s="15">
        <v>42294</v>
      </c>
      <c r="H1792">
        <f t="shared" si="136"/>
        <v>7</v>
      </c>
      <c r="I1792">
        <f t="shared" si="137"/>
        <v>17</v>
      </c>
      <c r="J1792">
        <f t="shared" si="138"/>
        <v>10</v>
      </c>
      <c r="K1792">
        <f t="shared" si="139"/>
        <v>2015</v>
      </c>
      <c r="M1792">
        <v>2</v>
      </c>
      <c r="N1792" t="str">
        <f>VLOOKUP(M1792,'Cadastro Vendedores'!A:H,2,2)</f>
        <v>Luis</v>
      </c>
      <c r="O1792" s="2"/>
      <c r="P1792" s="16">
        <v>2700</v>
      </c>
      <c r="Q1792" s="2">
        <f>VLOOKUP(B1792,'Cadastro Produtos'!A:F,5,2)</f>
        <v>21</v>
      </c>
      <c r="R1792" s="14">
        <f t="shared" si="135"/>
        <v>56700</v>
      </c>
    </row>
    <row r="1793" spans="1:18" x14ac:dyDescent="0.25">
      <c r="A1793">
        <v>1792</v>
      </c>
      <c r="B1793">
        <v>6</v>
      </c>
      <c r="C1793" t="str">
        <f>VLOOKUP(B1793,'Cadastro Produtos'!A:E,2,2)</f>
        <v>Limonada Beta com Açúcar 1 L</v>
      </c>
      <c r="D1793">
        <v>3</v>
      </c>
      <c r="E1793" t="str">
        <f>VLOOKUP(D1793,'Cadatro Clientes'!A:O,2,2)</f>
        <v>Limonada Suíça Ltda</v>
      </c>
      <c r="F1793" t="str">
        <f>VLOOKUP(D1793,'Cadatro Clientes'!A:O,9,2)</f>
        <v>Nordeste</v>
      </c>
      <c r="G1793" s="15">
        <v>42295</v>
      </c>
      <c r="H1793">
        <f t="shared" si="136"/>
        <v>1</v>
      </c>
      <c r="I1793">
        <f t="shared" si="137"/>
        <v>18</v>
      </c>
      <c r="J1793">
        <f t="shared" si="138"/>
        <v>10</v>
      </c>
      <c r="K1793">
        <f t="shared" si="139"/>
        <v>2015</v>
      </c>
      <c r="M1793">
        <v>3</v>
      </c>
      <c r="N1793" t="str">
        <f>VLOOKUP(M1793,'Cadastro Vendedores'!A:H,2,2)</f>
        <v>Antônia</v>
      </c>
      <c r="O1793" s="2"/>
      <c r="P1793" s="16">
        <v>5000</v>
      </c>
      <c r="Q1793" s="2">
        <f>VLOOKUP(B1793,'Cadastro Produtos'!A:F,5,2)</f>
        <v>12</v>
      </c>
      <c r="R1793" s="14">
        <f t="shared" si="135"/>
        <v>60000</v>
      </c>
    </row>
    <row r="1794" spans="1:18" x14ac:dyDescent="0.25">
      <c r="A1794">
        <v>1793</v>
      </c>
      <c r="B1794">
        <v>5</v>
      </c>
      <c r="C1794" t="str">
        <f>VLOOKUP(B1794,'Cadastro Produtos'!A:E,2,2)</f>
        <v>Limonada Alfa com Açúcar 1 L</v>
      </c>
      <c r="D1794">
        <v>9</v>
      </c>
      <c r="E1794" t="str">
        <f>VLOOKUP(D1794,'Cadatro Clientes'!A:O,2,2)</f>
        <v>Fresh Lemon</v>
      </c>
      <c r="F1794" t="str">
        <f>VLOOKUP(D1794,'Cadatro Clientes'!A:O,9,2)</f>
        <v>Sudeste</v>
      </c>
      <c r="G1794" s="15">
        <v>42295</v>
      </c>
      <c r="H1794">
        <f t="shared" si="136"/>
        <v>1</v>
      </c>
      <c r="I1794">
        <f t="shared" si="137"/>
        <v>18</v>
      </c>
      <c r="J1794">
        <f t="shared" si="138"/>
        <v>10</v>
      </c>
      <c r="K1794">
        <f t="shared" si="139"/>
        <v>2015</v>
      </c>
      <c r="M1794">
        <v>4</v>
      </c>
      <c r="N1794" t="str">
        <f>VLOOKUP(M1794,'Cadastro Vendedores'!A:H,2,2)</f>
        <v>José</v>
      </c>
      <c r="O1794" s="2"/>
      <c r="P1794" s="16">
        <v>2400</v>
      </c>
      <c r="Q1794" s="2">
        <f>VLOOKUP(B1794,'Cadastro Produtos'!A:F,5,2)</f>
        <v>15</v>
      </c>
      <c r="R1794" s="14">
        <f t="shared" ref="R1794:R1857" si="140">Q1794*P1794</f>
        <v>36000</v>
      </c>
    </row>
    <row r="1795" spans="1:18" x14ac:dyDescent="0.25">
      <c r="A1795">
        <v>1794</v>
      </c>
      <c r="B1795">
        <v>2</v>
      </c>
      <c r="C1795" t="str">
        <f>VLOOKUP(B1795,'Cadastro Produtos'!A:E,2,2)</f>
        <v>Limonada Beta com Açúcar 500 ml</v>
      </c>
      <c r="D1795">
        <v>13</v>
      </c>
      <c r="E1795" t="str">
        <f>VLOOKUP(D1795,'Cadatro Clientes'!A:O,2,2)</f>
        <v>Monster Lemon</v>
      </c>
      <c r="F1795" t="str">
        <f>VLOOKUP(D1795,'Cadatro Clientes'!A:O,9,2)</f>
        <v>Nordeste</v>
      </c>
      <c r="G1795" s="15">
        <v>42295</v>
      </c>
      <c r="H1795">
        <f t="shared" ref="H1795:H1858" si="141">WEEKDAY(G1795)</f>
        <v>1</v>
      </c>
      <c r="I1795">
        <f t="shared" ref="I1795:I1858" si="142">DAY(G1795)</f>
        <v>18</v>
      </c>
      <c r="J1795">
        <f t="shared" ref="J1795:J1858" si="143">MONTH(G1795)</f>
        <v>10</v>
      </c>
      <c r="K1795">
        <f t="shared" ref="K1795:K1858" si="144">YEAR(G1795)</f>
        <v>2015</v>
      </c>
      <c r="M1795">
        <v>9</v>
      </c>
      <c r="N1795" t="str">
        <f>VLOOKUP(M1795,'Cadastro Vendedores'!A:H,2,2)</f>
        <v>Adriana</v>
      </c>
      <c r="O1795" s="2"/>
      <c r="P1795" s="16">
        <v>9000</v>
      </c>
      <c r="Q1795" s="2">
        <f>VLOOKUP(B1795,'Cadastro Produtos'!A:F,5,2)</f>
        <v>6.5</v>
      </c>
      <c r="R1795" s="14">
        <f t="shared" si="140"/>
        <v>58500</v>
      </c>
    </row>
    <row r="1796" spans="1:18" x14ac:dyDescent="0.25">
      <c r="A1796">
        <v>1795</v>
      </c>
      <c r="B1796">
        <v>2</v>
      </c>
      <c r="C1796" t="str">
        <f>VLOOKUP(B1796,'Cadastro Produtos'!A:E,2,2)</f>
        <v>Limonada Beta com Açúcar 500 ml</v>
      </c>
      <c r="D1796">
        <v>6</v>
      </c>
      <c r="E1796" t="str">
        <f>VLOOKUP(D1796,'Cadatro Clientes'!A:O,2,2)</f>
        <v>Lemonade</v>
      </c>
      <c r="F1796" t="str">
        <f>VLOOKUP(D1796,'Cadatro Clientes'!A:O,9,2)</f>
        <v>Norte</v>
      </c>
      <c r="G1796" s="15">
        <v>42296</v>
      </c>
      <c r="H1796">
        <f t="shared" si="141"/>
        <v>2</v>
      </c>
      <c r="I1796">
        <f t="shared" si="142"/>
        <v>19</v>
      </c>
      <c r="J1796">
        <f t="shared" si="143"/>
        <v>10</v>
      </c>
      <c r="K1796">
        <f t="shared" si="144"/>
        <v>2015</v>
      </c>
      <c r="M1796">
        <v>2</v>
      </c>
      <c r="N1796" t="str">
        <f>VLOOKUP(M1796,'Cadastro Vendedores'!A:H,2,2)</f>
        <v>Luis</v>
      </c>
      <c r="O1796" s="2"/>
      <c r="P1796" s="16">
        <v>3800</v>
      </c>
      <c r="Q1796" s="2">
        <f>VLOOKUP(B1796,'Cadastro Produtos'!A:F,5,2)</f>
        <v>6.5</v>
      </c>
      <c r="R1796" s="14">
        <f t="shared" si="140"/>
        <v>24700</v>
      </c>
    </row>
    <row r="1797" spans="1:18" x14ac:dyDescent="0.25">
      <c r="A1797">
        <v>1796</v>
      </c>
      <c r="B1797">
        <v>6</v>
      </c>
      <c r="C1797" t="str">
        <f>VLOOKUP(B1797,'Cadastro Produtos'!A:E,2,2)</f>
        <v>Limonada Beta com Açúcar 1 L</v>
      </c>
      <c r="D1797">
        <v>6</v>
      </c>
      <c r="E1797" t="str">
        <f>VLOOKUP(D1797,'Cadatro Clientes'!A:O,2,2)</f>
        <v>Lemonade</v>
      </c>
      <c r="F1797" t="str">
        <f>VLOOKUP(D1797,'Cadatro Clientes'!A:O,9,2)</f>
        <v>Norte</v>
      </c>
      <c r="G1797" s="15">
        <v>42296</v>
      </c>
      <c r="H1797">
        <f t="shared" si="141"/>
        <v>2</v>
      </c>
      <c r="I1797">
        <f t="shared" si="142"/>
        <v>19</v>
      </c>
      <c r="J1797">
        <f t="shared" si="143"/>
        <v>10</v>
      </c>
      <c r="K1797">
        <f t="shared" si="144"/>
        <v>2015</v>
      </c>
      <c r="M1797">
        <v>12</v>
      </c>
      <c r="N1797" t="str">
        <f>VLOOKUP(M1797,'Cadastro Vendedores'!A:H,2,2)</f>
        <v>Paulo</v>
      </c>
      <c r="O1797" s="2"/>
      <c r="P1797" s="16">
        <v>3200</v>
      </c>
      <c r="Q1797" s="2">
        <f>VLOOKUP(B1797,'Cadastro Produtos'!A:F,5,2)</f>
        <v>12</v>
      </c>
      <c r="R1797" s="14">
        <f t="shared" si="140"/>
        <v>38400</v>
      </c>
    </row>
    <row r="1798" spans="1:18" x14ac:dyDescent="0.25">
      <c r="A1798">
        <v>1797</v>
      </c>
      <c r="B1798">
        <v>5</v>
      </c>
      <c r="C1798" t="str">
        <f>VLOOKUP(B1798,'Cadastro Produtos'!A:E,2,2)</f>
        <v>Limonada Alfa com Açúcar 1 L</v>
      </c>
      <c r="D1798">
        <v>14</v>
      </c>
      <c r="E1798" t="str">
        <f>VLOOKUP(D1798,'Cadatro Clientes'!A:O,2,2)</f>
        <v>Sprite</v>
      </c>
      <c r="F1798" t="str">
        <f>VLOOKUP(D1798,'Cadatro Clientes'!A:O,9,2)</f>
        <v>Norte</v>
      </c>
      <c r="G1798" s="15">
        <v>42296</v>
      </c>
      <c r="H1798">
        <f t="shared" si="141"/>
        <v>2</v>
      </c>
      <c r="I1798">
        <f t="shared" si="142"/>
        <v>19</v>
      </c>
      <c r="J1798">
        <f t="shared" si="143"/>
        <v>10</v>
      </c>
      <c r="K1798">
        <f t="shared" si="144"/>
        <v>2015</v>
      </c>
      <c r="M1798">
        <v>13</v>
      </c>
      <c r="N1798" t="str">
        <f>VLOOKUP(M1798,'Cadastro Vendedores'!A:H,2,2)</f>
        <v>Andre</v>
      </c>
      <c r="O1798" s="2"/>
      <c r="P1798" s="16">
        <v>4100</v>
      </c>
      <c r="Q1798" s="2">
        <f>VLOOKUP(B1798,'Cadastro Produtos'!A:F,5,2)</f>
        <v>15</v>
      </c>
      <c r="R1798" s="14">
        <f t="shared" si="140"/>
        <v>61500</v>
      </c>
    </row>
    <row r="1799" spans="1:18" x14ac:dyDescent="0.25">
      <c r="A1799">
        <v>1798</v>
      </c>
      <c r="B1799">
        <v>7</v>
      </c>
      <c r="C1799" t="str">
        <f>VLOOKUP(B1799,'Cadastro Produtos'!A:E,2,2)</f>
        <v>Limonada Alfa Zero 1 L</v>
      </c>
      <c r="D1799">
        <v>12</v>
      </c>
      <c r="E1799" t="str">
        <f>VLOOKUP(D1799,'Cadatro Clientes'!A:O,2,2)</f>
        <v>Limão da Ilha</v>
      </c>
      <c r="F1799" t="str">
        <f>VLOOKUP(D1799,'Cadatro Clientes'!A:O,9,2)</f>
        <v>Sul</v>
      </c>
      <c r="G1799" s="15">
        <v>42296</v>
      </c>
      <c r="H1799">
        <f t="shared" si="141"/>
        <v>2</v>
      </c>
      <c r="I1799">
        <f t="shared" si="142"/>
        <v>19</v>
      </c>
      <c r="J1799">
        <f t="shared" si="143"/>
        <v>10</v>
      </c>
      <c r="K1799">
        <f t="shared" si="144"/>
        <v>2015</v>
      </c>
      <c r="M1799">
        <v>6</v>
      </c>
      <c r="N1799" t="str">
        <f>VLOOKUP(M1799,'Cadastro Vendedores'!A:H,2,2)</f>
        <v>Antônia</v>
      </c>
      <c r="O1799" s="2"/>
      <c r="P1799" s="16">
        <v>1600</v>
      </c>
      <c r="Q1799" s="2">
        <f>VLOOKUP(B1799,'Cadastro Produtos'!A:F,5,2)</f>
        <v>15</v>
      </c>
      <c r="R1799" s="14">
        <f t="shared" si="140"/>
        <v>24000</v>
      </c>
    </row>
    <row r="1800" spans="1:18" x14ac:dyDescent="0.25">
      <c r="A1800">
        <v>1799</v>
      </c>
      <c r="B1800">
        <v>2</v>
      </c>
      <c r="C1800" t="str">
        <f>VLOOKUP(B1800,'Cadastro Produtos'!A:E,2,2)</f>
        <v>Limonada Beta com Açúcar 500 ml</v>
      </c>
      <c r="D1800">
        <v>15</v>
      </c>
      <c r="E1800" t="str">
        <f>VLOOKUP(D1800,'Cadatro Clientes'!A:O,2,2)</f>
        <v>Limão do Mané</v>
      </c>
      <c r="F1800" t="str">
        <f>VLOOKUP(D1800,'Cadatro Clientes'!A:O,9,2)</f>
        <v>Sul</v>
      </c>
      <c r="G1800" s="15">
        <v>42296</v>
      </c>
      <c r="H1800">
        <f t="shared" si="141"/>
        <v>2</v>
      </c>
      <c r="I1800">
        <f t="shared" si="142"/>
        <v>19</v>
      </c>
      <c r="J1800">
        <f t="shared" si="143"/>
        <v>10</v>
      </c>
      <c r="K1800">
        <f t="shared" si="144"/>
        <v>2015</v>
      </c>
      <c r="M1800">
        <v>15</v>
      </c>
      <c r="N1800" t="str">
        <f>VLOOKUP(M1800,'Cadastro Vendedores'!A:H,2,2)</f>
        <v>Luis</v>
      </c>
      <c r="O1800" s="2"/>
      <c r="P1800" s="16">
        <v>3300</v>
      </c>
      <c r="Q1800" s="2">
        <f>VLOOKUP(B1800,'Cadastro Produtos'!A:F,5,2)</f>
        <v>6.5</v>
      </c>
      <c r="R1800" s="14">
        <f t="shared" si="140"/>
        <v>21450</v>
      </c>
    </row>
    <row r="1801" spans="1:18" x14ac:dyDescent="0.25">
      <c r="A1801">
        <v>1800</v>
      </c>
      <c r="B1801">
        <v>10</v>
      </c>
      <c r="C1801" t="str">
        <f>VLOOKUP(B1801,'Cadastro Produtos'!A:E,2,2)</f>
        <v>Limonada Alfa com Hortelã Zero 1 L</v>
      </c>
      <c r="D1801">
        <v>17</v>
      </c>
      <c r="E1801" t="str">
        <f>VLOOKUP(D1801,'Cadatro Clientes'!A:O,2,2)</f>
        <v>Aracasuco</v>
      </c>
      <c r="F1801" t="str">
        <f>VLOOKUP(D1801,'Cadatro Clientes'!A:O,9,2)</f>
        <v>Nordeste</v>
      </c>
      <c r="G1801" s="15">
        <v>42297</v>
      </c>
      <c r="H1801">
        <f t="shared" si="141"/>
        <v>3</v>
      </c>
      <c r="I1801">
        <f t="shared" si="142"/>
        <v>20</v>
      </c>
      <c r="J1801">
        <f t="shared" si="143"/>
        <v>10</v>
      </c>
      <c r="K1801">
        <f t="shared" si="144"/>
        <v>2015</v>
      </c>
      <c r="M1801">
        <v>13</v>
      </c>
      <c r="N1801" t="str">
        <f>VLOOKUP(M1801,'Cadastro Vendedores'!A:H,2,2)</f>
        <v>Andre</v>
      </c>
      <c r="O1801" s="2"/>
      <c r="P1801" s="16">
        <v>1900</v>
      </c>
      <c r="Q1801" s="2">
        <f>VLOOKUP(B1801,'Cadastro Produtos'!A:F,5,2)</f>
        <v>21</v>
      </c>
      <c r="R1801" s="14">
        <f t="shared" si="140"/>
        <v>39900</v>
      </c>
    </row>
    <row r="1802" spans="1:18" x14ac:dyDescent="0.25">
      <c r="A1802">
        <v>1801</v>
      </c>
      <c r="B1802">
        <v>4</v>
      </c>
      <c r="C1802" t="str">
        <f>VLOOKUP(B1802,'Cadastro Produtos'!A:E,2,2)</f>
        <v>Limonada Beta Zero 500 ml</v>
      </c>
      <c r="D1802">
        <v>18</v>
      </c>
      <c r="E1802" t="str">
        <f>VLOOKUP(D1802,'Cadatro Clientes'!A:O,2,2)</f>
        <v>Rio Branco Limonada Ltda</v>
      </c>
      <c r="F1802" t="str">
        <f>VLOOKUP(D1802,'Cadatro Clientes'!A:O,9,2)</f>
        <v>Norte</v>
      </c>
      <c r="G1802" s="15">
        <v>42297</v>
      </c>
      <c r="H1802">
        <f t="shared" si="141"/>
        <v>3</v>
      </c>
      <c r="I1802">
        <f t="shared" si="142"/>
        <v>20</v>
      </c>
      <c r="J1802">
        <f t="shared" si="143"/>
        <v>10</v>
      </c>
      <c r="K1802">
        <f t="shared" si="144"/>
        <v>2015</v>
      </c>
      <c r="M1802">
        <v>9</v>
      </c>
      <c r="N1802" t="str">
        <f>VLOOKUP(M1802,'Cadastro Vendedores'!A:H,2,2)</f>
        <v>Adriana</v>
      </c>
      <c r="O1802" s="2"/>
      <c r="P1802" s="16">
        <v>9200</v>
      </c>
      <c r="Q1802" s="2">
        <f>VLOOKUP(B1802,'Cadastro Produtos'!A:F,5,2)</f>
        <v>7</v>
      </c>
      <c r="R1802" s="14">
        <f t="shared" si="140"/>
        <v>64400</v>
      </c>
    </row>
    <row r="1803" spans="1:18" x14ac:dyDescent="0.25">
      <c r="A1803">
        <v>1802</v>
      </c>
      <c r="B1803">
        <v>5</v>
      </c>
      <c r="C1803" t="str">
        <f>VLOOKUP(B1803,'Cadastro Produtos'!A:E,2,2)</f>
        <v>Limonada Alfa com Açúcar 1 L</v>
      </c>
      <c r="D1803">
        <v>9</v>
      </c>
      <c r="E1803" t="str">
        <f>VLOOKUP(D1803,'Cadatro Clientes'!A:O,2,2)</f>
        <v>Fresh Lemon</v>
      </c>
      <c r="F1803" t="str">
        <f>VLOOKUP(D1803,'Cadatro Clientes'!A:O,9,2)</f>
        <v>Sudeste</v>
      </c>
      <c r="G1803" s="15">
        <v>42297</v>
      </c>
      <c r="H1803">
        <f t="shared" si="141"/>
        <v>3</v>
      </c>
      <c r="I1803">
        <f t="shared" si="142"/>
        <v>20</v>
      </c>
      <c r="J1803">
        <f t="shared" si="143"/>
        <v>10</v>
      </c>
      <c r="K1803">
        <f t="shared" si="144"/>
        <v>2015</v>
      </c>
      <c r="M1803">
        <v>2</v>
      </c>
      <c r="N1803" t="str">
        <f>VLOOKUP(M1803,'Cadastro Vendedores'!A:H,2,2)</f>
        <v>Luis</v>
      </c>
      <c r="O1803" s="2"/>
      <c r="P1803" s="16">
        <v>4000</v>
      </c>
      <c r="Q1803" s="2">
        <f>VLOOKUP(B1803,'Cadastro Produtos'!A:F,5,2)</f>
        <v>15</v>
      </c>
      <c r="R1803" s="14">
        <f t="shared" si="140"/>
        <v>60000</v>
      </c>
    </row>
    <row r="1804" spans="1:18" x14ac:dyDescent="0.25">
      <c r="A1804">
        <v>1803</v>
      </c>
      <c r="B1804">
        <v>8</v>
      </c>
      <c r="C1804" t="str">
        <f>VLOOKUP(B1804,'Cadastro Produtos'!A:E,2,2)</f>
        <v>Limonada Beta Zero 1 L</v>
      </c>
      <c r="D1804">
        <v>6</v>
      </c>
      <c r="E1804" t="str">
        <f>VLOOKUP(D1804,'Cadatro Clientes'!A:O,2,2)</f>
        <v>Lemonade</v>
      </c>
      <c r="F1804" t="str">
        <f>VLOOKUP(D1804,'Cadatro Clientes'!A:O,9,2)</f>
        <v>Norte</v>
      </c>
      <c r="G1804" s="15">
        <v>42298</v>
      </c>
      <c r="H1804">
        <f t="shared" si="141"/>
        <v>4</v>
      </c>
      <c r="I1804">
        <f t="shared" si="142"/>
        <v>21</v>
      </c>
      <c r="J1804">
        <f t="shared" si="143"/>
        <v>10</v>
      </c>
      <c r="K1804">
        <f t="shared" si="144"/>
        <v>2015</v>
      </c>
      <c r="M1804">
        <v>3</v>
      </c>
      <c r="N1804" t="str">
        <f>VLOOKUP(M1804,'Cadastro Vendedores'!A:H,2,2)</f>
        <v>Antônia</v>
      </c>
      <c r="O1804" s="2"/>
      <c r="P1804" s="16">
        <v>4400</v>
      </c>
      <c r="Q1804" s="2">
        <f>VLOOKUP(B1804,'Cadastro Produtos'!A:F,5,2)</f>
        <v>12</v>
      </c>
      <c r="R1804" s="14">
        <f t="shared" si="140"/>
        <v>52800</v>
      </c>
    </row>
    <row r="1805" spans="1:18" x14ac:dyDescent="0.25">
      <c r="A1805">
        <v>1804</v>
      </c>
      <c r="B1805">
        <v>2</v>
      </c>
      <c r="C1805" t="str">
        <f>VLOOKUP(B1805,'Cadastro Produtos'!A:E,2,2)</f>
        <v>Limonada Beta com Açúcar 500 ml</v>
      </c>
      <c r="D1805">
        <v>17</v>
      </c>
      <c r="E1805" t="str">
        <f>VLOOKUP(D1805,'Cadatro Clientes'!A:O,2,2)</f>
        <v>Aracasuco</v>
      </c>
      <c r="F1805" t="str">
        <f>VLOOKUP(D1805,'Cadatro Clientes'!A:O,9,2)</f>
        <v>Nordeste</v>
      </c>
      <c r="G1805" s="15">
        <v>42298</v>
      </c>
      <c r="H1805">
        <f t="shared" si="141"/>
        <v>4</v>
      </c>
      <c r="I1805">
        <f t="shared" si="142"/>
        <v>21</v>
      </c>
      <c r="J1805">
        <f t="shared" si="143"/>
        <v>10</v>
      </c>
      <c r="K1805">
        <f t="shared" si="144"/>
        <v>2015</v>
      </c>
      <c r="M1805">
        <v>6</v>
      </c>
      <c r="N1805" t="str">
        <f>VLOOKUP(M1805,'Cadastro Vendedores'!A:H,2,2)</f>
        <v>Antônia</v>
      </c>
      <c r="O1805" s="2"/>
      <c r="P1805" s="16">
        <v>8900</v>
      </c>
      <c r="Q1805" s="2">
        <f>VLOOKUP(B1805,'Cadastro Produtos'!A:F,5,2)</f>
        <v>6.5</v>
      </c>
      <c r="R1805" s="14">
        <f t="shared" si="140"/>
        <v>57850</v>
      </c>
    </row>
    <row r="1806" spans="1:18" x14ac:dyDescent="0.25">
      <c r="A1806">
        <v>1805</v>
      </c>
      <c r="B1806">
        <v>6</v>
      </c>
      <c r="C1806" t="str">
        <f>VLOOKUP(B1806,'Cadastro Produtos'!A:E,2,2)</f>
        <v>Limonada Beta com Açúcar 1 L</v>
      </c>
      <c r="D1806">
        <v>12</v>
      </c>
      <c r="E1806" t="str">
        <f>VLOOKUP(D1806,'Cadatro Clientes'!A:O,2,2)</f>
        <v>Limão da Ilha</v>
      </c>
      <c r="F1806" t="str">
        <f>VLOOKUP(D1806,'Cadatro Clientes'!A:O,9,2)</f>
        <v>Sul</v>
      </c>
      <c r="G1806" s="15">
        <v>42299</v>
      </c>
      <c r="H1806">
        <f t="shared" si="141"/>
        <v>5</v>
      </c>
      <c r="I1806">
        <f t="shared" si="142"/>
        <v>22</v>
      </c>
      <c r="J1806">
        <f t="shared" si="143"/>
        <v>10</v>
      </c>
      <c r="K1806">
        <f t="shared" si="144"/>
        <v>2015</v>
      </c>
      <c r="M1806">
        <v>12</v>
      </c>
      <c r="N1806" t="str">
        <f>VLOOKUP(M1806,'Cadastro Vendedores'!A:H,2,2)</f>
        <v>Paulo</v>
      </c>
      <c r="O1806" s="2"/>
      <c r="P1806" s="16">
        <v>2000</v>
      </c>
      <c r="Q1806" s="2">
        <f>VLOOKUP(B1806,'Cadastro Produtos'!A:F,5,2)</f>
        <v>12</v>
      </c>
      <c r="R1806" s="14">
        <f t="shared" si="140"/>
        <v>24000</v>
      </c>
    </row>
    <row r="1807" spans="1:18" x14ac:dyDescent="0.25">
      <c r="A1807">
        <v>1806</v>
      </c>
      <c r="B1807">
        <v>2</v>
      </c>
      <c r="C1807" t="str">
        <f>VLOOKUP(B1807,'Cadastro Produtos'!A:E,2,2)</f>
        <v>Limonada Beta com Açúcar 500 ml</v>
      </c>
      <c r="D1807">
        <v>5</v>
      </c>
      <c r="E1807" t="str">
        <f>VLOOKUP(D1807,'Cadatro Clientes'!A:O,2,2)</f>
        <v>Axé com Limão</v>
      </c>
      <c r="F1807" t="str">
        <f>VLOOKUP(D1807,'Cadatro Clientes'!A:O,9,2)</f>
        <v>Nordeste</v>
      </c>
      <c r="G1807" s="15">
        <v>42300</v>
      </c>
      <c r="H1807">
        <f t="shared" si="141"/>
        <v>6</v>
      </c>
      <c r="I1807">
        <f t="shared" si="142"/>
        <v>23</v>
      </c>
      <c r="J1807">
        <f t="shared" si="143"/>
        <v>10</v>
      </c>
      <c r="K1807">
        <f t="shared" si="144"/>
        <v>2015</v>
      </c>
      <c r="M1807">
        <v>15</v>
      </c>
      <c r="N1807" t="str">
        <f>VLOOKUP(M1807,'Cadastro Vendedores'!A:H,2,2)</f>
        <v>Luis</v>
      </c>
      <c r="O1807" s="2"/>
      <c r="P1807" s="16">
        <v>5700</v>
      </c>
      <c r="Q1807" s="2">
        <f>VLOOKUP(B1807,'Cadastro Produtos'!A:F,5,2)</f>
        <v>6.5</v>
      </c>
      <c r="R1807" s="14">
        <f t="shared" si="140"/>
        <v>37050</v>
      </c>
    </row>
    <row r="1808" spans="1:18" x14ac:dyDescent="0.25">
      <c r="A1808">
        <v>1807</v>
      </c>
      <c r="B1808">
        <v>1</v>
      </c>
      <c r="C1808" t="str">
        <f>VLOOKUP(B1808,'Cadastro Produtos'!A:E,2,2)</f>
        <v>Limonada Alfa com Açúcar 500 ml</v>
      </c>
      <c r="D1808">
        <v>4</v>
      </c>
      <c r="E1808" t="str">
        <f>VLOOKUP(D1808,'Cadatro Clientes'!A:O,2,2)</f>
        <v>Limão Carioca e Cia</v>
      </c>
      <c r="F1808" t="str">
        <f>VLOOKUP(D1808,'Cadatro Clientes'!A:O,9,2)</f>
        <v>Sudeste</v>
      </c>
      <c r="G1808" s="15">
        <v>42300</v>
      </c>
      <c r="H1808">
        <f t="shared" si="141"/>
        <v>6</v>
      </c>
      <c r="I1808">
        <f t="shared" si="142"/>
        <v>23</v>
      </c>
      <c r="J1808">
        <f t="shared" si="143"/>
        <v>10</v>
      </c>
      <c r="K1808">
        <f t="shared" si="144"/>
        <v>2015</v>
      </c>
      <c r="M1808">
        <v>7</v>
      </c>
      <c r="N1808" t="str">
        <f>VLOOKUP(M1808,'Cadastro Vendedores'!A:H,2,2)</f>
        <v>Benedito</v>
      </c>
      <c r="O1808" s="2"/>
      <c r="P1808" s="16">
        <v>2900</v>
      </c>
      <c r="Q1808" s="2">
        <f>VLOOKUP(B1808,'Cadastro Produtos'!A:F,5,2)</f>
        <v>8.5</v>
      </c>
      <c r="R1808" s="14">
        <f t="shared" si="140"/>
        <v>24650</v>
      </c>
    </row>
    <row r="1809" spans="1:18" x14ac:dyDescent="0.25">
      <c r="A1809">
        <v>1808</v>
      </c>
      <c r="B1809">
        <v>5</v>
      </c>
      <c r="C1809" t="str">
        <f>VLOOKUP(B1809,'Cadastro Produtos'!A:E,2,2)</f>
        <v>Limonada Alfa com Açúcar 1 L</v>
      </c>
      <c r="D1809">
        <v>11</v>
      </c>
      <c r="E1809" t="str">
        <f>VLOOKUP(D1809,'Cadatro Clientes'!A:O,2,2)</f>
        <v>Red Lemon</v>
      </c>
      <c r="F1809" t="str">
        <f>VLOOKUP(D1809,'Cadatro Clientes'!A:O,9,2)</f>
        <v>Sul</v>
      </c>
      <c r="G1809" s="15">
        <v>42300</v>
      </c>
      <c r="H1809">
        <f t="shared" si="141"/>
        <v>6</v>
      </c>
      <c r="I1809">
        <f t="shared" si="142"/>
        <v>23</v>
      </c>
      <c r="J1809">
        <f t="shared" si="143"/>
        <v>10</v>
      </c>
      <c r="K1809">
        <f t="shared" si="144"/>
        <v>2015</v>
      </c>
      <c r="M1809">
        <v>9</v>
      </c>
      <c r="N1809" t="str">
        <f>VLOOKUP(M1809,'Cadastro Vendedores'!A:H,2,2)</f>
        <v>Adriana</v>
      </c>
      <c r="O1809" s="2"/>
      <c r="P1809" s="16">
        <v>4300</v>
      </c>
      <c r="Q1809" s="2">
        <f>VLOOKUP(B1809,'Cadastro Produtos'!A:F,5,2)</f>
        <v>15</v>
      </c>
      <c r="R1809" s="14">
        <f t="shared" si="140"/>
        <v>64500</v>
      </c>
    </row>
    <row r="1810" spans="1:18" x14ac:dyDescent="0.25">
      <c r="A1810">
        <v>1809</v>
      </c>
      <c r="B1810">
        <v>7</v>
      </c>
      <c r="C1810" t="str">
        <f>VLOOKUP(B1810,'Cadastro Produtos'!A:E,2,2)</f>
        <v>Limonada Alfa Zero 1 L</v>
      </c>
      <c r="D1810">
        <v>11</v>
      </c>
      <c r="E1810" t="str">
        <f>VLOOKUP(D1810,'Cadatro Clientes'!A:O,2,2)</f>
        <v>Red Lemon</v>
      </c>
      <c r="F1810" t="str">
        <f>VLOOKUP(D1810,'Cadatro Clientes'!A:O,9,2)</f>
        <v>Sul</v>
      </c>
      <c r="G1810" s="15">
        <v>42300</v>
      </c>
      <c r="H1810">
        <f t="shared" si="141"/>
        <v>6</v>
      </c>
      <c r="I1810">
        <f t="shared" si="142"/>
        <v>23</v>
      </c>
      <c r="J1810">
        <f t="shared" si="143"/>
        <v>10</v>
      </c>
      <c r="K1810">
        <f t="shared" si="144"/>
        <v>2015</v>
      </c>
      <c r="M1810">
        <v>15</v>
      </c>
      <c r="N1810" t="str">
        <f>VLOOKUP(M1810,'Cadastro Vendedores'!A:H,2,2)</f>
        <v>Luis</v>
      </c>
      <c r="O1810" s="2"/>
      <c r="P1810" s="16">
        <v>1300</v>
      </c>
      <c r="Q1810" s="2">
        <f>VLOOKUP(B1810,'Cadastro Produtos'!A:F,5,2)</f>
        <v>15</v>
      </c>
      <c r="R1810" s="14">
        <f t="shared" si="140"/>
        <v>19500</v>
      </c>
    </row>
    <row r="1811" spans="1:18" x14ac:dyDescent="0.25">
      <c r="A1811">
        <v>1810</v>
      </c>
      <c r="B1811">
        <v>9</v>
      </c>
      <c r="C1811" t="str">
        <f>VLOOKUP(B1811,'Cadastro Produtos'!A:E,2,2)</f>
        <v>Limonada Alfa com Hortelã e Açúcar 1 L</v>
      </c>
      <c r="D1811">
        <v>1</v>
      </c>
      <c r="E1811" t="str">
        <f>VLOOKUP(D1811,'Cadatro Clientes'!A:O,2,2)</f>
        <v>Meu Suco de Limão</v>
      </c>
      <c r="F1811" t="str">
        <f>VLOOKUP(D1811,'Cadatro Clientes'!A:O,9,2)</f>
        <v>Norte</v>
      </c>
      <c r="G1811" s="15">
        <v>42301</v>
      </c>
      <c r="H1811">
        <f t="shared" si="141"/>
        <v>7</v>
      </c>
      <c r="I1811">
        <f t="shared" si="142"/>
        <v>24</v>
      </c>
      <c r="J1811">
        <f t="shared" si="143"/>
        <v>10</v>
      </c>
      <c r="K1811">
        <f t="shared" si="144"/>
        <v>2015</v>
      </c>
      <c r="M1811">
        <v>7</v>
      </c>
      <c r="N1811" t="str">
        <f>VLOOKUP(M1811,'Cadastro Vendedores'!A:H,2,2)</f>
        <v>Benedito</v>
      </c>
      <c r="O1811" s="2"/>
      <c r="P1811" s="16">
        <v>1500</v>
      </c>
      <c r="Q1811" s="2">
        <f>VLOOKUP(B1811,'Cadastro Produtos'!A:F,5,2)</f>
        <v>17.5</v>
      </c>
      <c r="R1811" s="14">
        <f t="shared" si="140"/>
        <v>26250</v>
      </c>
    </row>
    <row r="1812" spans="1:18" x14ac:dyDescent="0.25">
      <c r="A1812">
        <v>1811</v>
      </c>
      <c r="B1812">
        <v>7</v>
      </c>
      <c r="C1812" t="str">
        <f>VLOOKUP(B1812,'Cadastro Produtos'!A:E,2,2)</f>
        <v>Limonada Alfa Zero 1 L</v>
      </c>
      <c r="D1812">
        <v>2</v>
      </c>
      <c r="E1812" t="str">
        <f>VLOOKUP(D1812,'Cadatro Clientes'!A:O,2,2)</f>
        <v>Limão S/A</v>
      </c>
      <c r="F1812" t="str">
        <f>VLOOKUP(D1812,'Cadatro Clientes'!A:O,9,2)</f>
        <v>Centro-Oeste</v>
      </c>
      <c r="G1812" s="15">
        <v>42301</v>
      </c>
      <c r="H1812">
        <f t="shared" si="141"/>
        <v>7</v>
      </c>
      <c r="I1812">
        <f t="shared" si="142"/>
        <v>24</v>
      </c>
      <c r="J1812">
        <f t="shared" si="143"/>
        <v>10</v>
      </c>
      <c r="K1812">
        <f t="shared" si="144"/>
        <v>2015</v>
      </c>
      <c r="M1812">
        <v>9</v>
      </c>
      <c r="N1812" t="str">
        <f>VLOOKUP(M1812,'Cadastro Vendedores'!A:H,2,2)</f>
        <v>Adriana</v>
      </c>
      <c r="O1812" s="2"/>
      <c r="P1812" s="16">
        <v>3600</v>
      </c>
      <c r="Q1812" s="2">
        <f>VLOOKUP(B1812,'Cadastro Produtos'!A:F,5,2)</f>
        <v>15</v>
      </c>
      <c r="R1812" s="14">
        <f t="shared" si="140"/>
        <v>54000</v>
      </c>
    </row>
    <row r="1813" spans="1:18" x14ac:dyDescent="0.25">
      <c r="A1813">
        <v>1812</v>
      </c>
      <c r="B1813">
        <v>8</v>
      </c>
      <c r="C1813" t="str">
        <f>VLOOKUP(B1813,'Cadastro Produtos'!A:E,2,2)</f>
        <v>Limonada Beta Zero 1 L</v>
      </c>
      <c r="D1813">
        <v>19</v>
      </c>
      <c r="E1813" t="str">
        <f>VLOOKUP(D1813,'Cadatro Clientes'!A:O,2,2)</f>
        <v>Lima Limão</v>
      </c>
      <c r="F1813" t="str">
        <f>VLOOKUP(D1813,'Cadatro Clientes'!A:O,9,2)</f>
        <v>Sudeste</v>
      </c>
      <c r="G1813" s="15">
        <v>42301</v>
      </c>
      <c r="H1813">
        <f t="shared" si="141"/>
        <v>7</v>
      </c>
      <c r="I1813">
        <f t="shared" si="142"/>
        <v>24</v>
      </c>
      <c r="J1813">
        <f t="shared" si="143"/>
        <v>10</v>
      </c>
      <c r="K1813">
        <f t="shared" si="144"/>
        <v>2015</v>
      </c>
      <c r="M1813">
        <v>13</v>
      </c>
      <c r="N1813" t="str">
        <f>VLOOKUP(M1813,'Cadastro Vendedores'!A:H,2,2)</f>
        <v>Andre</v>
      </c>
      <c r="O1813" s="2"/>
      <c r="P1813" s="16">
        <v>4500</v>
      </c>
      <c r="Q1813" s="2">
        <f>VLOOKUP(B1813,'Cadastro Produtos'!A:F,5,2)</f>
        <v>12</v>
      </c>
      <c r="R1813" s="14">
        <f t="shared" si="140"/>
        <v>54000</v>
      </c>
    </row>
    <row r="1814" spans="1:18" x14ac:dyDescent="0.25">
      <c r="A1814">
        <v>1813</v>
      </c>
      <c r="B1814">
        <v>5</v>
      </c>
      <c r="C1814" t="str">
        <f>VLOOKUP(B1814,'Cadastro Produtos'!A:E,2,2)</f>
        <v>Limonada Alfa com Açúcar 1 L</v>
      </c>
      <c r="D1814">
        <v>15</v>
      </c>
      <c r="E1814" t="str">
        <f>VLOOKUP(D1814,'Cadatro Clientes'!A:O,2,2)</f>
        <v>Limão do Mané</v>
      </c>
      <c r="F1814" t="str">
        <f>VLOOKUP(D1814,'Cadatro Clientes'!A:O,9,2)</f>
        <v>Sul</v>
      </c>
      <c r="G1814" s="15">
        <v>42301</v>
      </c>
      <c r="H1814">
        <f t="shared" si="141"/>
        <v>7</v>
      </c>
      <c r="I1814">
        <f t="shared" si="142"/>
        <v>24</v>
      </c>
      <c r="J1814">
        <f t="shared" si="143"/>
        <v>10</v>
      </c>
      <c r="K1814">
        <f t="shared" si="144"/>
        <v>2015</v>
      </c>
      <c r="M1814">
        <v>3</v>
      </c>
      <c r="N1814" t="str">
        <f>VLOOKUP(M1814,'Cadastro Vendedores'!A:H,2,2)</f>
        <v>Antônia</v>
      </c>
      <c r="O1814" s="2"/>
      <c r="P1814" s="16">
        <v>4200</v>
      </c>
      <c r="Q1814" s="2">
        <f>VLOOKUP(B1814,'Cadastro Produtos'!A:F,5,2)</f>
        <v>15</v>
      </c>
      <c r="R1814" s="14">
        <f t="shared" si="140"/>
        <v>63000</v>
      </c>
    </row>
    <row r="1815" spans="1:18" x14ac:dyDescent="0.25">
      <c r="A1815">
        <v>1814</v>
      </c>
      <c r="B1815">
        <v>7</v>
      </c>
      <c r="C1815" t="str">
        <f>VLOOKUP(B1815,'Cadastro Produtos'!A:E,2,2)</f>
        <v>Limonada Alfa Zero 1 L</v>
      </c>
      <c r="D1815">
        <v>5</v>
      </c>
      <c r="E1815" t="str">
        <f>VLOOKUP(D1815,'Cadatro Clientes'!A:O,2,2)</f>
        <v>Axé com Limão</v>
      </c>
      <c r="F1815" t="str">
        <f>VLOOKUP(D1815,'Cadatro Clientes'!A:O,9,2)</f>
        <v>Nordeste</v>
      </c>
      <c r="G1815" s="15">
        <v>42302</v>
      </c>
      <c r="H1815">
        <f t="shared" si="141"/>
        <v>1</v>
      </c>
      <c r="I1815">
        <f t="shared" si="142"/>
        <v>25</v>
      </c>
      <c r="J1815">
        <f t="shared" si="143"/>
        <v>10</v>
      </c>
      <c r="K1815">
        <f t="shared" si="144"/>
        <v>2015</v>
      </c>
      <c r="M1815">
        <v>16</v>
      </c>
      <c r="N1815" t="str">
        <f>VLOOKUP(M1815,'Cadastro Vendedores'!A:H,2,2)</f>
        <v>Jose</v>
      </c>
      <c r="O1815" s="2"/>
      <c r="P1815" s="16">
        <v>3400</v>
      </c>
      <c r="Q1815" s="2">
        <f>VLOOKUP(B1815,'Cadastro Produtos'!A:F,5,2)</f>
        <v>15</v>
      </c>
      <c r="R1815" s="14">
        <f t="shared" si="140"/>
        <v>51000</v>
      </c>
    </row>
    <row r="1816" spans="1:18" x14ac:dyDescent="0.25">
      <c r="A1816">
        <v>1815</v>
      </c>
      <c r="B1816">
        <v>2</v>
      </c>
      <c r="C1816" t="str">
        <f>VLOOKUP(B1816,'Cadastro Produtos'!A:E,2,2)</f>
        <v>Limonada Beta com Açúcar 500 ml</v>
      </c>
      <c r="D1816">
        <v>1</v>
      </c>
      <c r="E1816" t="str">
        <f>VLOOKUP(D1816,'Cadatro Clientes'!A:O,2,2)</f>
        <v>Meu Suco de Limão</v>
      </c>
      <c r="F1816" t="str">
        <f>VLOOKUP(D1816,'Cadatro Clientes'!A:O,9,2)</f>
        <v>Norte</v>
      </c>
      <c r="G1816" s="15">
        <v>42302</v>
      </c>
      <c r="H1816">
        <f t="shared" si="141"/>
        <v>1</v>
      </c>
      <c r="I1816">
        <f t="shared" si="142"/>
        <v>25</v>
      </c>
      <c r="J1816">
        <f t="shared" si="143"/>
        <v>10</v>
      </c>
      <c r="K1816">
        <f t="shared" si="144"/>
        <v>2015</v>
      </c>
      <c r="M1816">
        <v>6</v>
      </c>
      <c r="N1816" t="str">
        <f>VLOOKUP(M1816,'Cadastro Vendedores'!A:H,2,2)</f>
        <v>Antônia</v>
      </c>
      <c r="O1816" s="2"/>
      <c r="P1816" s="16">
        <v>4600</v>
      </c>
      <c r="Q1816" s="2">
        <f>VLOOKUP(B1816,'Cadastro Produtos'!A:F,5,2)</f>
        <v>6.5</v>
      </c>
      <c r="R1816" s="14">
        <f t="shared" si="140"/>
        <v>29900</v>
      </c>
    </row>
    <row r="1817" spans="1:18" x14ac:dyDescent="0.25">
      <c r="A1817">
        <v>1816</v>
      </c>
      <c r="B1817">
        <v>3</v>
      </c>
      <c r="C1817" t="str">
        <f>VLOOKUP(B1817,'Cadastro Produtos'!A:E,2,2)</f>
        <v>Limonada Alfa Zero 500 ml</v>
      </c>
      <c r="D1817">
        <v>4</v>
      </c>
      <c r="E1817" t="str">
        <f>VLOOKUP(D1817,'Cadatro Clientes'!A:O,2,2)</f>
        <v>Limão Carioca e Cia</v>
      </c>
      <c r="F1817" t="str">
        <f>VLOOKUP(D1817,'Cadatro Clientes'!A:O,9,2)</f>
        <v>Sudeste</v>
      </c>
      <c r="G1817" s="15">
        <v>42302</v>
      </c>
      <c r="H1817">
        <f t="shared" si="141"/>
        <v>1</v>
      </c>
      <c r="I1817">
        <f t="shared" si="142"/>
        <v>25</v>
      </c>
      <c r="J1817">
        <f t="shared" si="143"/>
        <v>10</v>
      </c>
      <c r="K1817">
        <f t="shared" si="144"/>
        <v>2015</v>
      </c>
      <c r="M1817">
        <v>3</v>
      </c>
      <c r="N1817" t="str">
        <f>VLOOKUP(M1817,'Cadastro Vendedores'!A:H,2,2)</f>
        <v>Antônia</v>
      </c>
      <c r="O1817" s="2"/>
      <c r="P1817" s="16">
        <v>2600</v>
      </c>
      <c r="Q1817" s="2">
        <f>VLOOKUP(B1817,'Cadastro Produtos'!A:F,5,2)</f>
        <v>9</v>
      </c>
      <c r="R1817" s="14">
        <f t="shared" si="140"/>
        <v>23400</v>
      </c>
    </row>
    <row r="1818" spans="1:18" x14ac:dyDescent="0.25">
      <c r="A1818">
        <v>1817</v>
      </c>
      <c r="B1818">
        <v>10</v>
      </c>
      <c r="C1818" t="str">
        <f>VLOOKUP(B1818,'Cadastro Produtos'!A:E,2,2)</f>
        <v>Limonada Alfa com Hortelã Zero 1 L</v>
      </c>
      <c r="D1818">
        <v>4</v>
      </c>
      <c r="E1818" t="str">
        <f>VLOOKUP(D1818,'Cadatro Clientes'!A:O,2,2)</f>
        <v>Limão Carioca e Cia</v>
      </c>
      <c r="F1818" t="str">
        <f>VLOOKUP(D1818,'Cadatro Clientes'!A:O,9,2)</f>
        <v>Sudeste</v>
      </c>
      <c r="G1818" s="15">
        <v>42302</v>
      </c>
      <c r="H1818">
        <f t="shared" si="141"/>
        <v>1</v>
      </c>
      <c r="I1818">
        <f t="shared" si="142"/>
        <v>25</v>
      </c>
      <c r="J1818">
        <f t="shared" si="143"/>
        <v>10</v>
      </c>
      <c r="K1818">
        <f t="shared" si="144"/>
        <v>2015</v>
      </c>
      <c r="M1818">
        <v>12</v>
      </c>
      <c r="N1818" t="str">
        <f>VLOOKUP(M1818,'Cadastro Vendedores'!A:H,2,2)</f>
        <v>Paulo</v>
      </c>
      <c r="O1818" s="2"/>
      <c r="P1818" s="16">
        <v>2700</v>
      </c>
      <c r="Q1818" s="2">
        <f>VLOOKUP(B1818,'Cadastro Produtos'!A:F,5,2)</f>
        <v>21</v>
      </c>
      <c r="R1818" s="14">
        <f t="shared" si="140"/>
        <v>56700</v>
      </c>
    </row>
    <row r="1819" spans="1:18" x14ac:dyDescent="0.25">
      <c r="A1819">
        <v>1818</v>
      </c>
      <c r="B1819">
        <v>3</v>
      </c>
      <c r="C1819" t="str">
        <f>VLOOKUP(B1819,'Cadastro Produtos'!A:E,2,2)</f>
        <v>Limonada Alfa Zero 500 ml</v>
      </c>
      <c r="D1819">
        <v>19</v>
      </c>
      <c r="E1819" t="str">
        <f>VLOOKUP(D1819,'Cadatro Clientes'!A:O,2,2)</f>
        <v>Lima Limão</v>
      </c>
      <c r="F1819" t="str">
        <f>VLOOKUP(D1819,'Cadatro Clientes'!A:O,9,2)</f>
        <v>Sudeste</v>
      </c>
      <c r="G1819" s="15">
        <v>42302</v>
      </c>
      <c r="H1819">
        <f t="shared" si="141"/>
        <v>1</v>
      </c>
      <c r="I1819">
        <f t="shared" si="142"/>
        <v>25</v>
      </c>
      <c r="J1819">
        <f t="shared" si="143"/>
        <v>10</v>
      </c>
      <c r="K1819">
        <f t="shared" si="144"/>
        <v>2015</v>
      </c>
      <c r="M1819">
        <v>4</v>
      </c>
      <c r="N1819" t="str">
        <f>VLOOKUP(M1819,'Cadastro Vendedores'!A:H,2,2)</f>
        <v>José</v>
      </c>
      <c r="O1819" s="2"/>
      <c r="P1819" s="16">
        <v>5000</v>
      </c>
      <c r="Q1819" s="2">
        <f>VLOOKUP(B1819,'Cadastro Produtos'!A:F,5,2)</f>
        <v>9</v>
      </c>
      <c r="R1819" s="14">
        <f t="shared" si="140"/>
        <v>45000</v>
      </c>
    </row>
    <row r="1820" spans="1:18" x14ac:dyDescent="0.25">
      <c r="A1820">
        <v>1819</v>
      </c>
      <c r="B1820">
        <v>5</v>
      </c>
      <c r="C1820" t="str">
        <f>VLOOKUP(B1820,'Cadastro Produtos'!A:E,2,2)</f>
        <v>Limonada Alfa com Açúcar 1 L</v>
      </c>
      <c r="D1820">
        <v>10</v>
      </c>
      <c r="E1820" t="str">
        <f>VLOOKUP(D1820,'Cadatro Clientes'!A:O,2,2)</f>
        <v>Lemon Gator</v>
      </c>
      <c r="F1820" t="str">
        <f>VLOOKUP(D1820,'Cadatro Clientes'!A:O,9,2)</f>
        <v>Nordeste</v>
      </c>
      <c r="G1820" s="15">
        <v>42302</v>
      </c>
      <c r="H1820">
        <f t="shared" si="141"/>
        <v>1</v>
      </c>
      <c r="I1820">
        <f t="shared" si="142"/>
        <v>25</v>
      </c>
      <c r="J1820">
        <f t="shared" si="143"/>
        <v>10</v>
      </c>
      <c r="K1820">
        <f t="shared" si="144"/>
        <v>2015</v>
      </c>
      <c r="M1820">
        <v>4</v>
      </c>
      <c r="N1820" t="str">
        <f>VLOOKUP(M1820,'Cadastro Vendedores'!A:H,2,2)</f>
        <v>José</v>
      </c>
      <c r="O1820" s="2"/>
      <c r="P1820" s="16">
        <v>4400</v>
      </c>
      <c r="Q1820" s="2">
        <f>VLOOKUP(B1820,'Cadastro Produtos'!A:F,5,2)</f>
        <v>15</v>
      </c>
      <c r="R1820" s="14">
        <f t="shared" si="140"/>
        <v>66000</v>
      </c>
    </row>
    <row r="1821" spans="1:18" x14ac:dyDescent="0.25">
      <c r="A1821">
        <v>1820</v>
      </c>
      <c r="B1821">
        <v>10</v>
      </c>
      <c r="C1821" t="str">
        <f>VLOOKUP(B1821,'Cadastro Produtos'!A:E,2,2)</f>
        <v>Limonada Alfa com Hortelã Zero 1 L</v>
      </c>
      <c r="D1821">
        <v>10</v>
      </c>
      <c r="E1821" t="str">
        <f>VLOOKUP(D1821,'Cadatro Clientes'!A:O,2,2)</f>
        <v>Lemon Gator</v>
      </c>
      <c r="F1821" t="str">
        <f>VLOOKUP(D1821,'Cadatro Clientes'!A:O,9,2)</f>
        <v>Nordeste</v>
      </c>
      <c r="G1821" s="15">
        <v>42303</v>
      </c>
      <c r="H1821">
        <f t="shared" si="141"/>
        <v>2</v>
      </c>
      <c r="I1821">
        <f t="shared" si="142"/>
        <v>26</v>
      </c>
      <c r="J1821">
        <f t="shared" si="143"/>
        <v>10</v>
      </c>
      <c r="K1821">
        <f t="shared" si="144"/>
        <v>2015</v>
      </c>
      <c r="M1821">
        <v>6</v>
      </c>
      <c r="N1821" t="str">
        <f>VLOOKUP(M1821,'Cadastro Vendedores'!A:H,2,2)</f>
        <v>Antônia</v>
      </c>
      <c r="O1821" s="2"/>
      <c r="P1821" s="16">
        <v>1800</v>
      </c>
      <c r="Q1821" s="2">
        <f>VLOOKUP(B1821,'Cadastro Produtos'!A:F,5,2)</f>
        <v>21</v>
      </c>
      <c r="R1821" s="14">
        <f t="shared" si="140"/>
        <v>37800</v>
      </c>
    </row>
    <row r="1822" spans="1:18" x14ac:dyDescent="0.25">
      <c r="A1822">
        <v>1821</v>
      </c>
      <c r="B1822">
        <v>8</v>
      </c>
      <c r="C1822" t="str">
        <f>VLOOKUP(B1822,'Cadastro Produtos'!A:E,2,2)</f>
        <v>Limonada Beta Zero 1 L</v>
      </c>
      <c r="D1822">
        <v>18</v>
      </c>
      <c r="E1822" t="str">
        <f>VLOOKUP(D1822,'Cadatro Clientes'!A:O,2,2)</f>
        <v>Rio Branco Limonada Ltda</v>
      </c>
      <c r="F1822" t="str">
        <f>VLOOKUP(D1822,'Cadatro Clientes'!A:O,9,2)</f>
        <v>Norte</v>
      </c>
      <c r="G1822" s="15">
        <v>42304</v>
      </c>
      <c r="H1822">
        <f t="shared" si="141"/>
        <v>3</v>
      </c>
      <c r="I1822">
        <f t="shared" si="142"/>
        <v>27</v>
      </c>
      <c r="J1822">
        <f t="shared" si="143"/>
        <v>10</v>
      </c>
      <c r="K1822">
        <f t="shared" si="144"/>
        <v>2015</v>
      </c>
      <c r="M1822">
        <v>13</v>
      </c>
      <c r="N1822" t="str">
        <f>VLOOKUP(M1822,'Cadastro Vendedores'!A:H,2,2)</f>
        <v>Andre</v>
      </c>
      <c r="O1822" s="2"/>
      <c r="P1822" s="16">
        <v>2600</v>
      </c>
      <c r="Q1822" s="2">
        <f>VLOOKUP(B1822,'Cadastro Produtos'!A:F,5,2)</f>
        <v>12</v>
      </c>
      <c r="R1822" s="14">
        <f t="shared" si="140"/>
        <v>31200</v>
      </c>
    </row>
    <row r="1823" spans="1:18" x14ac:dyDescent="0.25">
      <c r="A1823">
        <v>1822</v>
      </c>
      <c r="B1823">
        <v>8</v>
      </c>
      <c r="C1823" t="str">
        <f>VLOOKUP(B1823,'Cadastro Produtos'!A:E,2,2)</f>
        <v>Limonada Beta Zero 1 L</v>
      </c>
      <c r="D1823">
        <v>3</v>
      </c>
      <c r="E1823" t="str">
        <f>VLOOKUP(D1823,'Cadatro Clientes'!A:O,2,2)</f>
        <v>Limonada Suíça Ltda</v>
      </c>
      <c r="F1823" t="str">
        <f>VLOOKUP(D1823,'Cadatro Clientes'!A:O,9,2)</f>
        <v>Nordeste</v>
      </c>
      <c r="G1823" s="15">
        <v>42305</v>
      </c>
      <c r="H1823">
        <f t="shared" si="141"/>
        <v>4</v>
      </c>
      <c r="I1823">
        <f t="shared" si="142"/>
        <v>28</v>
      </c>
      <c r="J1823">
        <f t="shared" si="143"/>
        <v>10</v>
      </c>
      <c r="K1823">
        <f t="shared" si="144"/>
        <v>2015</v>
      </c>
      <c r="M1823">
        <v>9</v>
      </c>
      <c r="N1823" t="str">
        <f>VLOOKUP(M1823,'Cadastro Vendedores'!A:H,2,2)</f>
        <v>Adriana</v>
      </c>
      <c r="O1823" s="2"/>
      <c r="P1823" s="16">
        <v>2700</v>
      </c>
      <c r="Q1823" s="2">
        <f>VLOOKUP(B1823,'Cadastro Produtos'!A:F,5,2)</f>
        <v>12</v>
      </c>
      <c r="R1823" s="14">
        <f t="shared" si="140"/>
        <v>32400</v>
      </c>
    </row>
    <row r="1824" spans="1:18" x14ac:dyDescent="0.25">
      <c r="A1824">
        <v>1823</v>
      </c>
      <c r="B1824">
        <v>4</v>
      </c>
      <c r="C1824" t="str">
        <f>VLOOKUP(B1824,'Cadastro Produtos'!A:E,2,2)</f>
        <v>Limonada Beta Zero 500 ml</v>
      </c>
      <c r="D1824">
        <v>3</v>
      </c>
      <c r="E1824" t="str">
        <f>VLOOKUP(D1824,'Cadatro Clientes'!A:O,2,2)</f>
        <v>Limonada Suíça Ltda</v>
      </c>
      <c r="F1824" t="str">
        <f>VLOOKUP(D1824,'Cadatro Clientes'!A:O,9,2)</f>
        <v>Nordeste</v>
      </c>
      <c r="G1824" s="15">
        <v>42305</v>
      </c>
      <c r="H1824">
        <f t="shared" si="141"/>
        <v>4</v>
      </c>
      <c r="I1824">
        <f t="shared" si="142"/>
        <v>28</v>
      </c>
      <c r="J1824">
        <f t="shared" si="143"/>
        <v>10</v>
      </c>
      <c r="K1824">
        <f t="shared" si="144"/>
        <v>2015</v>
      </c>
      <c r="M1824">
        <v>4</v>
      </c>
      <c r="N1824" t="str">
        <f>VLOOKUP(M1824,'Cadastro Vendedores'!A:H,2,2)</f>
        <v>José</v>
      </c>
      <c r="O1824" s="2"/>
      <c r="P1824" s="16">
        <v>4900</v>
      </c>
      <c r="Q1824" s="2">
        <f>VLOOKUP(B1824,'Cadastro Produtos'!A:F,5,2)</f>
        <v>7</v>
      </c>
      <c r="R1824" s="14">
        <f t="shared" si="140"/>
        <v>34300</v>
      </c>
    </row>
    <row r="1825" spans="1:18" x14ac:dyDescent="0.25">
      <c r="A1825">
        <v>1824</v>
      </c>
      <c r="B1825">
        <v>3</v>
      </c>
      <c r="C1825" t="str">
        <f>VLOOKUP(B1825,'Cadastro Produtos'!A:E,2,2)</f>
        <v>Limonada Alfa Zero 500 ml</v>
      </c>
      <c r="D1825">
        <v>5</v>
      </c>
      <c r="E1825" t="str">
        <f>VLOOKUP(D1825,'Cadatro Clientes'!A:O,2,2)</f>
        <v>Axé com Limão</v>
      </c>
      <c r="F1825" t="str">
        <f>VLOOKUP(D1825,'Cadatro Clientes'!A:O,9,2)</f>
        <v>Nordeste</v>
      </c>
      <c r="G1825" s="15">
        <v>42305</v>
      </c>
      <c r="H1825">
        <f t="shared" si="141"/>
        <v>4</v>
      </c>
      <c r="I1825">
        <f t="shared" si="142"/>
        <v>28</v>
      </c>
      <c r="J1825">
        <f t="shared" si="143"/>
        <v>10</v>
      </c>
      <c r="K1825">
        <f t="shared" si="144"/>
        <v>2015</v>
      </c>
      <c r="M1825">
        <v>16</v>
      </c>
      <c r="N1825" t="str">
        <f>VLOOKUP(M1825,'Cadastro Vendedores'!A:H,2,2)</f>
        <v>Jose</v>
      </c>
      <c r="O1825" s="2"/>
      <c r="P1825" s="16">
        <v>6600</v>
      </c>
      <c r="Q1825" s="2">
        <f>VLOOKUP(B1825,'Cadastro Produtos'!A:F,5,2)</f>
        <v>9</v>
      </c>
      <c r="R1825" s="14">
        <f t="shared" si="140"/>
        <v>59400</v>
      </c>
    </row>
    <row r="1826" spans="1:18" x14ac:dyDescent="0.25">
      <c r="A1826">
        <v>1825</v>
      </c>
      <c r="B1826">
        <v>5</v>
      </c>
      <c r="C1826" t="str">
        <f>VLOOKUP(B1826,'Cadastro Produtos'!A:E,2,2)</f>
        <v>Limonada Alfa com Açúcar 1 L</v>
      </c>
      <c r="D1826">
        <v>2</v>
      </c>
      <c r="E1826" t="str">
        <f>VLOOKUP(D1826,'Cadatro Clientes'!A:O,2,2)</f>
        <v>Limão S/A</v>
      </c>
      <c r="F1826" t="str">
        <f>VLOOKUP(D1826,'Cadatro Clientes'!A:O,9,2)</f>
        <v>Centro-Oeste</v>
      </c>
      <c r="G1826" s="15">
        <v>42305</v>
      </c>
      <c r="H1826">
        <f t="shared" si="141"/>
        <v>4</v>
      </c>
      <c r="I1826">
        <f t="shared" si="142"/>
        <v>28</v>
      </c>
      <c r="J1826">
        <f t="shared" si="143"/>
        <v>10</v>
      </c>
      <c r="K1826">
        <f t="shared" si="144"/>
        <v>2015</v>
      </c>
      <c r="M1826">
        <v>7</v>
      </c>
      <c r="N1826" t="str">
        <f>VLOOKUP(M1826,'Cadastro Vendedores'!A:H,2,2)</f>
        <v>Benedito</v>
      </c>
      <c r="O1826" s="2"/>
      <c r="P1826" s="16">
        <v>3300</v>
      </c>
      <c r="Q1826" s="2">
        <f>VLOOKUP(B1826,'Cadastro Produtos'!A:F,5,2)</f>
        <v>15</v>
      </c>
      <c r="R1826" s="14">
        <f t="shared" si="140"/>
        <v>49500</v>
      </c>
    </row>
    <row r="1827" spans="1:18" x14ac:dyDescent="0.25">
      <c r="A1827">
        <v>1826</v>
      </c>
      <c r="B1827">
        <v>9</v>
      </c>
      <c r="C1827" t="str">
        <f>VLOOKUP(B1827,'Cadastro Produtos'!A:E,2,2)</f>
        <v>Limonada Alfa com Hortelã e Açúcar 1 L</v>
      </c>
      <c r="D1827">
        <v>2</v>
      </c>
      <c r="E1827" t="str">
        <f>VLOOKUP(D1827,'Cadatro Clientes'!A:O,2,2)</f>
        <v>Limão S/A</v>
      </c>
      <c r="F1827" t="str">
        <f>VLOOKUP(D1827,'Cadatro Clientes'!A:O,9,2)</f>
        <v>Centro-Oeste</v>
      </c>
      <c r="G1827" s="15">
        <v>42305</v>
      </c>
      <c r="H1827">
        <f t="shared" si="141"/>
        <v>4</v>
      </c>
      <c r="I1827">
        <f t="shared" si="142"/>
        <v>28</v>
      </c>
      <c r="J1827">
        <f t="shared" si="143"/>
        <v>10</v>
      </c>
      <c r="K1827">
        <f t="shared" si="144"/>
        <v>2015</v>
      </c>
      <c r="M1827">
        <v>16</v>
      </c>
      <c r="N1827" t="str">
        <f>VLOOKUP(M1827,'Cadastro Vendedores'!A:H,2,2)</f>
        <v>Jose</v>
      </c>
      <c r="O1827" s="2"/>
      <c r="P1827" s="16">
        <v>2400</v>
      </c>
      <c r="Q1827" s="2">
        <f>VLOOKUP(B1827,'Cadastro Produtos'!A:F,5,2)</f>
        <v>17.5</v>
      </c>
      <c r="R1827" s="14">
        <f t="shared" si="140"/>
        <v>42000</v>
      </c>
    </row>
    <row r="1828" spans="1:18" x14ac:dyDescent="0.25">
      <c r="A1828">
        <v>1827</v>
      </c>
      <c r="B1828">
        <v>10</v>
      </c>
      <c r="C1828" t="str">
        <f>VLOOKUP(B1828,'Cadastro Produtos'!A:E,2,2)</f>
        <v>Limonada Alfa com Hortelã Zero 1 L</v>
      </c>
      <c r="D1828">
        <v>10</v>
      </c>
      <c r="E1828" t="str">
        <f>VLOOKUP(D1828,'Cadatro Clientes'!A:O,2,2)</f>
        <v>Lemon Gator</v>
      </c>
      <c r="F1828" t="str">
        <f>VLOOKUP(D1828,'Cadatro Clientes'!A:O,9,2)</f>
        <v>Nordeste</v>
      </c>
      <c r="G1828" s="15">
        <v>42305</v>
      </c>
      <c r="H1828">
        <f t="shared" si="141"/>
        <v>4</v>
      </c>
      <c r="I1828">
        <f t="shared" si="142"/>
        <v>28</v>
      </c>
      <c r="J1828">
        <f t="shared" si="143"/>
        <v>10</v>
      </c>
      <c r="K1828">
        <f t="shared" si="144"/>
        <v>2015</v>
      </c>
      <c r="M1828">
        <v>4</v>
      </c>
      <c r="N1828" t="str">
        <f>VLOOKUP(M1828,'Cadastro Vendedores'!A:H,2,2)</f>
        <v>José</v>
      </c>
      <c r="O1828" s="2"/>
      <c r="P1828" s="16">
        <v>2300</v>
      </c>
      <c r="Q1828" s="2">
        <f>VLOOKUP(B1828,'Cadastro Produtos'!A:F,5,2)</f>
        <v>21</v>
      </c>
      <c r="R1828" s="14">
        <f t="shared" si="140"/>
        <v>48300</v>
      </c>
    </row>
    <row r="1829" spans="1:18" x14ac:dyDescent="0.25">
      <c r="A1829">
        <v>1828</v>
      </c>
      <c r="B1829">
        <v>1</v>
      </c>
      <c r="C1829" t="str">
        <f>VLOOKUP(B1829,'Cadastro Produtos'!A:E,2,2)</f>
        <v>Limonada Alfa com Açúcar 500 ml</v>
      </c>
      <c r="D1829">
        <v>7</v>
      </c>
      <c r="E1829" t="str">
        <f>VLOOKUP(D1829,'Cadatro Clientes'!A:O,2,2)</f>
        <v>Limo</v>
      </c>
      <c r="F1829" t="str">
        <f>VLOOKUP(D1829,'Cadatro Clientes'!A:O,9,2)</f>
        <v>Centro-Oeste</v>
      </c>
      <c r="G1829" s="15">
        <v>42306</v>
      </c>
      <c r="H1829">
        <f t="shared" si="141"/>
        <v>5</v>
      </c>
      <c r="I1829">
        <f t="shared" si="142"/>
        <v>29</v>
      </c>
      <c r="J1829">
        <f t="shared" si="143"/>
        <v>10</v>
      </c>
      <c r="K1829">
        <f t="shared" si="144"/>
        <v>2015</v>
      </c>
      <c r="M1829">
        <v>6</v>
      </c>
      <c r="N1829" t="str">
        <f>VLOOKUP(M1829,'Cadastro Vendedores'!A:H,2,2)</f>
        <v>Antônia</v>
      </c>
      <c r="O1829" s="2"/>
      <c r="P1829" s="16">
        <v>1900</v>
      </c>
      <c r="Q1829" s="2">
        <f>VLOOKUP(B1829,'Cadastro Produtos'!A:F,5,2)</f>
        <v>8.5</v>
      </c>
      <c r="R1829" s="14">
        <f t="shared" si="140"/>
        <v>16150</v>
      </c>
    </row>
    <row r="1830" spans="1:18" x14ac:dyDescent="0.25">
      <c r="A1830">
        <v>1829</v>
      </c>
      <c r="B1830">
        <v>9</v>
      </c>
      <c r="C1830" t="str">
        <f>VLOOKUP(B1830,'Cadastro Produtos'!A:E,2,2)</f>
        <v>Limonada Alfa com Hortelã e Açúcar 1 L</v>
      </c>
      <c r="D1830">
        <v>14</v>
      </c>
      <c r="E1830" t="str">
        <f>VLOOKUP(D1830,'Cadatro Clientes'!A:O,2,2)</f>
        <v>Sprite</v>
      </c>
      <c r="F1830" t="str">
        <f>VLOOKUP(D1830,'Cadatro Clientes'!A:O,9,2)</f>
        <v>Norte</v>
      </c>
      <c r="G1830" s="15">
        <v>42306</v>
      </c>
      <c r="H1830">
        <f t="shared" si="141"/>
        <v>5</v>
      </c>
      <c r="I1830">
        <f t="shared" si="142"/>
        <v>29</v>
      </c>
      <c r="J1830">
        <f t="shared" si="143"/>
        <v>10</v>
      </c>
      <c r="K1830">
        <f t="shared" si="144"/>
        <v>2015</v>
      </c>
      <c r="M1830">
        <v>15</v>
      </c>
      <c r="N1830" t="str">
        <f>VLOOKUP(M1830,'Cadastro Vendedores'!A:H,2,2)</f>
        <v>Luis</v>
      </c>
      <c r="O1830" s="2"/>
      <c r="P1830" s="16">
        <v>2000</v>
      </c>
      <c r="Q1830" s="2">
        <f>VLOOKUP(B1830,'Cadastro Produtos'!A:F,5,2)</f>
        <v>17.5</v>
      </c>
      <c r="R1830" s="14">
        <f t="shared" si="140"/>
        <v>35000</v>
      </c>
    </row>
    <row r="1831" spans="1:18" x14ac:dyDescent="0.25">
      <c r="A1831">
        <v>1830</v>
      </c>
      <c r="B1831">
        <v>1</v>
      </c>
      <c r="C1831" t="str">
        <f>VLOOKUP(B1831,'Cadastro Produtos'!A:E,2,2)</f>
        <v>Limonada Alfa com Açúcar 500 ml</v>
      </c>
      <c r="D1831">
        <v>13</v>
      </c>
      <c r="E1831" t="str">
        <f>VLOOKUP(D1831,'Cadatro Clientes'!A:O,2,2)</f>
        <v>Monster Lemon</v>
      </c>
      <c r="F1831" t="str">
        <f>VLOOKUP(D1831,'Cadatro Clientes'!A:O,9,2)</f>
        <v>Nordeste</v>
      </c>
      <c r="G1831" s="15">
        <v>42306</v>
      </c>
      <c r="H1831">
        <f t="shared" si="141"/>
        <v>5</v>
      </c>
      <c r="I1831">
        <f t="shared" si="142"/>
        <v>29</v>
      </c>
      <c r="J1831">
        <f t="shared" si="143"/>
        <v>10</v>
      </c>
      <c r="K1831">
        <f t="shared" si="144"/>
        <v>2015</v>
      </c>
      <c r="M1831">
        <v>12</v>
      </c>
      <c r="N1831" t="str">
        <f>VLOOKUP(M1831,'Cadastro Vendedores'!A:H,2,2)</f>
        <v>Paulo</v>
      </c>
      <c r="O1831" s="2"/>
      <c r="P1831" s="16">
        <v>7000</v>
      </c>
      <c r="Q1831" s="2">
        <f>VLOOKUP(B1831,'Cadastro Produtos'!A:F,5,2)</f>
        <v>8.5</v>
      </c>
      <c r="R1831" s="14">
        <f t="shared" si="140"/>
        <v>59500</v>
      </c>
    </row>
    <row r="1832" spans="1:18" x14ac:dyDescent="0.25">
      <c r="A1832">
        <v>1831</v>
      </c>
      <c r="B1832">
        <v>10</v>
      </c>
      <c r="C1832" t="str">
        <f>VLOOKUP(B1832,'Cadastro Produtos'!A:E,2,2)</f>
        <v>Limonada Alfa com Hortelã Zero 1 L</v>
      </c>
      <c r="D1832">
        <v>2</v>
      </c>
      <c r="E1832" t="str">
        <f>VLOOKUP(D1832,'Cadatro Clientes'!A:O,2,2)</f>
        <v>Limão S/A</v>
      </c>
      <c r="F1832" t="str">
        <f>VLOOKUP(D1832,'Cadatro Clientes'!A:O,9,2)</f>
        <v>Centro-Oeste</v>
      </c>
      <c r="G1832" s="15">
        <v>42307</v>
      </c>
      <c r="H1832">
        <f t="shared" si="141"/>
        <v>6</v>
      </c>
      <c r="I1832">
        <f t="shared" si="142"/>
        <v>30</v>
      </c>
      <c r="J1832">
        <f t="shared" si="143"/>
        <v>10</v>
      </c>
      <c r="K1832">
        <f t="shared" si="144"/>
        <v>2015</v>
      </c>
      <c r="M1832">
        <v>9</v>
      </c>
      <c r="N1832" t="str">
        <f>VLOOKUP(M1832,'Cadastro Vendedores'!A:H,2,2)</f>
        <v>Adriana</v>
      </c>
      <c r="O1832" s="2"/>
      <c r="P1832" s="16">
        <v>2700</v>
      </c>
      <c r="Q1832" s="2">
        <f>VLOOKUP(B1832,'Cadastro Produtos'!A:F,5,2)</f>
        <v>21</v>
      </c>
      <c r="R1832" s="14">
        <f t="shared" si="140"/>
        <v>56700</v>
      </c>
    </row>
    <row r="1833" spans="1:18" x14ac:dyDescent="0.25">
      <c r="A1833">
        <v>1832</v>
      </c>
      <c r="B1833">
        <v>7</v>
      </c>
      <c r="C1833" t="str">
        <f>VLOOKUP(B1833,'Cadastro Produtos'!A:E,2,2)</f>
        <v>Limonada Alfa Zero 1 L</v>
      </c>
      <c r="D1833">
        <v>14</v>
      </c>
      <c r="E1833" t="str">
        <f>VLOOKUP(D1833,'Cadatro Clientes'!A:O,2,2)</f>
        <v>Sprite</v>
      </c>
      <c r="F1833" t="str">
        <f>VLOOKUP(D1833,'Cadatro Clientes'!A:O,9,2)</f>
        <v>Norte</v>
      </c>
      <c r="G1833" s="15">
        <v>42307</v>
      </c>
      <c r="H1833">
        <f t="shared" si="141"/>
        <v>6</v>
      </c>
      <c r="I1833">
        <f t="shared" si="142"/>
        <v>30</v>
      </c>
      <c r="J1833">
        <f t="shared" si="143"/>
        <v>10</v>
      </c>
      <c r="K1833">
        <f t="shared" si="144"/>
        <v>2015</v>
      </c>
      <c r="M1833">
        <v>3</v>
      </c>
      <c r="N1833" t="str">
        <f>VLOOKUP(M1833,'Cadastro Vendedores'!A:H,2,2)</f>
        <v>Antônia</v>
      </c>
      <c r="O1833" s="2"/>
      <c r="P1833" s="16">
        <v>1400</v>
      </c>
      <c r="Q1833" s="2">
        <f>VLOOKUP(B1833,'Cadastro Produtos'!A:F,5,2)</f>
        <v>15</v>
      </c>
      <c r="R1833" s="14">
        <f t="shared" si="140"/>
        <v>21000</v>
      </c>
    </row>
    <row r="1834" spans="1:18" x14ac:dyDescent="0.25">
      <c r="A1834">
        <v>1833</v>
      </c>
      <c r="B1834">
        <v>7</v>
      </c>
      <c r="C1834" t="str">
        <f>VLOOKUP(B1834,'Cadastro Produtos'!A:E,2,2)</f>
        <v>Limonada Alfa Zero 1 L</v>
      </c>
      <c r="D1834">
        <v>17</v>
      </c>
      <c r="E1834" t="str">
        <f>VLOOKUP(D1834,'Cadatro Clientes'!A:O,2,2)</f>
        <v>Aracasuco</v>
      </c>
      <c r="F1834" t="str">
        <f>VLOOKUP(D1834,'Cadatro Clientes'!A:O,9,2)</f>
        <v>Nordeste</v>
      </c>
      <c r="G1834" s="15">
        <v>42307</v>
      </c>
      <c r="H1834">
        <f t="shared" si="141"/>
        <v>6</v>
      </c>
      <c r="I1834">
        <f t="shared" si="142"/>
        <v>30</v>
      </c>
      <c r="J1834">
        <f t="shared" si="143"/>
        <v>10</v>
      </c>
      <c r="K1834">
        <f t="shared" si="144"/>
        <v>2015</v>
      </c>
      <c r="M1834">
        <v>13</v>
      </c>
      <c r="N1834" t="str">
        <f>VLOOKUP(M1834,'Cadastro Vendedores'!A:H,2,2)</f>
        <v>Andre</v>
      </c>
      <c r="O1834" s="2"/>
      <c r="P1834" s="16">
        <v>3000</v>
      </c>
      <c r="Q1834" s="2">
        <f>VLOOKUP(B1834,'Cadastro Produtos'!A:F,5,2)</f>
        <v>15</v>
      </c>
      <c r="R1834" s="14">
        <f t="shared" si="140"/>
        <v>45000</v>
      </c>
    </row>
    <row r="1835" spans="1:18" x14ac:dyDescent="0.25">
      <c r="A1835">
        <v>1834</v>
      </c>
      <c r="B1835">
        <v>4</v>
      </c>
      <c r="C1835" t="str">
        <f>VLOOKUP(B1835,'Cadastro Produtos'!A:E,2,2)</f>
        <v>Limonada Beta Zero 500 ml</v>
      </c>
      <c r="D1835">
        <v>17</v>
      </c>
      <c r="E1835" t="str">
        <f>VLOOKUP(D1835,'Cadatro Clientes'!A:O,2,2)</f>
        <v>Aracasuco</v>
      </c>
      <c r="F1835" t="str">
        <f>VLOOKUP(D1835,'Cadatro Clientes'!A:O,9,2)</f>
        <v>Nordeste</v>
      </c>
      <c r="G1835" s="15">
        <v>42307</v>
      </c>
      <c r="H1835">
        <f t="shared" si="141"/>
        <v>6</v>
      </c>
      <c r="I1835">
        <f t="shared" si="142"/>
        <v>30</v>
      </c>
      <c r="J1835">
        <f t="shared" si="143"/>
        <v>10</v>
      </c>
      <c r="K1835">
        <f t="shared" si="144"/>
        <v>2015</v>
      </c>
      <c r="M1835">
        <v>7</v>
      </c>
      <c r="N1835" t="str">
        <f>VLOOKUP(M1835,'Cadastro Vendedores'!A:H,2,2)</f>
        <v>Benedito</v>
      </c>
      <c r="O1835" s="2"/>
      <c r="P1835" s="16">
        <v>2200</v>
      </c>
      <c r="Q1835" s="2">
        <f>VLOOKUP(B1835,'Cadastro Produtos'!A:F,5,2)</f>
        <v>7</v>
      </c>
      <c r="R1835" s="14">
        <f t="shared" si="140"/>
        <v>15400</v>
      </c>
    </row>
    <row r="1836" spans="1:18" x14ac:dyDescent="0.25">
      <c r="A1836">
        <v>1835</v>
      </c>
      <c r="B1836">
        <v>9</v>
      </c>
      <c r="C1836" t="str">
        <f>VLOOKUP(B1836,'Cadastro Produtos'!A:E,2,2)</f>
        <v>Limonada Alfa com Hortelã e Açúcar 1 L</v>
      </c>
      <c r="D1836">
        <v>1</v>
      </c>
      <c r="E1836" t="str">
        <f>VLOOKUP(D1836,'Cadatro Clientes'!A:O,2,2)</f>
        <v>Meu Suco de Limão</v>
      </c>
      <c r="F1836" t="str">
        <f>VLOOKUP(D1836,'Cadatro Clientes'!A:O,9,2)</f>
        <v>Norte</v>
      </c>
      <c r="G1836" s="15">
        <v>42308</v>
      </c>
      <c r="H1836">
        <f t="shared" si="141"/>
        <v>7</v>
      </c>
      <c r="I1836">
        <f t="shared" si="142"/>
        <v>31</v>
      </c>
      <c r="J1836">
        <f t="shared" si="143"/>
        <v>10</v>
      </c>
      <c r="K1836">
        <f t="shared" si="144"/>
        <v>2015</v>
      </c>
      <c r="M1836">
        <v>15</v>
      </c>
      <c r="N1836" t="str">
        <f>VLOOKUP(M1836,'Cadastro Vendedores'!A:H,2,2)</f>
        <v>Luis</v>
      </c>
      <c r="O1836" s="2"/>
      <c r="P1836" s="16">
        <v>2800</v>
      </c>
      <c r="Q1836" s="2">
        <f>VLOOKUP(B1836,'Cadastro Produtos'!A:F,5,2)</f>
        <v>17.5</v>
      </c>
      <c r="R1836" s="14">
        <f t="shared" si="140"/>
        <v>49000</v>
      </c>
    </row>
    <row r="1837" spans="1:18" x14ac:dyDescent="0.25">
      <c r="A1837">
        <v>1836</v>
      </c>
      <c r="B1837">
        <v>4</v>
      </c>
      <c r="C1837" t="str">
        <f>VLOOKUP(B1837,'Cadastro Produtos'!A:E,2,2)</f>
        <v>Limonada Beta Zero 500 ml</v>
      </c>
      <c r="D1837">
        <v>14</v>
      </c>
      <c r="E1837" t="str">
        <f>VLOOKUP(D1837,'Cadatro Clientes'!A:O,2,2)</f>
        <v>Sprite</v>
      </c>
      <c r="F1837" t="str">
        <f>VLOOKUP(D1837,'Cadatro Clientes'!A:O,9,2)</f>
        <v>Norte</v>
      </c>
      <c r="G1837" s="15">
        <v>42308</v>
      </c>
      <c r="H1837">
        <f t="shared" si="141"/>
        <v>7</v>
      </c>
      <c r="I1837">
        <f t="shared" si="142"/>
        <v>31</v>
      </c>
      <c r="J1837">
        <f t="shared" si="143"/>
        <v>10</v>
      </c>
      <c r="K1837">
        <f t="shared" si="144"/>
        <v>2015</v>
      </c>
      <c r="M1837">
        <v>8</v>
      </c>
      <c r="N1837" t="str">
        <f>VLOOKUP(M1837,'Cadastro Vendedores'!A:H,2,2)</f>
        <v>Sérgio</v>
      </c>
      <c r="O1837" s="2"/>
      <c r="P1837" s="16">
        <v>3600</v>
      </c>
      <c r="Q1837" s="2">
        <f>VLOOKUP(B1837,'Cadastro Produtos'!A:F,5,2)</f>
        <v>7</v>
      </c>
      <c r="R1837" s="14">
        <f t="shared" si="140"/>
        <v>25200</v>
      </c>
    </row>
    <row r="1838" spans="1:18" x14ac:dyDescent="0.25">
      <c r="A1838">
        <v>1837</v>
      </c>
      <c r="B1838">
        <v>5</v>
      </c>
      <c r="C1838" t="str">
        <f>VLOOKUP(B1838,'Cadastro Produtos'!A:E,2,2)</f>
        <v>Limonada Alfa com Açúcar 1 L</v>
      </c>
      <c r="D1838">
        <v>19</v>
      </c>
      <c r="E1838" t="str">
        <f>VLOOKUP(D1838,'Cadatro Clientes'!A:O,2,2)</f>
        <v>Lima Limão</v>
      </c>
      <c r="F1838" t="str">
        <f>VLOOKUP(D1838,'Cadatro Clientes'!A:O,9,2)</f>
        <v>Sudeste</v>
      </c>
      <c r="G1838" s="15">
        <v>42309</v>
      </c>
      <c r="H1838">
        <f t="shared" si="141"/>
        <v>1</v>
      </c>
      <c r="I1838">
        <f t="shared" si="142"/>
        <v>1</v>
      </c>
      <c r="J1838">
        <f t="shared" si="143"/>
        <v>11</v>
      </c>
      <c r="K1838">
        <f t="shared" si="144"/>
        <v>2015</v>
      </c>
      <c r="M1838">
        <v>8</v>
      </c>
      <c r="N1838" t="str">
        <f>VLOOKUP(M1838,'Cadastro Vendedores'!A:H,2,2)</f>
        <v>Sérgio</v>
      </c>
      <c r="O1838" s="2"/>
      <c r="P1838" s="16">
        <v>3800</v>
      </c>
      <c r="Q1838" s="2">
        <f>VLOOKUP(B1838,'Cadastro Produtos'!A:F,5,2)</f>
        <v>15</v>
      </c>
      <c r="R1838" s="14">
        <f t="shared" si="140"/>
        <v>57000</v>
      </c>
    </row>
    <row r="1839" spans="1:18" x14ac:dyDescent="0.25">
      <c r="A1839">
        <v>1838</v>
      </c>
      <c r="B1839">
        <v>6</v>
      </c>
      <c r="C1839" t="str">
        <f>VLOOKUP(B1839,'Cadastro Produtos'!A:E,2,2)</f>
        <v>Limonada Beta com Açúcar 1 L</v>
      </c>
      <c r="D1839">
        <v>5</v>
      </c>
      <c r="E1839" t="str">
        <f>VLOOKUP(D1839,'Cadatro Clientes'!A:O,2,2)</f>
        <v>Axé com Limão</v>
      </c>
      <c r="F1839" t="str">
        <f>VLOOKUP(D1839,'Cadatro Clientes'!A:O,9,2)</f>
        <v>Nordeste</v>
      </c>
      <c r="G1839" s="15">
        <v>42310</v>
      </c>
      <c r="H1839">
        <f t="shared" si="141"/>
        <v>2</v>
      </c>
      <c r="I1839">
        <f t="shared" si="142"/>
        <v>2</v>
      </c>
      <c r="J1839">
        <f t="shared" si="143"/>
        <v>11</v>
      </c>
      <c r="K1839">
        <f t="shared" si="144"/>
        <v>2015</v>
      </c>
      <c r="M1839">
        <v>15</v>
      </c>
      <c r="N1839" t="str">
        <f>VLOOKUP(M1839,'Cadastro Vendedores'!A:H,2,2)</f>
        <v>Luis</v>
      </c>
      <c r="O1839" s="2"/>
      <c r="P1839" s="16">
        <v>3900</v>
      </c>
      <c r="Q1839" s="2">
        <f>VLOOKUP(B1839,'Cadastro Produtos'!A:F,5,2)</f>
        <v>12</v>
      </c>
      <c r="R1839" s="14">
        <f t="shared" si="140"/>
        <v>46800</v>
      </c>
    </row>
    <row r="1840" spans="1:18" x14ac:dyDescent="0.25">
      <c r="A1840">
        <v>1839</v>
      </c>
      <c r="B1840">
        <v>9</v>
      </c>
      <c r="C1840" t="str">
        <f>VLOOKUP(B1840,'Cadastro Produtos'!A:E,2,2)</f>
        <v>Limonada Alfa com Hortelã e Açúcar 1 L</v>
      </c>
      <c r="D1840">
        <v>6</v>
      </c>
      <c r="E1840" t="str">
        <f>VLOOKUP(D1840,'Cadatro Clientes'!A:O,2,2)</f>
        <v>Lemonade</v>
      </c>
      <c r="F1840" t="str">
        <f>VLOOKUP(D1840,'Cadatro Clientes'!A:O,9,2)</f>
        <v>Norte</v>
      </c>
      <c r="G1840" s="15">
        <v>42311</v>
      </c>
      <c r="H1840">
        <f t="shared" si="141"/>
        <v>3</v>
      </c>
      <c r="I1840">
        <f t="shared" si="142"/>
        <v>3</v>
      </c>
      <c r="J1840">
        <f t="shared" si="143"/>
        <v>11</v>
      </c>
      <c r="K1840">
        <f t="shared" si="144"/>
        <v>2015</v>
      </c>
      <c r="M1840">
        <v>4</v>
      </c>
      <c r="N1840" t="str">
        <f>VLOOKUP(M1840,'Cadastro Vendedores'!A:H,2,2)</f>
        <v>José</v>
      </c>
      <c r="O1840" s="2"/>
      <c r="P1840" s="16">
        <v>2700</v>
      </c>
      <c r="Q1840" s="2">
        <f>VLOOKUP(B1840,'Cadastro Produtos'!A:F,5,2)</f>
        <v>17.5</v>
      </c>
      <c r="R1840" s="14">
        <f t="shared" si="140"/>
        <v>47250</v>
      </c>
    </row>
    <row r="1841" spans="1:18" x14ac:dyDescent="0.25">
      <c r="A1841">
        <v>1840</v>
      </c>
      <c r="B1841">
        <v>5</v>
      </c>
      <c r="C1841" t="str">
        <f>VLOOKUP(B1841,'Cadastro Produtos'!A:E,2,2)</f>
        <v>Limonada Alfa com Açúcar 1 L</v>
      </c>
      <c r="D1841">
        <v>9</v>
      </c>
      <c r="E1841" t="str">
        <f>VLOOKUP(D1841,'Cadatro Clientes'!A:O,2,2)</f>
        <v>Fresh Lemon</v>
      </c>
      <c r="F1841" t="str">
        <f>VLOOKUP(D1841,'Cadatro Clientes'!A:O,9,2)</f>
        <v>Sudeste</v>
      </c>
      <c r="G1841" s="15">
        <v>42311</v>
      </c>
      <c r="H1841">
        <f t="shared" si="141"/>
        <v>3</v>
      </c>
      <c r="I1841">
        <f t="shared" si="142"/>
        <v>3</v>
      </c>
      <c r="J1841">
        <f t="shared" si="143"/>
        <v>11</v>
      </c>
      <c r="K1841">
        <f t="shared" si="144"/>
        <v>2015</v>
      </c>
      <c r="M1841">
        <v>6</v>
      </c>
      <c r="N1841" t="str">
        <f>VLOOKUP(M1841,'Cadastro Vendedores'!A:H,2,2)</f>
        <v>Antônia</v>
      </c>
      <c r="O1841" s="2"/>
      <c r="P1841" s="16">
        <v>1300</v>
      </c>
      <c r="Q1841" s="2">
        <f>VLOOKUP(B1841,'Cadastro Produtos'!A:F,5,2)</f>
        <v>15</v>
      </c>
      <c r="R1841" s="14">
        <f t="shared" si="140"/>
        <v>19500</v>
      </c>
    </row>
    <row r="1842" spans="1:18" x14ac:dyDescent="0.25">
      <c r="A1842">
        <v>1841</v>
      </c>
      <c r="B1842">
        <v>9</v>
      </c>
      <c r="C1842" t="str">
        <f>VLOOKUP(B1842,'Cadastro Produtos'!A:E,2,2)</f>
        <v>Limonada Alfa com Hortelã e Açúcar 1 L</v>
      </c>
      <c r="D1842">
        <v>14</v>
      </c>
      <c r="E1842" t="str">
        <f>VLOOKUP(D1842,'Cadatro Clientes'!A:O,2,2)</f>
        <v>Sprite</v>
      </c>
      <c r="F1842" t="str">
        <f>VLOOKUP(D1842,'Cadatro Clientes'!A:O,9,2)</f>
        <v>Norte</v>
      </c>
      <c r="G1842" s="15">
        <v>42312</v>
      </c>
      <c r="H1842">
        <f t="shared" si="141"/>
        <v>4</v>
      </c>
      <c r="I1842">
        <f t="shared" si="142"/>
        <v>4</v>
      </c>
      <c r="J1842">
        <f t="shared" si="143"/>
        <v>11</v>
      </c>
      <c r="K1842">
        <f t="shared" si="144"/>
        <v>2015</v>
      </c>
      <c r="M1842">
        <v>7</v>
      </c>
      <c r="N1842" t="str">
        <f>VLOOKUP(M1842,'Cadastro Vendedores'!A:H,2,2)</f>
        <v>Benedito</v>
      </c>
      <c r="O1842" s="2"/>
      <c r="P1842" s="16">
        <v>900</v>
      </c>
      <c r="Q1842" s="2">
        <f>VLOOKUP(B1842,'Cadastro Produtos'!A:F,5,2)</f>
        <v>17.5</v>
      </c>
      <c r="R1842" s="14">
        <f t="shared" si="140"/>
        <v>15750</v>
      </c>
    </row>
    <row r="1843" spans="1:18" x14ac:dyDescent="0.25">
      <c r="A1843">
        <v>1842</v>
      </c>
      <c r="B1843">
        <v>3</v>
      </c>
      <c r="C1843" t="str">
        <f>VLOOKUP(B1843,'Cadastro Produtos'!A:E,2,2)</f>
        <v>Limonada Alfa Zero 500 ml</v>
      </c>
      <c r="D1843">
        <v>14</v>
      </c>
      <c r="E1843" t="str">
        <f>VLOOKUP(D1843,'Cadatro Clientes'!A:O,2,2)</f>
        <v>Sprite</v>
      </c>
      <c r="F1843" t="str">
        <f>VLOOKUP(D1843,'Cadatro Clientes'!A:O,9,2)</f>
        <v>Norte</v>
      </c>
      <c r="G1843" s="15">
        <v>42312</v>
      </c>
      <c r="H1843">
        <f t="shared" si="141"/>
        <v>4</v>
      </c>
      <c r="I1843">
        <f t="shared" si="142"/>
        <v>4</v>
      </c>
      <c r="J1843">
        <f t="shared" si="143"/>
        <v>11</v>
      </c>
      <c r="K1843">
        <f t="shared" si="144"/>
        <v>2015</v>
      </c>
      <c r="M1843">
        <v>13</v>
      </c>
      <c r="N1843" t="str">
        <f>VLOOKUP(M1843,'Cadastro Vendedores'!A:H,2,2)</f>
        <v>Andre</v>
      </c>
      <c r="O1843" s="2"/>
      <c r="P1843" s="16">
        <v>6500</v>
      </c>
      <c r="Q1843" s="2">
        <f>VLOOKUP(B1843,'Cadastro Produtos'!A:F,5,2)</f>
        <v>9</v>
      </c>
      <c r="R1843" s="14">
        <f t="shared" si="140"/>
        <v>58500</v>
      </c>
    </row>
    <row r="1844" spans="1:18" x14ac:dyDescent="0.25">
      <c r="A1844">
        <v>1843</v>
      </c>
      <c r="B1844">
        <v>6</v>
      </c>
      <c r="C1844" t="str">
        <f>VLOOKUP(B1844,'Cadastro Produtos'!A:E,2,2)</f>
        <v>Limonada Beta com Açúcar 1 L</v>
      </c>
      <c r="D1844">
        <v>15</v>
      </c>
      <c r="E1844" t="str">
        <f>VLOOKUP(D1844,'Cadatro Clientes'!A:O,2,2)</f>
        <v>Limão do Mané</v>
      </c>
      <c r="F1844" t="str">
        <f>VLOOKUP(D1844,'Cadatro Clientes'!A:O,9,2)</f>
        <v>Sul</v>
      </c>
      <c r="G1844" s="15">
        <v>42312</v>
      </c>
      <c r="H1844">
        <f t="shared" si="141"/>
        <v>4</v>
      </c>
      <c r="I1844">
        <f t="shared" si="142"/>
        <v>4</v>
      </c>
      <c r="J1844">
        <f t="shared" si="143"/>
        <v>11</v>
      </c>
      <c r="K1844">
        <f t="shared" si="144"/>
        <v>2015</v>
      </c>
      <c r="M1844">
        <v>6</v>
      </c>
      <c r="N1844" t="str">
        <f>VLOOKUP(M1844,'Cadastro Vendedores'!A:H,2,2)</f>
        <v>Antônia</v>
      </c>
      <c r="O1844" s="2"/>
      <c r="P1844" s="16">
        <v>2500</v>
      </c>
      <c r="Q1844" s="2">
        <f>VLOOKUP(B1844,'Cadastro Produtos'!A:F,5,2)</f>
        <v>12</v>
      </c>
      <c r="R1844" s="14">
        <f t="shared" si="140"/>
        <v>30000</v>
      </c>
    </row>
    <row r="1845" spans="1:18" x14ac:dyDescent="0.25">
      <c r="A1845">
        <v>1844</v>
      </c>
      <c r="B1845">
        <v>9</v>
      </c>
      <c r="C1845" t="str">
        <f>VLOOKUP(B1845,'Cadastro Produtos'!A:E,2,2)</f>
        <v>Limonada Alfa com Hortelã e Açúcar 1 L</v>
      </c>
      <c r="D1845">
        <v>20</v>
      </c>
      <c r="E1845" t="str">
        <f>VLOOKUP(D1845,'Cadatro Clientes'!A:O,2,2)</f>
        <v>Brasil Saúde</v>
      </c>
      <c r="F1845" t="str">
        <f>VLOOKUP(D1845,'Cadatro Clientes'!A:O,9,2)</f>
        <v>Nordeste</v>
      </c>
      <c r="G1845" s="15">
        <v>42313</v>
      </c>
      <c r="H1845">
        <f t="shared" si="141"/>
        <v>5</v>
      </c>
      <c r="I1845">
        <f t="shared" si="142"/>
        <v>5</v>
      </c>
      <c r="J1845">
        <f t="shared" si="143"/>
        <v>11</v>
      </c>
      <c r="K1845">
        <f t="shared" si="144"/>
        <v>2015</v>
      </c>
      <c r="M1845">
        <v>8</v>
      </c>
      <c r="N1845" t="str">
        <f>VLOOKUP(M1845,'Cadastro Vendedores'!A:H,2,2)</f>
        <v>Sérgio</v>
      </c>
      <c r="O1845" s="2"/>
      <c r="P1845" s="16">
        <v>2500</v>
      </c>
      <c r="Q1845" s="2">
        <f>VLOOKUP(B1845,'Cadastro Produtos'!A:F,5,2)</f>
        <v>17.5</v>
      </c>
      <c r="R1845" s="14">
        <f t="shared" si="140"/>
        <v>43750</v>
      </c>
    </row>
    <row r="1846" spans="1:18" x14ac:dyDescent="0.25">
      <c r="A1846">
        <v>1845</v>
      </c>
      <c r="B1846">
        <v>5</v>
      </c>
      <c r="C1846" t="str">
        <f>VLOOKUP(B1846,'Cadastro Produtos'!A:E,2,2)</f>
        <v>Limonada Alfa com Açúcar 1 L</v>
      </c>
      <c r="D1846">
        <v>2</v>
      </c>
      <c r="E1846" t="str">
        <f>VLOOKUP(D1846,'Cadatro Clientes'!A:O,2,2)</f>
        <v>Limão S/A</v>
      </c>
      <c r="F1846" t="str">
        <f>VLOOKUP(D1846,'Cadatro Clientes'!A:O,9,2)</f>
        <v>Centro-Oeste</v>
      </c>
      <c r="G1846" s="15">
        <v>42313</v>
      </c>
      <c r="H1846">
        <f t="shared" si="141"/>
        <v>5</v>
      </c>
      <c r="I1846">
        <f t="shared" si="142"/>
        <v>5</v>
      </c>
      <c r="J1846">
        <f t="shared" si="143"/>
        <v>11</v>
      </c>
      <c r="K1846">
        <f t="shared" si="144"/>
        <v>2015</v>
      </c>
      <c r="M1846">
        <v>2</v>
      </c>
      <c r="N1846" t="str">
        <f>VLOOKUP(M1846,'Cadastro Vendedores'!A:H,2,2)</f>
        <v>Luis</v>
      </c>
      <c r="O1846" s="2"/>
      <c r="P1846" s="16">
        <v>3100</v>
      </c>
      <c r="Q1846" s="2">
        <f>VLOOKUP(B1846,'Cadastro Produtos'!A:F,5,2)</f>
        <v>15</v>
      </c>
      <c r="R1846" s="14">
        <f t="shared" si="140"/>
        <v>46500</v>
      </c>
    </row>
    <row r="1847" spans="1:18" x14ac:dyDescent="0.25">
      <c r="A1847">
        <v>1846</v>
      </c>
      <c r="B1847">
        <v>4</v>
      </c>
      <c r="C1847" t="str">
        <f>VLOOKUP(B1847,'Cadastro Produtos'!A:E,2,2)</f>
        <v>Limonada Beta Zero 500 ml</v>
      </c>
      <c r="D1847">
        <v>9</v>
      </c>
      <c r="E1847" t="str">
        <f>VLOOKUP(D1847,'Cadatro Clientes'!A:O,2,2)</f>
        <v>Fresh Lemon</v>
      </c>
      <c r="F1847" t="str">
        <f>VLOOKUP(D1847,'Cadatro Clientes'!A:O,9,2)</f>
        <v>Sudeste</v>
      </c>
      <c r="G1847" s="15">
        <v>42313</v>
      </c>
      <c r="H1847">
        <f t="shared" si="141"/>
        <v>5</v>
      </c>
      <c r="I1847">
        <f t="shared" si="142"/>
        <v>5</v>
      </c>
      <c r="J1847">
        <f t="shared" si="143"/>
        <v>11</v>
      </c>
      <c r="K1847">
        <f t="shared" si="144"/>
        <v>2015</v>
      </c>
      <c r="M1847">
        <v>3</v>
      </c>
      <c r="N1847" t="str">
        <f>VLOOKUP(M1847,'Cadastro Vendedores'!A:H,2,2)</f>
        <v>Antônia</v>
      </c>
      <c r="O1847" s="2"/>
      <c r="P1847" s="16">
        <v>8300</v>
      </c>
      <c r="Q1847" s="2">
        <f>VLOOKUP(B1847,'Cadastro Produtos'!A:F,5,2)</f>
        <v>7</v>
      </c>
      <c r="R1847" s="14">
        <f t="shared" si="140"/>
        <v>58100</v>
      </c>
    </row>
    <row r="1848" spans="1:18" x14ac:dyDescent="0.25">
      <c r="A1848">
        <v>1847</v>
      </c>
      <c r="B1848">
        <v>10</v>
      </c>
      <c r="C1848" t="str">
        <f>VLOOKUP(B1848,'Cadastro Produtos'!A:E,2,2)</f>
        <v>Limonada Alfa com Hortelã Zero 1 L</v>
      </c>
      <c r="D1848">
        <v>9</v>
      </c>
      <c r="E1848" t="str">
        <f>VLOOKUP(D1848,'Cadatro Clientes'!A:O,2,2)</f>
        <v>Fresh Lemon</v>
      </c>
      <c r="F1848" t="str">
        <f>VLOOKUP(D1848,'Cadatro Clientes'!A:O,9,2)</f>
        <v>Sudeste</v>
      </c>
      <c r="G1848" s="15">
        <v>42313</v>
      </c>
      <c r="H1848">
        <f t="shared" si="141"/>
        <v>5</v>
      </c>
      <c r="I1848">
        <f t="shared" si="142"/>
        <v>5</v>
      </c>
      <c r="J1848">
        <f t="shared" si="143"/>
        <v>11</v>
      </c>
      <c r="K1848">
        <f t="shared" si="144"/>
        <v>2015</v>
      </c>
      <c r="M1848">
        <v>13</v>
      </c>
      <c r="N1848" t="str">
        <f>VLOOKUP(M1848,'Cadastro Vendedores'!A:H,2,2)</f>
        <v>Andre</v>
      </c>
      <c r="O1848" s="2"/>
      <c r="P1848" s="16">
        <v>2600</v>
      </c>
      <c r="Q1848" s="2">
        <f>VLOOKUP(B1848,'Cadastro Produtos'!A:F,5,2)</f>
        <v>21</v>
      </c>
      <c r="R1848" s="14">
        <f t="shared" si="140"/>
        <v>54600</v>
      </c>
    </row>
    <row r="1849" spans="1:18" x14ac:dyDescent="0.25">
      <c r="A1849">
        <v>1848</v>
      </c>
      <c r="B1849">
        <v>5</v>
      </c>
      <c r="C1849" t="str">
        <f>VLOOKUP(B1849,'Cadastro Produtos'!A:E,2,2)</f>
        <v>Limonada Alfa com Açúcar 1 L</v>
      </c>
      <c r="D1849">
        <v>1</v>
      </c>
      <c r="E1849" t="str">
        <f>VLOOKUP(D1849,'Cadatro Clientes'!A:O,2,2)</f>
        <v>Meu Suco de Limão</v>
      </c>
      <c r="F1849" t="str">
        <f>VLOOKUP(D1849,'Cadatro Clientes'!A:O,9,2)</f>
        <v>Norte</v>
      </c>
      <c r="G1849" s="15">
        <v>42315</v>
      </c>
      <c r="H1849">
        <f t="shared" si="141"/>
        <v>7</v>
      </c>
      <c r="I1849">
        <f t="shared" si="142"/>
        <v>7</v>
      </c>
      <c r="J1849">
        <f t="shared" si="143"/>
        <v>11</v>
      </c>
      <c r="K1849">
        <f t="shared" si="144"/>
        <v>2015</v>
      </c>
      <c r="M1849">
        <v>4</v>
      </c>
      <c r="N1849" t="str">
        <f>VLOOKUP(M1849,'Cadastro Vendedores'!A:H,2,2)</f>
        <v>José</v>
      </c>
      <c r="O1849" s="2"/>
      <c r="P1849" s="16">
        <v>1300</v>
      </c>
      <c r="Q1849" s="2">
        <f>VLOOKUP(B1849,'Cadastro Produtos'!A:F,5,2)</f>
        <v>15</v>
      </c>
      <c r="R1849" s="14">
        <f t="shared" si="140"/>
        <v>19500</v>
      </c>
    </row>
    <row r="1850" spans="1:18" x14ac:dyDescent="0.25">
      <c r="A1850">
        <v>1849</v>
      </c>
      <c r="B1850">
        <v>8</v>
      </c>
      <c r="C1850" t="str">
        <f>VLOOKUP(B1850,'Cadastro Produtos'!A:E,2,2)</f>
        <v>Limonada Beta Zero 1 L</v>
      </c>
      <c r="D1850">
        <v>8</v>
      </c>
      <c r="E1850" t="str">
        <f>VLOOKUP(D1850,'Cadatro Clientes'!A:O,2,2)</f>
        <v>Refresko</v>
      </c>
      <c r="F1850" t="str">
        <f>VLOOKUP(D1850,'Cadatro Clientes'!A:O,9,2)</f>
        <v>Sul</v>
      </c>
      <c r="G1850" s="15">
        <v>42315</v>
      </c>
      <c r="H1850">
        <f t="shared" si="141"/>
        <v>7</v>
      </c>
      <c r="I1850">
        <f t="shared" si="142"/>
        <v>7</v>
      </c>
      <c r="J1850">
        <f t="shared" si="143"/>
        <v>11</v>
      </c>
      <c r="K1850">
        <f t="shared" si="144"/>
        <v>2015</v>
      </c>
      <c r="M1850">
        <v>2</v>
      </c>
      <c r="N1850" t="str">
        <f>VLOOKUP(M1850,'Cadastro Vendedores'!A:H,2,2)</f>
        <v>Luis</v>
      </c>
      <c r="O1850" s="2"/>
      <c r="P1850" s="16">
        <v>4700</v>
      </c>
      <c r="Q1850" s="2">
        <f>VLOOKUP(B1850,'Cadastro Produtos'!A:F,5,2)</f>
        <v>12</v>
      </c>
      <c r="R1850" s="14">
        <f t="shared" si="140"/>
        <v>56400</v>
      </c>
    </row>
    <row r="1851" spans="1:18" x14ac:dyDescent="0.25">
      <c r="A1851">
        <v>1850</v>
      </c>
      <c r="B1851">
        <v>3</v>
      </c>
      <c r="C1851" t="str">
        <f>VLOOKUP(B1851,'Cadastro Produtos'!A:E,2,2)</f>
        <v>Limonada Alfa Zero 500 ml</v>
      </c>
      <c r="D1851">
        <v>6</v>
      </c>
      <c r="E1851" t="str">
        <f>VLOOKUP(D1851,'Cadatro Clientes'!A:O,2,2)</f>
        <v>Lemonade</v>
      </c>
      <c r="F1851" t="str">
        <f>VLOOKUP(D1851,'Cadatro Clientes'!A:O,9,2)</f>
        <v>Norte</v>
      </c>
      <c r="G1851" s="15">
        <v>42315</v>
      </c>
      <c r="H1851">
        <f t="shared" si="141"/>
        <v>7</v>
      </c>
      <c r="I1851">
        <f t="shared" si="142"/>
        <v>7</v>
      </c>
      <c r="J1851">
        <f t="shared" si="143"/>
        <v>11</v>
      </c>
      <c r="K1851">
        <f t="shared" si="144"/>
        <v>2015</v>
      </c>
      <c r="M1851">
        <v>15</v>
      </c>
      <c r="N1851" t="str">
        <f>VLOOKUP(M1851,'Cadastro Vendedores'!A:H,2,2)</f>
        <v>Luis</v>
      </c>
      <c r="O1851" s="2"/>
      <c r="P1851" s="16">
        <v>5400</v>
      </c>
      <c r="Q1851" s="2">
        <f>VLOOKUP(B1851,'Cadastro Produtos'!A:F,5,2)</f>
        <v>9</v>
      </c>
      <c r="R1851" s="14">
        <f t="shared" si="140"/>
        <v>48600</v>
      </c>
    </row>
    <row r="1852" spans="1:18" x14ac:dyDescent="0.25">
      <c r="A1852">
        <v>1851</v>
      </c>
      <c r="B1852">
        <v>8</v>
      </c>
      <c r="C1852" t="str">
        <f>VLOOKUP(B1852,'Cadastro Produtos'!A:E,2,2)</f>
        <v>Limonada Beta Zero 1 L</v>
      </c>
      <c r="D1852">
        <v>16</v>
      </c>
      <c r="E1852" t="str">
        <f>VLOOKUP(D1852,'Cadatro Clientes'!A:O,2,2)</f>
        <v>Norte Suco</v>
      </c>
      <c r="F1852" t="str">
        <f>VLOOKUP(D1852,'Cadatro Clientes'!A:O,9,2)</f>
        <v>Nordeste</v>
      </c>
      <c r="G1852" s="15">
        <v>42315</v>
      </c>
      <c r="H1852">
        <f t="shared" si="141"/>
        <v>7</v>
      </c>
      <c r="I1852">
        <f t="shared" si="142"/>
        <v>7</v>
      </c>
      <c r="J1852">
        <f t="shared" si="143"/>
        <v>11</v>
      </c>
      <c r="K1852">
        <f t="shared" si="144"/>
        <v>2015</v>
      </c>
      <c r="M1852">
        <v>13</v>
      </c>
      <c r="N1852" t="str">
        <f>VLOOKUP(M1852,'Cadastro Vendedores'!A:H,2,2)</f>
        <v>Andre</v>
      </c>
      <c r="O1852" s="2"/>
      <c r="P1852" s="16">
        <v>1200</v>
      </c>
      <c r="Q1852" s="2">
        <f>VLOOKUP(B1852,'Cadastro Produtos'!A:F,5,2)</f>
        <v>12</v>
      </c>
      <c r="R1852" s="14">
        <f t="shared" si="140"/>
        <v>14400</v>
      </c>
    </row>
    <row r="1853" spans="1:18" x14ac:dyDescent="0.25">
      <c r="A1853">
        <v>1852</v>
      </c>
      <c r="B1853">
        <v>10</v>
      </c>
      <c r="C1853" t="str">
        <f>VLOOKUP(B1853,'Cadastro Produtos'!A:E,2,2)</f>
        <v>Limonada Alfa com Hortelã Zero 1 L</v>
      </c>
      <c r="D1853">
        <v>14</v>
      </c>
      <c r="E1853" t="str">
        <f>VLOOKUP(D1853,'Cadatro Clientes'!A:O,2,2)</f>
        <v>Sprite</v>
      </c>
      <c r="F1853" t="str">
        <f>VLOOKUP(D1853,'Cadatro Clientes'!A:O,9,2)</f>
        <v>Norte</v>
      </c>
      <c r="G1853" s="15">
        <v>42315</v>
      </c>
      <c r="H1853">
        <f t="shared" si="141"/>
        <v>7</v>
      </c>
      <c r="I1853">
        <f t="shared" si="142"/>
        <v>7</v>
      </c>
      <c r="J1853">
        <f t="shared" si="143"/>
        <v>11</v>
      </c>
      <c r="K1853">
        <f t="shared" si="144"/>
        <v>2015</v>
      </c>
      <c r="M1853">
        <v>12</v>
      </c>
      <c r="N1853" t="str">
        <f>VLOOKUP(M1853,'Cadastro Vendedores'!A:H,2,2)</f>
        <v>Paulo</v>
      </c>
      <c r="O1853" s="2"/>
      <c r="P1853" s="16">
        <v>1800</v>
      </c>
      <c r="Q1853" s="2">
        <f>VLOOKUP(B1853,'Cadastro Produtos'!A:F,5,2)</f>
        <v>21</v>
      </c>
      <c r="R1853" s="14">
        <f t="shared" si="140"/>
        <v>37800</v>
      </c>
    </row>
    <row r="1854" spans="1:18" x14ac:dyDescent="0.25">
      <c r="A1854">
        <v>1853</v>
      </c>
      <c r="B1854">
        <v>10</v>
      </c>
      <c r="C1854" t="str">
        <f>VLOOKUP(B1854,'Cadastro Produtos'!A:E,2,2)</f>
        <v>Limonada Alfa com Hortelã Zero 1 L</v>
      </c>
      <c r="D1854">
        <v>19</v>
      </c>
      <c r="E1854" t="str">
        <f>VLOOKUP(D1854,'Cadatro Clientes'!A:O,2,2)</f>
        <v>Lima Limão</v>
      </c>
      <c r="F1854" t="str">
        <f>VLOOKUP(D1854,'Cadatro Clientes'!A:O,9,2)</f>
        <v>Sudeste</v>
      </c>
      <c r="G1854" s="15">
        <v>42316</v>
      </c>
      <c r="H1854">
        <f t="shared" si="141"/>
        <v>1</v>
      </c>
      <c r="I1854">
        <f t="shared" si="142"/>
        <v>8</v>
      </c>
      <c r="J1854">
        <f t="shared" si="143"/>
        <v>11</v>
      </c>
      <c r="K1854">
        <f t="shared" si="144"/>
        <v>2015</v>
      </c>
      <c r="M1854">
        <v>7</v>
      </c>
      <c r="N1854" t="str">
        <f>VLOOKUP(M1854,'Cadastro Vendedores'!A:H,2,2)</f>
        <v>Benedito</v>
      </c>
      <c r="O1854" s="2"/>
      <c r="P1854" s="16">
        <v>1000</v>
      </c>
      <c r="Q1854" s="2">
        <f>VLOOKUP(B1854,'Cadastro Produtos'!A:F,5,2)</f>
        <v>21</v>
      </c>
      <c r="R1854" s="14">
        <f t="shared" si="140"/>
        <v>21000</v>
      </c>
    </row>
    <row r="1855" spans="1:18" x14ac:dyDescent="0.25">
      <c r="A1855">
        <v>1854</v>
      </c>
      <c r="B1855">
        <v>1</v>
      </c>
      <c r="C1855" t="str">
        <f>VLOOKUP(B1855,'Cadastro Produtos'!A:E,2,2)</f>
        <v>Limonada Alfa com Açúcar 500 ml</v>
      </c>
      <c r="D1855">
        <v>8</v>
      </c>
      <c r="E1855" t="str">
        <f>VLOOKUP(D1855,'Cadatro Clientes'!A:O,2,2)</f>
        <v>Refresko</v>
      </c>
      <c r="F1855" t="str">
        <f>VLOOKUP(D1855,'Cadatro Clientes'!A:O,9,2)</f>
        <v>Sul</v>
      </c>
      <c r="G1855" s="15">
        <v>42317</v>
      </c>
      <c r="H1855">
        <f t="shared" si="141"/>
        <v>2</v>
      </c>
      <c r="I1855">
        <f t="shared" si="142"/>
        <v>9</v>
      </c>
      <c r="J1855">
        <f t="shared" si="143"/>
        <v>11</v>
      </c>
      <c r="K1855">
        <f t="shared" si="144"/>
        <v>2015</v>
      </c>
      <c r="M1855">
        <v>7</v>
      </c>
      <c r="N1855" t="str">
        <f>VLOOKUP(M1855,'Cadastro Vendedores'!A:H,2,2)</f>
        <v>Benedito</v>
      </c>
      <c r="O1855" s="2"/>
      <c r="P1855" s="16">
        <v>4800</v>
      </c>
      <c r="Q1855" s="2">
        <f>VLOOKUP(B1855,'Cadastro Produtos'!A:F,5,2)</f>
        <v>8.5</v>
      </c>
      <c r="R1855" s="14">
        <f t="shared" si="140"/>
        <v>40800</v>
      </c>
    </row>
    <row r="1856" spans="1:18" x14ac:dyDescent="0.25">
      <c r="A1856">
        <v>1855</v>
      </c>
      <c r="B1856">
        <v>10</v>
      </c>
      <c r="C1856" t="str">
        <f>VLOOKUP(B1856,'Cadastro Produtos'!A:E,2,2)</f>
        <v>Limonada Alfa com Hortelã Zero 1 L</v>
      </c>
      <c r="D1856">
        <v>4</v>
      </c>
      <c r="E1856" t="str">
        <f>VLOOKUP(D1856,'Cadatro Clientes'!A:O,2,2)</f>
        <v>Limão Carioca e Cia</v>
      </c>
      <c r="F1856" t="str">
        <f>VLOOKUP(D1856,'Cadatro Clientes'!A:O,9,2)</f>
        <v>Sudeste</v>
      </c>
      <c r="G1856" s="15">
        <v>42317</v>
      </c>
      <c r="H1856">
        <f t="shared" si="141"/>
        <v>2</v>
      </c>
      <c r="I1856">
        <f t="shared" si="142"/>
        <v>9</v>
      </c>
      <c r="J1856">
        <f t="shared" si="143"/>
        <v>11</v>
      </c>
      <c r="K1856">
        <f t="shared" si="144"/>
        <v>2015</v>
      </c>
      <c r="M1856">
        <v>7</v>
      </c>
      <c r="N1856" t="str">
        <f>VLOOKUP(M1856,'Cadastro Vendedores'!A:H,2,2)</f>
        <v>Benedito</v>
      </c>
      <c r="O1856" s="2"/>
      <c r="P1856" s="16">
        <v>1100</v>
      </c>
      <c r="Q1856" s="2">
        <f>VLOOKUP(B1856,'Cadastro Produtos'!A:F,5,2)</f>
        <v>21</v>
      </c>
      <c r="R1856" s="14">
        <f t="shared" si="140"/>
        <v>23100</v>
      </c>
    </row>
    <row r="1857" spans="1:18" x14ac:dyDescent="0.25">
      <c r="A1857">
        <v>1856</v>
      </c>
      <c r="B1857">
        <v>9</v>
      </c>
      <c r="C1857" t="str">
        <f>VLOOKUP(B1857,'Cadastro Produtos'!A:E,2,2)</f>
        <v>Limonada Alfa com Hortelã e Açúcar 1 L</v>
      </c>
      <c r="D1857">
        <v>14</v>
      </c>
      <c r="E1857" t="str">
        <f>VLOOKUP(D1857,'Cadatro Clientes'!A:O,2,2)</f>
        <v>Sprite</v>
      </c>
      <c r="F1857" t="str">
        <f>VLOOKUP(D1857,'Cadatro Clientes'!A:O,9,2)</f>
        <v>Norte</v>
      </c>
      <c r="G1857" s="15">
        <v>42317</v>
      </c>
      <c r="H1857">
        <f t="shared" si="141"/>
        <v>2</v>
      </c>
      <c r="I1857">
        <f t="shared" si="142"/>
        <v>9</v>
      </c>
      <c r="J1857">
        <f t="shared" si="143"/>
        <v>11</v>
      </c>
      <c r="K1857">
        <f t="shared" si="144"/>
        <v>2015</v>
      </c>
      <c r="M1857">
        <v>8</v>
      </c>
      <c r="N1857" t="str">
        <f>VLOOKUP(M1857,'Cadastro Vendedores'!A:H,2,2)</f>
        <v>Sérgio</v>
      </c>
      <c r="O1857" s="2"/>
      <c r="P1857" s="16">
        <v>3700</v>
      </c>
      <c r="Q1857" s="2">
        <f>VLOOKUP(B1857,'Cadastro Produtos'!A:F,5,2)</f>
        <v>17.5</v>
      </c>
      <c r="R1857" s="14">
        <f t="shared" si="140"/>
        <v>64750</v>
      </c>
    </row>
    <row r="1858" spans="1:18" x14ac:dyDescent="0.25">
      <c r="A1858">
        <v>1857</v>
      </c>
      <c r="B1858">
        <v>5</v>
      </c>
      <c r="C1858" t="str">
        <f>VLOOKUP(B1858,'Cadastro Produtos'!A:E,2,2)</f>
        <v>Limonada Alfa com Açúcar 1 L</v>
      </c>
      <c r="D1858">
        <v>17</v>
      </c>
      <c r="E1858" t="str">
        <f>VLOOKUP(D1858,'Cadatro Clientes'!A:O,2,2)</f>
        <v>Aracasuco</v>
      </c>
      <c r="F1858" t="str">
        <f>VLOOKUP(D1858,'Cadatro Clientes'!A:O,9,2)</f>
        <v>Nordeste</v>
      </c>
      <c r="G1858" s="15">
        <v>42317</v>
      </c>
      <c r="H1858">
        <f t="shared" si="141"/>
        <v>2</v>
      </c>
      <c r="I1858">
        <f t="shared" si="142"/>
        <v>9</v>
      </c>
      <c r="J1858">
        <f t="shared" si="143"/>
        <v>11</v>
      </c>
      <c r="K1858">
        <f t="shared" si="144"/>
        <v>2015</v>
      </c>
      <c r="M1858">
        <v>12</v>
      </c>
      <c r="N1858" t="str">
        <f>VLOOKUP(M1858,'Cadastro Vendedores'!A:H,2,2)</f>
        <v>Paulo</v>
      </c>
      <c r="O1858" s="2"/>
      <c r="P1858" s="16">
        <v>1900</v>
      </c>
      <c r="Q1858" s="2">
        <f>VLOOKUP(B1858,'Cadastro Produtos'!A:F,5,2)</f>
        <v>15</v>
      </c>
      <c r="R1858" s="14">
        <f t="shared" ref="R1858:R1921" si="145">Q1858*P1858</f>
        <v>28500</v>
      </c>
    </row>
    <row r="1859" spans="1:18" x14ac:dyDescent="0.25">
      <c r="A1859">
        <v>1858</v>
      </c>
      <c r="B1859">
        <v>4</v>
      </c>
      <c r="C1859" t="str">
        <f>VLOOKUP(B1859,'Cadastro Produtos'!A:E,2,2)</f>
        <v>Limonada Beta Zero 500 ml</v>
      </c>
      <c r="D1859">
        <v>12</v>
      </c>
      <c r="E1859" t="str">
        <f>VLOOKUP(D1859,'Cadatro Clientes'!A:O,2,2)</f>
        <v>Limão da Ilha</v>
      </c>
      <c r="F1859" t="str">
        <f>VLOOKUP(D1859,'Cadatro Clientes'!A:O,9,2)</f>
        <v>Sul</v>
      </c>
      <c r="G1859" s="15">
        <v>42317</v>
      </c>
      <c r="H1859">
        <f t="shared" ref="H1859:H1922" si="146">WEEKDAY(G1859)</f>
        <v>2</v>
      </c>
      <c r="I1859">
        <f t="shared" ref="I1859:I1922" si="147">DAY(G1859)</f>
        <v>9</v>
      </c>
      <c r="J1859">
        <f t="shared" ref="J1859:J1922" si="148">MONTH(G1859)</f>
        <v>11</v>
      </c>
      <c r="K1859">
        <f t="shared" ref="K1859:K1922" si="149">YEAR(G1859)</f>
        <v>2015</v>
      </c>
      <c r="M1859">
        <v>2</v>
      </c>
      <c r="N1859" t="str">
        <f>VLOOKUP(M1859,'Cadastro Vendedores'!A:H,2,2)</f>
        <v>Luis</v>
      </c>
      <c r="O1859" s="2"/>
      <c r="P1859" s="16">
        <v>3200</v>
      </c>
      <c r="Q1859" s="2">
        <f>VLOOKUP(B1859,'Cadastro Produtos'!A:F,5,2)</f>
        <v>7</v>
      </c>
      <c r="R1859" s="14">
        <f t="shared" si="145"/>
        <v>22400</v>
      </c>
    </row>
    <row r="1860" spans="1:18" x14ac:dyDescent="0.25">
      <c r="A1860">
        <v>1859</v>
      </c>
      <c r="B1860">
        <v>5</v>
      </c>
      <c r="C1860" t="str">
        <f>VLOOKUP(B1860,'Cadastro Produtos'!A:E,2,2)</f>
        <v>Limonada Alfa com Açúcar 1 L</v>
      </c>
      <c r="D1860">
        <v>5</v>
      </c>
      <c r="E1860" t="str">
        <f>VLOOKUP(D1860,'Cadatro Clientes'!A:O,2,2)</f>
        <v>Axé com Limão</v>
      </c>
      <c r="F1860" t="str">
        <f>VLOOKUP(D1860,'Cadatro Clientes'!A:O,9,2)</f>
        <v>Nordeste</v>
      </c>
      <c r="G1860" s="15">
        <v>42318</v>
      </c>
      <c r="H1860">
        <f t="shared" si="146"/>
        <v>3</v>
      </c>
      <c r="I1860">
        <f t="shared" si="147"/>
        <v>10</v>
      </c>
      <c r="J1860">
        <f t="shared" si="148"/>
        <v>11</v>
      </c>
      <c r="K1860">
        <f t="shared" si="149"/>
        <v>2015</v>
      </c>
      <c r="M1860">
        <v>9</v>
      </c>
      <c r="N1860" t="str">
        <f>VLOOKUP(M1860,'Cadastro Vendedores'!A:H,2,2)</f>
        <v>Adriana</v>
      </c>
      <c r="O1860" s="2"/>
      <c r="P1860" s="16">
        <v>1700</v>
      </c>
      <c r="Q1860" s="2">
        <f>VLOOKUP(B1860,'Cadastro Produtos'!A:F,5,2)</f>
        <v>15</v>
      </c>
      <c r="R1860" s="14">
        <f t="shared" si="145"/>
        <v>25500</v>
      </c>
    </row>
    <row r="1861" spans="1:18" x14ac:dyDescent="0.25">
      <c r="A1861">
        <v>1860</v>
      </c>
      <c r="B1861">
        <v>5</v>
      </c>
      <c r="C1861" t="str">
        <f>VLOOKUP(B1861,'Cadastro Produtos'!A:E,2,2)</f>
        <v>Limonada Alfa com Açúcar 1 L</v>
      </c>
      <c r="D1861">
        <v>18</v>
      </c>
      <c r="E1861" t="str">
        <f>VLOOKUP(D1861,'Cadatro Clientes'!A:O,2,2)</f>
        <v>Rio Branco Limonada Ltda</v>
      </c>
      <c r="F1861" t="str">
        <f>VLOOKUP(D1861,'Cadatro Clientes'!A:O,9,2)</f>
        <v>Norte</v>
      </c>
      <c r="G1861" s="15">
        <v>42318</v>
      </c>
      <c r="H1861">
        <f t="shared" si="146"/>
        <v>3</v>
      </c>
      <c r="I1861">
        <f t="shared" si="147"/>
        <v>10</v>
      </c>
      <c r="J1861">
        <f t="shared" si="148"/>
        <v>11</v>
      </c>
      <c r="K1861">
        <f t="shared" si="149"/>
        <v>2015</v>
      </c>
      <c r="M1861">
        <v>9</v>
      </c>
      <c r="N1861" t="str">
        <f>VLOOKUP(M1861,'Cadastro Vendedores'!A:H,2,2)</f>
        <v>Adriana</v>
      </c>
      <c r="O1861" s="2"/>
      <c r="P1861" s="16">
        <v>1200</v>
      </c>
      <c r="Q1861" s="2">
        <f>VLOOKUP(B1861,'Cadastro Produtos'!A:F,5,2)</f>
        <v>15</v>
      </c>
      <c r="R1861" s="14">
        <f t="shared" si="145"/>
        <v>18000</v>
      </c>
    </row>
    <row r="1862" spans="1:18" x14ac:dyDescent="0.25">
      <c r="A1862">
        <v>1861</v>
      </c>
      <c r="B1862">
        <v>2</v>
      </c>
      <c r="C1862" t="str">
        <f>VLOOKUP(B1862,'Cadastro Produtos'!A:E,2,2)</f>
        <v>Limonada Beta com Açúcar 500 ml</v>
      </c>
      <c r="D1862">
        <v>6</v>
      </c>
      <c r="E1862" t="str">
        <f>VLOOKUP(D1862,'Cadatro Clientes'!A:O,2,2)</f>
        <v>Lemonade</v>
      </c>
      <c r="F1862" t="str">
        <f>VLOOKUP(D1862,'Cadatro Clientes'!A:O,9,2)</f>
        <v>Norte</v>
      </c>
      <c r="G1862" s="15">
        <v>42318</v>
      </c>
      <c r="H1862">
        <f t="shared" si="146"/>
        <v>3</v>
      </c>
      <c r="I1862">
        <f t="shared" si="147"/>
        <v>10</v>
      </c>
      <c r="J1862">
        <f t="shared" si="148"/>
        <v>11</v>
      </c>
      <c r="K1862">
        <f t="shared" si="149"/>
        <v>2015</v>
      </c>
      <c r="M1862">
        <v>13</v>
      </c>
      <c r="N1862" t="str">
        <f>VLOOKUP(M1862,'Cadastro Vendedores'!A:H,2,2)</f>
        <v>Andre</v>
      </c>
      <c r="O1862" s="2"/>
      <c r="P1862" s="16">
        <v>4600</v>
      </c>
      <c r="Q1862" s="2">
        <f>VLOOKUP(B1862,'Cadastro Produtos'!A:F,5,2)</f>
        <v>6.5</v>
      </c>
      <c r="R1862" s="14">
        <f t="shared" si="145"/>
        <v>29900</v>
      </c>
    </row>
    <row r="1863" spans="1:18" x14ac:dyDescent="0.25">
      <c r="A1863">
        <v>1862</v>
      </c>
      <c r="B1863">
        <v>1</v>
      </c>
      <c r="C1863" t="str">
        <f>VLOOKUP(B1863,'Cadastro Produtos'!A:E,2,2)</f>
        <v>Limonada Alfa com Açúcar 500 ml</v>
      </c>
      <c r="D1863">
        <v>12</v>
      </c>
      <c r="E1863" t="str">
        <f>VLOOKUP(D1863,'Cadatro Clientes'!A:O,2,2)</f>
        <v>Limão da Ilha</v>
      </c>
      <c r="F1863" t="str">
        <f>VLOOKUP(D1863,'Cadatro Clientes'!A:O,9,2)</f>
        <v>Sul</v>
      </c>
      <c r="G1863" s="15">
        <v>42318</v>
      </c>
      <c r="H1863">
        <f t="shared" si="146"/>
        <v>3</v>
      </c>
      <c r="I1863">
        <f t="shared" si="147"/>
        <v>10</v>
      </c>
      <c r="J1863">
        <f t="shared" si="148"/>
        <v>11</v>
      </c>
      <c r="K1863">
        <f t="shared" si="149"/>
        <v>2015</v>
      </c>
      <c r="M1863">
        <v>4</v>
      </c>
      <c r="N1863" t="str">
        <f>VLOOKUP(M1863,'Cadastro Vendedores'!A:H,2,2)</f>
        <v>José</v>
      </c>
      <c r="O1863" s="2"/>
      <c r="P1863" s="16">
        <v>1700</v>
      </c>
      <c r="Q1863" s="2">
        <f>VLOOKUP(B1863,'Cadastro Produtos'!A:F,5,2)</f>
        <v>8.5</v>
      </c>
      <c r="R1863" s="14">
        <f t="shared" si="145"/>
        <v>14450</v>
      </c>
    </row>
    <row r="1864" spans="1:18" x14ac:dyDescent="0.25">
      <c r="A1864">
        <v>1863</v>
      </c>
      <c r="B1864">
        <v>7</v>
      </c>
      <c r="C1864" t="str">
        <f>VLOOKUP(B1864,'Cadastro Produtos'!A:E,2,2)</f>
        <v>Limonada Alfa Zero 1 L</v>
      </c>
      <c r="D1864">
        <v>12</v>
      </c>
      <c r="E1864" t="str">
        <f>VLOOKUP(D1864,'Cadatro Clientes'!A:O,2,2)</f>
        <v>Limão da Ilha</v>
      </c>
      <c r="F1864" t="str">
        <f>VLOOKUP(D1864,'Cadatro Clientes'!A:O,9,2)</f>
        <v>Sul</v>
      </c>
      <c r="G1864" s="15">
        <v>42318</v>
      </c>
      <c r="H1864">
        <f t="shared" si="146"/>
        <v>3</v>
      </c>
      <c r="I1864">
        <f t="shared" si="147"/>
        <v>10</v>
      </c>
      <c r="J1864">
        <f t="shared" si="148"/>
        <v>11</v>
      </c>
      <c r="K1864">
        <f t="shared" si="149"/>
        <v>2015</v>
      </c>
      <c r="M1864">
        <v>7</v>
      </c>
      <c r="N1864" t="str">
        <f>VLOOKUP(M1864,'Cadastro Vendedores'!A:H,2,2)</f>
        <v>Benedito</v>
      </c>
      <c r="O1864" s="2"/>
      <c r="P1864" s="16">
        <v>1500</v>
      </c>
      <c r="Q1864" s="2">
        <f>VLOOKUP(B1864,'Cadastro Produtos'!A:F,5,2)</f>
        <v>15</v>
      </c>
      <c r="R1864" s="14">
        <f t="shared" si="145"/>
        <v>22500</v>
      </c>
    </row>
    <row r="1865" spans="1:18" x14ac:dyDescent="0.25">
      <c r="A1865">
        <v>1864</v>
      </c>
      <c r="B1865">
        <v>9</v>
      </c>
      <c r="C1865" t="str">
        <f>VLOOKUP(B1865,'Cadastro Produtos'!A:E,2,2)</f>
        <v>Limonada Alfa com Hortelã e Açúcar 1 L</v>
      </c>
      <c r="D1865">
        <v>8</v>
      </c>
      <c r="E1865" t="str">
        <f>VLOOKUP(D1865,'Cadatro Clientes'!A:O,2,2)</f>
        <v>Refresko</v>
      </c>
      <c r="F1865" t="str">
        <f>VLOOKUP(D1865,'Cadatro Clientes'!A:O,9,2)</f>
        <v>Sul</v>
      </c>
      <c r="G1865" s="15">
        <v>42319</v>
      </c>
      <c r="H1865">
        <f t="shared" si="146"/>
        <v>4</v>
      </c>
      <c r="I1865">
        <f t="shared" si="147"/>
        <v>11</v>
      </c>
      <c r="J1865">
        <f t="shared" si="148"/>
        <v>11</v>
      </c>
      <c r="K1865">
        <f t="shared" si="149"/>
        <v>2015</v>
      </c>
      <c r="M1865">
        <v>7</v>
      </c>
      <c r="N1865" t="str">
        <f>VLOOKUP(M1865,'Cadastro Vendedores'!A:H,2,2)</f>
        <v>Benedito</v>
      </c>
      <c r="O1865" s="2"/>
      <c r="P1865" s="16">
        <v>2100</v>
      </c>
      <c r="Q1865" s="2">
        <f>VLOOKUP(B1865,'Cadastro Produtos'!A:F,5,2)</f>
        <v>17.5</v>
      </c>
      <c r="R1865" s="14">
        <f t="shared" si="145"/>
        <v>36750</v>
      </c>
    </row>
    <row r="1866" spans="1:18" x14ac:dyDescent="0.25">
      <c r="A1866">
        <v>1865</v>
      </c>
      <c r="B1866">
        <v>9</v>
      </c>
      <c r="C1866" t="str">
        <f>VLOOKUP(B1866,'Cadastro Produtos'!A:E,2,2)</f>
        <v>Limonada Alfa com Hortelã e Açúcar 1 L</v>
      </c>
      <c r="D1866">
        <v>6</v>
      </c>
      <c r="E1866" t="str">
        <f>VLOOKUP(D1866,'Cadatro Clientes'!A:O,2,2)</f>
        <v>Lemonade</v>
      </c>
      <c r="F1866" t="str">
        <f>VLOOKUP(D1866,'Cadatro Clientes'!A:O,9,2)</f>
        <v>Norte</v>
      </c>
      <c r="G1866" s="15">
        <v>42319</v>
      </c>
      <c r="H1866">
        <f t="shared" si="146"/>
        <v>4</v>
      </c>
      <c r="I1866">
        <f t="shared" si="147"/>
        <v>11</v>
      </c>
      <c r="J1866">
        <f t="shared" si="148"/>
        <v>11</v>
      </c>
      <c r="K1866">
        <f t="shared" si="149"/>
        <v>2015</v>
      </c>
      <c r="M1866">
        <v>15</v>
      </c>
      <c r="N1866" t="str">
        <f>VLOOKUP(M1866,'Cadastro Vendedores'!A:H,2,2)</f>
        <v>Luis</v>
      </c>
      <c r="O1866" s="2"/>
      <c r="P1866" s="16">
        <v>1200</v>
      </c>
      <c r="Q1866" s="2">
        <f>VLOOKUP(B1866,'Cadastro Produtos'!A:F,5,2)</f>
        <v>17.5</v>
      </c>
      <c r="R1866" s="14">
        <f t="shared" si="145"/>
        <v>21000</v>
      </c>
    </row>
    <row r="1867" spans="1:18" x14ac:dyDescent="0.25">
      <c r="A1867">
        <v>1866</v>
      </c>
      <c r="B1867">
        <v>1</v>
      </c>
      <c r="C1867" t="str">
        <f>VLOOKUP(B1867,'Cadastro Produtos'!A:E,2,2)</f>
        <v>Limonada Alfa com Açúcar 500 ml</v>
      </c>
      <c r="D1867">
        <v>19</v>
      </c>
      <c r="E1867" t="str">
        <f>VLOOKUP(D1867,'Cadatro Clientes'!A:O,2,2)</f>
        <v>Lima Limão</v>
      </c>
      <c r="F1867" t="str">
        <f>VLOOKUP(D1867,'Cadatro Clientes'!A:O,9,2)</f>
        <v>Sudeste</v>
      </c>
      <c r="G1867" s="15">
        <v>42319</v>
      </c>
      <c r="H1867">
        <f t="shared" si="146"/>
        <v>4</v>
      </c>
      <c r="I1867">
        <f t="shared" si="147"/>
        <v>11</v>
      </c>
      <c r="J1867">
        <f t="shared" si="148"/>
        <v>11</v>
      </c>
      <c r="K1867">
        <f t="shared" si="149"/>
        <v>2015</v>
      </c>
      <c r="M1867">
        <v>15</v>
      </c>
      <c r="N1867" t="str">
        <f>VLOOKUP(M1867,'Cadastro Vendedores'!A:H,2,2)</f>
        <v>Luis</v>
      </c>
      <c r="O1867" s="2"/>
      <c r="P1867" s="16">
        <v>3500</v>
      </c>
      <c r="Q1867" s="2">
        <f>VLOOKUP(B1867,'Cadastro Produtos'!A:F,5,2)</f>
        <v>8.5</v>
      </c>
      <c r="R1867" s="14">
        <f t="shared" si="145"/>
        <v>29750</v>
      </c>
    </row>
    <row r="1868" spans="1:18" x14ac:dyDescent="0.25">
      <c r="A1868">
        <v>1867</v>
      </c>
      <c r="B1868">
        <v>8</v>
      </c>
      <c r="C1868" t="str">
        <f>VLOOKUP(B1868,'Cadastro Produtos'!A:E,2,2)</f>
        <v>Limonada Beta Zero 1 L</v>
      </c>
      <c r="D1868">
        <v>5</v>
      </c>
      <c r="E1868" t="str">
        <f>VLOOKUP(D1868,'Cadatro Clientes'!A:O,2,2)</f>
        <v>Axé com Limão</v>
      </c>
      <c r="F1868" t="str">
        <f>VLOOKUP(D1868,'Cadatro Clientes'!A:O,9,2)</f>
        <v>Nordeste</v>
      </c>
      <c r="G1868" s="15">
        <v>42321</v>
      </c>
      <c r="H1868">
        <f t="shared" si="146"/>
        <v>6</v>
      </c>
      <c r="I1868">
        <f t="shared" si="147"/>
        <v>13</v>
      </c>
      <c r="J1868">
        <f t="shared" si="148"/>
        <v>11</v>
      </c>
      <c r="K1868">
        <f t="shared" si="149"/>
        <v>2015</v>
      </c>
      <c r="M1868">
        <v>8</v>
      </c>
      <c r="N1868" t="str">
        <f>VLOOKUP(M1868,'Cadastro Vendedores'!A:H,2,2)</f>
        <v>Sérgio</v>
      </c>
      <c r="O1868" s="2"/>
      <c r="P1868" s="16">
        <v>2900</v>
      </c>
      <c r="Q1868" s="2">
        <f>VLOOKUP(B1868,'Cadastro Produtos'!A:F,5,2)</f>
        <v>12</v>
      </c>
      <c r="R1868" s="14">
        <f t="shared" si="145"/>
        <v>34800</v>
      </c>
    </row>
    <row r="1869" spans="1:18" x14ac:dyDescent="0.25">
      <c r="A1869">
        <v>1868</v>
      </c>
      <c r="B1869">
        <v>8</v>
      </c>
      <c r="C1869" t="str">
        <f>VLOOKUP(B1869,'Cadastro Produtos'!A:E,2,2)</f>
        <v>Limonada Beta Zero 1 L</v>
      </c>
      <c r="D1869">
        <v>19</v>
      </c>
      <c r="E1869" t="str">
        <f>VLOOKUP(D1869,'Cadatro Clientes'!A:O,2,2)</f>
        <v>Lima Limão</v>
      </c>
      <c r="F1869" t="str">
        <f>VLOOKUP(D1869,'Cadatro Clientes'!A:O,9,2)</f>
        <v>Sudeste</v>
      </c>
      <c r="G1869" s="15">
        <v>42321</v>
      </c>
      <c r="H1869">
        <f t="shared" si="146"/>
        <v>6</v>
      </c>
      <c r="I1869">
        <f t="shared" si="147"/>
        <v>13</v>
      </c>
      <c r="J1869">
        <f t="shared" si="148"/>
        <v>11</v>
      </c>
      <c r="K1869">
        <f t="shared" si="149"/>
        <v>2015</v>
      </c>
      <c r="M1869">
        <v>16</v>
      </c>
      <c r="N1869" t="str">
        <f>VLOOKUP(M1869,'Cadastro Vendedores'!A:H,2,2)</f>
        <v>Jose</v>
      </c>
      <c r="O1869" s="2"/>
      <c r="P1869" s="16">
        <v>3000</v>
      </c>
      <c r="Q1869" s="2">
        <f>VLOOKUP(B1869,'Cadastro Produtos'!A:F,5,2)</f>
        <v>12</v>
      </c>
      <c r="R1869" s="14">
        <f t="shared" si="145"/>
        <v>36000</v>
      </c>
    </row>
    <row r="1870" spans="1:18" x14ac:dyDescent="0.25">
      <c r="A1870">
        <v>1869</v>
      </c>
      <c r="B1870">
        <v>6</v>
      </c>
      <c r="C1870" t="str">
        <f>VLOOKUP(B1870,'Cadastro Produtos'!A:E,2,2)</f>
        <v>Limonada Beta com Açúcar 1 L</v>
      </c>
      <c r="D1870">
        <v>2</v>
      </c>
      <c r="E1870" t="str">
        <f>VLOOKUP(D1870,'Cadatro Clientes'!A:O,2,2)</f>
        <v>Limão S/A</v>
      </c>
      <c r="F1870" t="str">
        <f>VLOOKUP(D1870,'Cadatro Clientes'!A:O,9,2)</f>
        <v>Centro-Oeste</v>
      </c>
      <c r="G1870" s="15">
        <v>42321</v>
      </c>
      <c r="H1870">
        <f t="shared" si="146"/>
        <v>6</v>
      </c>
      <c r="I1870">
        <f t="shared" si="147"/>
        <v>13</v>
      </c>
      <c r="J1870">
        <f t="shared" si="148"/>
        <v>11</v>
      </c>
      <c r="K1870">
        <f t="shared" si="149"/>
        <v>2015</v>
      </c>
      <c r="M1870">
        <v>8</v>
      </c>
      <c r="N1870" t="str">
        <f>VLOOKUP(M1870,'Cadastro Vendedores'!A:H,2,2)</f>
        <v>Sérgio</v>
      </c>
      <c r="O1870" s="2"/>
      <c r="P1870" s="16">
        <v>3900</v>
      </c>
      <c r="Q1870" s="2">
        <f>VLOOKUP(B1870,'Cadastro Produtos'!A:F,5,2)</f>
        <v>12</v>
      </c>
      <c r="R1870" s="14">
        <f t="shared" si="145"/>
        <v>46800</v>
      </c>
    </row>
    <row r="1871" spans="1:18" x14ac:dyDescent="0.25">
      <c r="A1871">
        <v>1870</v>
      </c>
      <c r="B1871">
        <v>3</v>
      </c>
      <c r="C1871" t="str">
        <f>VLOOKUP(B1871,'Cadastro Produtos'!A:E,2,2)</f>
        <v>Limonada Alfa Zero 500 ml</v>
      </c>
      <c r="D1871">
        <v>1</v>
      </c>
      <c r="E1871" t="str">
        <f>VLOOKUP(D1871,'Cadatro Clientes'!A:O,2,2)</f>
        <v>Meu Suco de Limão</v>
      </c>
      <c r="F1871" t="str">
        <f>VLOOKUP(D1871,'Cadatro Clientes'!A:O,9,2)</f>
        <v>Norte</v>
      </c>
      <c r="G1871" s="15">
        <v>42322</v>
      </c>
      <c r="H1871">
        <f t="shared" si="146"/>
        <v>7</v>
      </c>
      <c r="I1871">
        <f t="shared" si="147"/>
        <v>14</v>
      </c>
      <c r="J1871">
        <f t="shared" si="148"/>
        <v>11</v>
      </c>
      <c r="K1871">
        <f t="shared" si="149"/>
        <v>2015</v>
      </c>
      <c r="M1871">
        <v>16</v>
      </c>
      <c r="N1871" t="str">
        <f>VLOOKUP(M1871,'Cadastro Vendedores'!A:H,2,2)</f>
        <v>Jose</v>
      </c>
      <c r="O1871" s="2"/>
      <c r="P1871" s="16">
        <v>6400</v>
      </c>
      <c r="Q1871" s="2">
        <f>VLOOKUP(B1871,'Cadastro Produtos'!A:F,5,2)</f>
        <v>9</v>
      </c>
      <c r="R1871" s="14">
        <f t="shared" si="145"/>
        <v>57600</v>
      </c>
    </row>
    <row r="1872" spans="1:18" x14ac:dyDescent="0.25">
      <c r="A1872">
        <v>1871</v>
      </c>
      <c r="B1872">
        <v>9</v>
      </c>
      <c r="C1872" t="str">
        <f>VLOOKUP(B1872,'Cadastro Produtos'!A:E,2,2)</f>
        <v>Limonada Alfa com Hortelã e Açúcar 1 L</v>
      </c>
      <c r="D1872">
        <v>14</v>
      </c>
      <c r="E1872" t="str">
        <f>VLOOKUP(D1872,'Cadatro Clientes'!A:O,2,2)</f>
        <v>Sprite</v>
      </c>
      <c r="F1872" t="str">
        <f>VLOOKUP(D1872,'Cadatro Clientes'!A:O,9,2)</f>
        <v>Norte</v>
      </c>
      <c r="G1872" s="15">
        <v>42323</v>
      </c>
      <c r="H1872">
        <f t="shared" si="146"/>
        <v>1</v>
      </c>
      <c r="I1872">
        <f t="shared" si="147"/>
        <v>15</v>
      </c>
      <c r="J1872">
        <f t="shared" si="148"/>
        <v>11</v>
      </c>
      <c r="K1872">
        <f t="shared" si="149"/>
        <v>2015</v>
      </c>
      <c r="M1872">
        <v>7</v>
      </c>
      <c r="N1872" t="str">
        <f>VLOOKUP(M1872,'Cadastro Vendedores'!A:H,2,2)</f>
        <v>Benedito</v>
      </c>
      <c r="O1872" s="2"/>
      <c r="P1872" s="16">
        <v>3400</v>
      </c>
      <c r="Q1872" s="2">
        <f>VLOOKUP(B1872,'Cadastro Produtos'!A:F,5,2)</f>
        <v>17.5</v>
      </c>
      <c r="R1872" s="14">
        <f t="shared" si="145"/>
        <v>59500</v>
      </c>
    </row>
    <row r="1873" spans="1:18" x14ac:dyDescent="0.25">
      <c r="A1873">
        <v>1872</v>
      </c>
      <c r="B1873">
        <v>6</v>
      </c>
      <c r="C1873" t="str">
        <f>VLOOKUP(B1873,'Cadastro Produtos'!A:E,2,2)</f>
        <v>Limonada Beta com Açúcar 1 L</v>
      </c>
      <c r="D1873">
        <v>2</v>
      </c>
      <c r="E1873" t="str">
        <f>VLOOKUP(D1873,'Cadatro Clientes'!A:O,2,2)</f>
        <v>Limão S/A</v>
      </c>
      <c r="F1873" t="str">
        <f>VLOOKUP(D1873,'Cadatro Clientes'!A:O,9,2)</f>
        <v>Centro-Oeste</v>
      </c>
      <c r="G1873" s="15">
        <v>42323</v>
      </c>
      <c r="H1873">
        <f t="shared" si="146"/>
        <v>1</v>
      </c>
      <c r="I1873">
        <f t="shared" si="147"/>
        <v>15</v>
      </c>
      <c r="J1873">
        <f t="shared" si="148"/>
        <v>11</v>
      </c>
      <c r="K1873">
        <f t="shared" si="149"/>
        <v>2015</v>
      </c>
      <c r="M1873">
        <v>2</v>
      </c>
      <c r="N1873" t="str">
        <f>VLOOKUP(M1873,'Cadastro Vendedores'!A:H,2,2)</f>
        <v>Luis</v>
      </c>
      <c r="O1873" s="2"/>
      <c r="P1873" s="16">
        <v>2500</v>
      </c>
      <c r="Q1873" s="2">
        <f>VLOOKUP(B1873,'Cadastro Produtos'!A:F,5,2)</f>
        <v>12</v>
      </c>
      <c r="R1873" s="14">
        <f t="shared" si="145"/>
        <v>30000</v>
      </c>
    </row>
    <row r="1874" spans="1:18" x14ac:dyDescent="0.25">
      <c r="A1874">
        <v>1873</v>
      </c>
      <c r="B1874">
        <v>2</v>
      </c>
      <c r="C1874" t="str">
        <f>VLOOKUP(B1874,'Cadastro Produtos'!A:E,2,2)</f>
        <v>Limonada Beta com Açúcar 500 ml</v>
      </c>
      <c r="D1874">
        <v>8</v>
      </c>
      <c r="E1874" t="str">
        <f>VLOOKUP(D1874,'Cadatro Clientes'!A:O,2,2)</f>
        <v>Refresko</v>
      </c>
      <c r="F1874" t="str">
        <f>VLOOKUP(D1874,'Cadatro Clientes'!A:O,9,2)</f>
        <v>Sul</v>
      </c>
      <c r="G1874" s="15">
        <v>42324</v>
      </c>
      <c r="H1874">
        <f t="shared" si="146"/>
        <v>2</v>
      </c>
      <c r="I1874">
        <f t="shared" si="147"/>
        <v>16</v>
      </c>
      <c r="J1874">
        <f t="shared" si="148"/>
        <v>11</v>
      </c>
      <c r="K1874">
        <f t="shared" si="149"/>
        <v>2015</v>
      </c>
      <c r="M1874">
        <v>7</v>
      </c>
      <c r="N1874" t="str">
        <f>VLOOKUP(M1874,'Cadastro Vendedores'!A:H,2,2)</f>
        <v>Benedito</v>
      </c>
      <c r="O1874" s="2"/>
      <c r="P1874" s="16">
        <v>8300</v>
      </c>
      <c r="Q1874" s="2">
        <f>VLOOKUP(B1874,'Cadastro Produtos'!A:F,5,2)</f>
        <v>6.5</v>
      </c>
      <c r="R1874" s="14">
        <f t="shared" si="145"/>
        <v>53950</v>
      </c>
    </row>
    <row r="1875" spans="1:18" x14ac:dyDescent="0.25">
      <c r="A1875">
        <v>1874</v>
      </c>
      <c r="B1875">
        <v>8</v>
      </c>
      <c r="C1875" t="str">
        <f>VLOOKUP(B1875,'Cadastro Produtos'!A:E,2,2)</f>
        <v>Limonada Beta Zero 1 L</v>
      </c>
      <c r="D1875">
        <v>8</v>
      </c>
      <c r="E1875" t="str">
        <f>VLOOKUP(D1875,'Cadatro Clientes'!A:O,2,2)</f>
        <v>Refresko</v>
      </c>
      <c r="F1875" t="str">
        <f>VLOOKUP(D1875,'Cadatro Clientes'!A:O,9,2)</f>
        <v>Sul</v>
      </c>
      <c r="G1875" s="15">
        <v>42325</v>
      </c>
      <c r="H1875">
        <f t="shared" si="146"/>
        <v>3</v>
      </c>
      <c r="I1875">
        <f t="shared" si="147"/>
        <v>17</v>
      </c>
      <c r="J1875">
        <f t="shared" si="148"/>
        <v>11</v>
      </c>
      <c r="K1875">
        <f t="shared" si="149"/>
        <v>2015</v>
      </c>
      <c r="M1875">
        <v>13</v>
      </c>
      <c r="N1875" t="str">
        <f>VLOOKUP(M1875,'Cadastro Vendedores'!A:H,2,2)</f>
        <v>Andre</v>
      </c>
      <c r="O1875" s="2"/>
      <c r="P1875" s="16">
        <v>3900</v>
      </c>
      <c r="Q1875" s="2">
        <f>VLOOKUP(B1875,'Cadastro Produtos'!A:F,5,2)</f>
        <v>12</v>
      </c>
      <c r="R1875" s="14">
        <f t="shared" si="145"/>
        <v>46800</v>
      </c>
    </row>
    <row r="1876" spans="1:18" x14ac:dyDescent="0.25">
      <c r="A1876">
        <v>1875</v>
      </c>
      <c r="B1876">
        <v>8</v>
      </c>
      <c r="C1876" t="str">
        <f>VLOOKUP(B1876,'Cadastro Produtos'!A:E,2,2)</f>
        <v>Limonada Beta Zero 1 L</v>
      </c>
      <c r="D1876">
        <v>3</v>
      </c>
      <c r="E1876" t="str">
        <f>VLOOKUP(D1876,'Cadatro Clientes'!A:O,2,2)</f>
        <v>Limonada Suíça Ltda</v>
      </c>
      <c r="F1876" t="str">
        <f>VLOOKUP(D1876,'Cadatro Clientes'!A:O,9,2)</f>
        <v>Nordeste</v>
      </c>
      <c r="G1876" s="15">
        <v>42326</v>
      </c>
      <c r="H1876">
        <f t="shared" si="146"/>
        <v>4</v>
      </c>
      <c r="I1876">
        <f t="shared" si="147"/>
        <v>18</v>
      </c>
      <c r="J1876">
        <f t="shared" si="148"/>
        <v>11</v>
      </c>
      <c r="K1876">
        <f t="shared" si="149"/>
        <v>2015</v>
      </c>
      <c r="M1876">
        <v>9</v>
      </c>
      <c r="N1876" t="str">
        <f>VLOOKUP(M1876,'Cadastro Vendedores'!A:H,2,2)</f>
        <v>Adriana</v>
      </c>
      <c r="O1876" s="2"/>
      <c r="P1876" s="16">
        <v>3200</v>
      </c>
      <c r="Q1876" s="2">
        <f>VLOOKUP(B1876,'Cadastro Produtos'!A:F,5,2)</f>
        <v>12</v>
      </c>
      <c r="R1876" s="14">
        <f t="shared" si="145"/>
        <v>38400</v>
      </c>
    </row>
    <row r="1877" spans="1:18" x14ac:dyDescent="0.25">
      <c r="A1877">
        <v>1876</v>
      </c>
      <c r="B1877">
        <v>3</v>
      </c>
      <c r="C1877" t="str">
        <f>VLOOKUP(B1877,'Cadastro Produtos'!A:E,2,2)</f>
        <v>Limonada Alfa Zero 500 ml</v>
      </c>
      <c r="D1877">
        <v>13</v>
      </c>
      <c r="E1877" t="str">
        <f>VLOOKUP(D1877,'Cadatro Clientes'!A:O,2,2)</f>
        <v>Monster Lemon</v>
      </c>
      <c r="F1877" t="str">
        <f>VLOOKUP(D1877,'Cadatro Clientes'!A:O,9,2)</f>
        <v>Nordeste</v>
      </c>
      <c r="G1877" s="15">
        <v>42326</v>
      </c>
      <c r="H1877">
        <f t="shared" si="146"/>
        <v>4</v>
      </c>
      <c r="I1877">
        <f t="shared" si="147"/>
        <v>18</v>
      </c>
      <c r="J1877">
        <f t="shared" si="148"/>
        <v>11</v>
      </c>
      <c r="K1877">
        <f t="shared" si="149"/>
        <v>2015</v>
      </c>
      <c r="M1877">
        <v>3</v>
      </c>
      <c r="N1877" t="str">
        <f>VLOOKUP(M1877,'Cadastro Vendedores'!A:H,2,2)</f>
        <v>Antônia</v>
      </c>
      <c r="O1877" s="2"/>
      <c r="P1877" s="16">
        <v>7200</v>
      </c>
      <c r="Q1877" s="2">
        <f>VLOOKUP(B1877,'Cadastro Produtos'!A:F,5,2)</f>
        <v>9</v>
      </c>
      <c r="R1877" s="14">
        <f t="shared" si="145"/>
        <v>64800</v>
      </c>
    </row>
    <row r="1878" spans="1:18" x14ac:dyDescent="0.25">
      <c r="A1878">
        <v>1877</v>
      </c>
      <c r="B1878">
        <v>8</v>
      </c>
      <c r="C1878" t="str">
        <f>VLOOKUP(B1878,'Cadastro Produtos'!A:E,2,2)</f>
        <v>Limonada Beta Zero 1 L</v>
      </c>
      <c r="D1878">
        <v>16</v>
      </c>
      <c r="E1878" t="str">
        <f>VLOOKUP(D1878,'Cadatro Clientes'!A:O,2,2)</f>
        <v>Norte Suco</v>
      </c>
      <c r="F1878" t="str">
        <f>VLOOKUP(D1878,'Cadatro Clientes'!A:O,9,2)</f>
        <v>Nordeste</v>
      </c>
      <c r="G1878" s="15">
        <v>42326</v>
      </c>
      <c r="H1878">
        <f t="shared" si="146"/>
        <v>4</v>
      </c>
      <c r="I1878">
        <f t="shared" si="147"/>
        <v>18</v>
      </c>
      <c r="J1878">
        <f t="shared" si="148"/>
        <v>11</v>
      </c>
      <c r="K1878">
        <f t="shared" si="149"/>
        <v>2015</v>
      </c>
      <c r="M1878">
        <v>16</v>
      </c>
      <c r="N1878" t="str">
        <f>VLOOKUP(M1878,'Cadastro Vendedores'!A:H,2,2)</f>
        <v>Jose</v>
      </c>
      <c r="O1878" s="2"/>
      <c r="P1878" s="16">
        <v>5900</v>
      </c>
      <c r="Q1878" s="2">
        <f>VLOOKUP(B1878,'Cadastro Produtos'!A:F,5,2)</f>
        <v>12</v>
      </c>
      <c r="R1878" s="14">
        <f t="shared" si="145"/>
        <v>70800</v>
      </c>
    </row>
    <row r="1879" spans="1:18" x14ac:dyDescent="0.25">
      <c r="A1879">
        <v>1878</v>
      </c>
      <c r="B1879">
        <v>3</v>
      </c>
      <c r="C1879" t="str">
        <f>VLOOKUP(B1879,'Cadastro Produtos'!A:E,2,2)</f>
        <v>Limonada Alfa Zero 500 ml</v>
      </c>
      <c r="D1879">
        <v>6</v>
      </c>
      <c r="E1879" t="str">
        <f>VLOOKUP(D1879,'Cadatro Clientes'!A:O,2,2)</f>
        <v>Lemonade</v>
      </c>
      <c r="F1879" t="str">
        <f>VLOOKUP(D1879,'Cadatro Clientes'!A:O,9,2)</f>
        <v>Norte</v>
      </c>
      <c r="G1879" s="15">
        <v>42326</v>
      </c>
      <c r="H1879">
        <f t="shared" si="146"/>
        <v>4</v>
      </c>
      <c r="I1879">
        <f t="shared" si="147"/>
        <v>18</v>
      </c>
      <c r="J1879">
        <f t="shared" si="148"/>
        <v>11</v>
      </c>
      <c r="K1879">
        <f t="shared" si="149"/>
        <v>2015</v>
      </c>
      <c r="M1879">
        <v>2</v>
      </c>
      <c r="N1879" t="str">
        <f>VLOOKUP(M1879,'Cadastro Vendedores'!A:H,2,2)</f>
        <v>Luis</v>
      </c>
      <c r="O1879" s="2"/>
      <c r="P1879" s="16">
        <v>4900</v>
      </c>
      <c r="Q1879" s="2">
        <f>VLOOKUP(B1879,'Cadastro Produtos'!A:F,5,2)</f>
        <v>9</v>
      </c>
      <c r="R1879" s="14">
        <f t="shared" si="145"/>
        <v>44100</v>
      </c>
    </row>
    <row r="1880" spans="1:18" x14ac:dyDescent="0.25">
      <c r="A1880">
        <v>1879</v>
      </c>
      <c r="B1880">
        <v>5</v>
      </c>
      <c r="C1880" t="str">
        <f>VLOOKUP(B1880,'Cadastro Produtos'!A:E,2,2)</f>
        <v>Limonada Alfa com Açúcar 1 L</v>
      </c>
      <c r="D1880">
        <v>1</v>
      </c>
      <c r="E1880" t="str">
        <f>VLOOKUP(D1880,'Cadatro Clientes'!A:O,2,2)</f>
        <v>Meu Suco de Limão</v>
      </c>
      <c r="F1880" t="str">
        <f>VLOOKUP(D1880,'Cadatro Clientes'!A:O,9,2)</f>
        <v>Norte</v>
      </c>
      <c r="G1880" s="15">
        <v>42327</v>
      </c>
      <c r="H1880">
        <f t="shared" si="146"/>
        <v>5</v>
      </c>
      <c r="I1880">
        <f t="shared" si="147"/>
        <v>19</v>
      </c>
      <c r="J1880">
        <f t="shared" si="148"/>
        <v>11</v>
      </c>
      <c r="K1880">
        <f t="shared" si="149"/>
        <v>2015</v>
      </c>
      <c r="M1880">
        <v>12</v>
      </c>
      <c r="N1880" t="str">
        <f>VLOOKUP(M1880,'Cadastro Vendedores'!A:H,2,2)</f>
        <v>Paulo</v>
      </c>
      <c r="O1880" s="2"/>
      <c r="P1880" s="16">
        <v>2700</v>
      </c>
      <c r="Q1880" s="2">
        <f>VLOOKUP(B1880,'Cadastro Produtos'!A:F,5,2)</f>
        <v>15</v>
      </c>
      <c r="R1880" s="14">
        <f t="shared" si="145"/>
        <v>40500</v>
      </c>
    </row>
    <row r="1881" spans="1:18" x14ac:dyDescent="0.25">
      <c r="A1881">
        <v>1880</v>
      </c>
      <c r="B1881">
        <v>8</v>
      </c>
      <c r="C1881" t="str">
        <f>VLOOKUP(B1881,'Cadastro Produtos'!A:E,2,2)</f>
        <v>Limonada Beta Zero 1 L</v>
      </c>
      <c r="D1881">
        <v>14</v>
      </c>
      <c r="E1881" t="str">
        <f>VLOOKUP(D1881,'Cadatro Clientes'!A:O,2,2)</f>
        <v>Sprite</v>
      </c>
      <c r="F1881" t="str">
        <f>VLOOKUP(D1881,'Cadatro Clientes'!A:O,9,2)</f>
        <v>Norte</v>
      </c>
      <c r="G1881" s="15">
        <v>42327</v>
      </c>
      <c r="H1881">
        <f t="shared" si="146"/>
        <v>5</v>
      </c>
      <c r="I1881">
        <f t="shared" si="147"/>
        <v>19</v>
      </c>
      <c r="J1881">
        <f t="shared" si="148"/>
        <v>11</v>
      </c>
      <c r="K1881">
        <f t="shared" si="149"/>
        <v>2015</v>
      </c>
      <c r="M1881">
        <v>16</v>
      </c>
      <c r="N1881" t="str">
        <f>VLOOKUP(M1881,'Cadastro Vendedores'!A:H,2,2)</f>
        <v>Jose</v>
      </c>
      <c r="O1881" s="2"/>
      <c r="P1881" s="16">
        <v>3000</v>
      </c>
      <c r="Q1881" s="2">
        <f>VLOOKUP(B1881,'Cadastro Produtos'!A:F,5,2)</f>
        <v>12</v>
      </c>
      <c r="R1881" s="14">
        <f t="shared" si="145"/>
        <v>36000</v>
      </c>
    </row>
    <row r="1882" spans="1:18" x14ac:dyDescent="0.25">
      <c r="A1882">
        <v>1881</v>
      </c>
      <c r="B1882">
        <v>7</v>
      </c>
      <c r="C1882" t="str">
        <f>VLOOKUP(B1882,'Cadastro Produtos'!A:E,2,2)</f>
        <v>Limonada Alfa Zero 1 L</v>
      </c>
      <c r="D1882">
        <v>6</v>
      </c>
      <c r="E1882" t="str">
        <f>VLOOKUP(D1882,'Cadatro Clientes'!A:O,2,2)</f>
        <v>Lemonade</v>
      </c>
      <c r="F1882" t="str">
        <f>VLOOKUP(D1882,'Cadatro Clientes'!A:O,9,2)</f>
        <v>Norte</v>
      </c>
      <c r="G1882" s="15">
        <v>42327</v>
      </c>
      <c r="H1882">
        <f t="shared" si="146"/>
        <v>5</v>
      </c>
      <c r="I1882">
        <f t="shared" si="147"/>
        <v>19</v>
      </c>
      <c r="J1882">
        <f t="shared" si="148"/>
        <v>11</v>
      </c>
      <c r="K1882">
        <f t="shared" si="149"/>
        <v>2015</v>
      </c>
      <c r="M1882">
        <v>7</v>
      </c>
      <c r="N1882" t="str">
        <f>VLOOKUP(M1882,'Cadastro Vendedores'!A:H,2,2)</f>
        <v>Benedito</v>
      </c>
      <c r="O1882" s="2"/>
      <c r="P1882" s="16">
        <v>3600</v>
      </c>
      <c r="Q1882" s="2">
        <f>VLOOKUP(B1882,'Cadastro Produtos'!A:F,5,2)</f>
        <v>15</v>
      </c>
      <c r="R1882" s="14">
        <f t="shared" si="145"/>
        <v>54000</v>
      </c>
    </row>
    <row r="1883" spans="1:18" x14ac:dyDescent="0.25">
      <c r="A1883">
        <v>1882</v>
      </c>
      <c r="B1883">
        <v>7</v>
      </c>
      <c r="C1883" t="str">
        <f>VLOOKUP(B1883,'Cadastro Produtos'!A:E,2,2)</f>
        <v>Limonada Alfa Zero 1 L</v>
      </c>
      <c r="D1883">
        <v>16</v>
      </c>
      <c r="E1883" t="str">
        <f>VLOOKUP(D1883,'Cadatro Clientes'!A:O,2,2)</f>
        <v>Norte Suco</v>
      </c>
      <c r="F1883" t="str">
        <f>VLOOKUP(D1883,'Cadatro Clientes'!A:O,9,2)</f>
        <v>Nordeste</v>
      </c>
      <c r="G1883" s="15">
        <v>42327</v>
      </c>
      <c r="H1883">
        <f t="shared" si="146"/>
        <v>5</v>
      </c>
      <c r="I1883">
        <f t="shared" si="147"/>
        <v>19</v>
      </c>
      <c r="J1883">
        <f t="shared" si="148"/>
        <v>11</v>
      </c>
      <c r="K1883">
        <f t="shared" si="149"/>
        <v>2015</v>
      </c>
      <c r="M1883">
        <v>12</v>
      </c>
      <c r="N1883" t="str">
        <f>VLOOKUP(M1883,'Cadastro Vendedores'!A:H,2,2)</f>
        <v>Paulo</v>
      </c>
      <c r="O1883" s="2"/>
      <c r="P1883" s="16">
        <v>3700</v>
      </c>
      <c r="Q1883" s="2">
        <f>VLOOKUP(B1883,'Cadastro Produtos'!A:F,5,2)</f>
        <v>15</v>
      </c>
      <c r="R1883" s="14">
        <f t="shared" si="145"/>
        <v>55500</v>
      </c>
    </row>
    <row r="1884" spans="1:18" x14ac:dyDescent="0.25">
      <c r="A1884">
        <v>1883</v>
      </c>
      <c r="B1884">
        <v>1</v>
      </c>
      <c r="C1884" t="str">
        <f>VLOOKUP(B1884,'Cadastro Produtos'!A:E,2,2)</f>
        <v>Limonada Alfa com Açúcar 500 ml</v>
      </c>
      <c r="D1884">
        <v>1</v>
      </c>
      <c r="E1884" t="str">
        <f>VLOOKUP(D1884,'Cadatro Clientes'!A:O,2,2)</f>
        <v>Meu Suco de Limão</v>
      </c>
      <c r="F1884" t="str">
        <f>VLOOKUP(D1884,'Cadatro Clientes'!A:O,9,2)</f>
        <v>Norte</v>
      </c>
      <c r="G1884" s="15">
        <v>42328</v>
      </c>
      <c r="H1884">
        <f t="shared" si="146"/>
        <v>6</v>
      </c>
      <c r="I1884">
        <f t="shared" si="147"/>
        <v>20</v>
      </c>
      <c r="J1884">
        <f t="shared" si="148"/>
        <v>11</v>
      </c>
      <c r="K1884">
        <f t="shared" si="149"/>
        <v>2015</v>
      </c>
      <c r="M1884">
        <v>2</v>
      </c>
      <c r="N1884" t="str">
        <f>VLOOKUP(M1884,'Cadastro Vendedores'!A:H,2,2)</f>
        <v>Luis</v>
      </c>
      <c r="O1884" s="2"/>
      <c r="P1884" s="16">
        <v>3400</v>
      </c>
      <c r="Q1884" s="2">
        <f>VLOOKUP(B1884,'Cadastro Produtos'!A:F,5,2)</f>
        <v>8.5</v>
      </c>
      <c r="R1884" s="14">
        <f t="shared" si="145"/>
        <v>28900</v>
      </c>
    </row>
    <row r="1885" spans="1:18" x14ac:dyDescent="0.25">
      <c r="A1885">
        <v>1884</v>
      </c>
      <c r="B1885">
        <v>8</v>
      </c>
      <c r="C1885" t="str">
        <f>VLOOKUP(B1885,'Cadastro Produtos'!A:E,2,2)</f>
        <v>Limonada Beta Zero 1 L</v>
      </c>
      <c r="D1885">
        <v>6</v>
      </c>
      <c r="E1885" t="str">
        <f>VLOOKUP(D1885,'Cadatro Clientes'!A:O,2,2)</f>
        <v>Lemonade</v>
      </c>
      <c r="F1885" t="str">
        <f>VLOOKUP(D1885,'Cadatro Clientes'!A:O,9,2)</f>
        <v>Norte</v>
      </c>
      <c r="G1885" s="15">
        <v>42328</v>
      </c>
      <c r="H1885">
        <f t="shared" si="146"/>
        <v>6</v>
      </c>
      <c r="I1885">
        <f t="shared" si="147"/>
        <v>20</v>
      </c>
      <c r="J1885">
        <f t="shared" si="148"/>
        <v>11</v>
      </c>
      <c r="K1885">
        <f t="shared" si="149"/>
        <v>2015</v>
      </c>
      <c r="M1885">
        <v>15</v>
      </c>
      <c r="N1885" t="str">
        <f>VLOOKUP(M1885,'Cadastro Vendedores'!A:H,2,2)</f>
        <v>Luis</v>
      </c>
      <c r="O1885" s="2"/>
      <c r="P1885" s="16">
        <v>4300</v>
      </c>
      <c r="Q1885" s="2">
        <f>VLOOKUP(B1885,'Cadastro Produtos'!A:F,5,2)</f>
        <v>12</v>
      </c>
      <c r="R1885" s="14">
        <f t="shared" si="145"/>
        <v>51600</v>
      </c>
    </row>
    <row r="1886" spans="1:18" x14ac:dyDescent="0.25">
      <c r="A1886">
        <v>1885</v>
      </c>
      <c r="B1886">
        <v>9</v>
      </c>
      <c r="C1886" t="str">
        <f>VLOOKUP(B1886,'Cadastro Produtos'!A:E,2,2)</f>
        <v>Limonada Alfa com Hortelã e Açúcar 1 L</v>
      </c>
      <c r="D1886">
        <v>13</v>
      </c>
      <c r="E1886" t="str">
        <f>VLOOKUP(D1886,'Cadatro Clientes'!A:O,2,2)</f>
        <v>Monster Lemon</v>
      </c>
      <c r="F1886" t="str">
        <f>VLOOKUP(D1886,'Cadatro Clientes'!A:O,9,2)</f>
        <v>Nordeste</v>
      </c>
      <c r="G1886" s="15">
        <v>42328</v>
      </c>
      <c r="H1886">
        <f t="shared" si="146"/>
        <v>6</v>
      </c>
      <c r="I1886">
        <f t="shared" si="147"/>
        <v>20</v>
      </c>
      <c r="J1886">
        <f t="shared" si="148"/>
        <v>11</v>
      </c>
      <c r="K1886">
        <f t="shared" si="149"/>
        <v>2015</v>
      </c>
      <c r="M1886">
        <v>6</v>
      </c>
      <c r="N1886" t="str">
        <f>VLOOKUP(M1886,'Cadastro Vendedores'!A:H,2,2)</f>
        <v>Antônia</v>
      </c>
      <c r="O1886" s="2"/>
      <c r="P1886" s="16">
        <v>2900</v>
      </c>
      <c r="Q1886" s="2">
        <f>VLOOKUP(B1886,'Cadastro Produtos'!A:F,5,2)</f>
        <v>17.5</v>
      </c>
      <c r="R1886" s="14">
        <f t="shared" si="145"/>
        <v>50750</v>
      </c>
    </row>
    <row r="1887" spans="1:18" x14ac:dyDescent="0.25">
      <c r="A1887">
        <v>1886</v>
      </c>
      <c r="B1887">
        <v>7</v>
      </c>
      <c r="C1887" t="str">
        <f>VLOOKUP(B1887,'Cadastro Produtos'!A:E,2,2)</f>
        <v>Limonada Alfa Zero 1 L</v>
      </c>
      <c r="D1887">
        <v>16</v>
      </c>
      <c r="E1887" t="str">
        <f>VLOOKUP(D1887,'Cadatro Clientes'!A:O,2,2)</f>
        <v>Norte Suco</v>
      </c>
      <c r="F1887" t="str">
        <f>VLOOKUP(D1887,'Cadatro Clientes'!A:O,9,2)</f>
        <v>Nordeste</v>
      </c>
      <c r="G1887" s="15">
        <v>42328</v>
      </c>
      <c r="H1887">
        <f t="shared" si="146"/>
        <v>6</v>
      </c>
      <c r="I1887">
        <f t="shared" si="147"/>
        <v>20</v>
      </c>
      <c r="J1887">
        <f t="shared" si="148"/>
        <v>11</v>
      </c>
      <c r="K1887">
        <f t="shared" si="149"/>
        <v>2015</v>
      </c>
      <c r="M1887">
        <v>9</v>
      </c>
      <c r="N1887" t="str">
        <f>VLOOKUP(M1887,'Cadastro Vendedores'!A:H,2,2)</f>
        <v>Adriana</v>
      </c>
      <c r="O1887" s="2"/>
      <c r="P1887" s="16">
        <v>1500</v>
      </c>
      <c r="Q1887" s="2">
        <f>VLOOKUP(B1887,'Cadastro Produtos'!A:F,5,2)</f>
        <v>15</v>
      </c>
      <c r="R1887" s="14">
        <f t="shared" si="145"/>
        <v>22500</v>
      </c>
    </row>
    <row r="1888" spans="1:18" x14ac:dyDescent="0.25">
      <c r="A1888">
        <v>1887</v>
      </c>
      <c r="B1888">
        <v>5</v>
      </c>
      <c r="C1888" t="str">
        <f>VLOOKUP(B1888,'Cadastro Produtos'!A:E,2,2)</f>
        <v>Limonada Alfa com Açúcar 1 L</v>
      </c>
      <c r="D1888">
        <v>19</v>
      </c>
      <c r="E1888" t="str">
        <f>VLOOKUP(D1888,'Cadatro Clientes'!A:O,2,2)</f>
        <v>Lima Limão</v>
      </c>
      <c r="F1888" t="str">
        <f>VLOOKUP(D1888,'Cadatro Clientes'!A:O,9,2)</f>
        <v>Sudeste</v>
      </c>
      <c r="G1888" s="15">
        <v>42329</v>
      </c>
      <c r="H1888">
        <f t="shared" si="146"/>
        <v>7</v>
      </c>
      <c r="I1888">
        <f t="shared" si="147"/>
        <v>21</v>
      </c>
      <c r="J1888">
        <f t="shared" si="148"/>
        <v>11</v>
      </c>
      <c r="K1888">
        <f t="shared" si="149"/>
        <v>2015</v>
      </c>
      <c r="M1888">
        <v>13</v>
      </c>
      <c r="N1888" t="str">
        <f>VLOOKUP(M1888,'Cadastro Vendedores'!A:H,2,2)</f>
        <v>Andre</v>
      </c>
      <c r="O1888" s="2"/>
      <c r="P1888" s="16">
        <v>1300</v>
      </c>
      <c r="Q1888" s="2">
        <f>VLOOKUP(B1888,'Cadastro Produtos'!A:F,5,2)</f>
        <v>15</v>
      </c>
      <c r="R1888" s="14">
        <f t="shared" si="145"/>
        <v>19500</v>
      </c>
    </row>
    <row r="1889" spans="1:18" x14ac:dyDescent="0.25">
      <c r="A1889">
        <v>1888</v>
      </c>
      <c r="B1889">
        <v>8</v>
      </c>
      <c r="C1889" t="str">
        <f>VLOOKUP(B1889,'Cadastro Produtos'!A:E,2,2)</f>
        <v>Limonada Beta Zero 1 L</v>
      </c>
      <c r="D1889">
        <v>10</v>
      </c>
      <c r="E1889" t="str">
        <f>VLOOKUP(D1889,'Cadatro Clientes'!A:O,2,2)</f>
        <v>Lemon Gator</v>
      </c>
      <c r="F1889" t="str">
        <f>VLOOKUP(D1889,'Cadatro Clientes'!A:O,9,2)</f>
        <v>Nordeste</v>
      </c>
      <c r="G1889" s="15">
        <v>42329</v>
      </c>
      <c r="H1889">
        <f t="shared" si="146"/>
        <v>7</v>
      </c>
      <c r="I1889">
        <f t="shared" si="147"/>
        <v>21</v>
      </c>
      <c r="J1889">
        <f t="shared" si="148"/>
        <v>11</v>
      </c>
      <c r="K1889">
        <f t="shared" si="149"/>
        <v>2015</v>
      </c>
      <c r="M1889">
        <v>16</v>
      </c>
      <c r="N1889" t="str">
        <f>VLOOKUP(M1889,'Cadastro Vendedores'!A:H,2,2)</f>
        <v>Jose</v>
      </c>
      <c r="O1889" s="2"/>
      <c r="P1889" s="16">
        <v>3600</v>
      </c>
      <c r="Q1889" s="2">
        <f>VLOOKUP(B1889,'Cadastro Produtos'!A:F,5,2)</f>
        <v>12</v>
      </c>
      <c r="R1889" s="14">
        <f t="shared" si="145"/>
        <v>43200</v>
      </c>
    </row>
    <row r="1890" spans="1:18" x14ac:dyDescent="0.25">
      <c r="A1890">
        <v>1889</v>
      </c>
      <c r="B1890">
        <v>5</v>
      </c>
      <c r="C1890" t="str">
        <f>VLOOKUP(B1890,'Cadastro Produtos'!A:E,2,2)</f>
        <v>Limonada Alfa com Açúcar 1 L</v>
      </c>
      <c r="D1890">
        <v>18</v>
      </c>
      <c r="E1890" t="str">
        <f>VLOOKUP(D1890,'Cadatro Clientes'!A:O,2,2)</f>
        <v>Rio Branco Limonada Ltda</v>
      </c>
      <c r="F1890" t="str">
        <f>VLOOKUP(D1890,'Cadatro Clientes'!A:O,9,2)</f>
        <v>Norte</v>
      </c>
      <c r="G1890" s="15">
        <v>42330</v>
      </c>
      <c r="H1890">
        <f t="shared" si="146"/>
        <v>1</v>
      </c>
      <c r="I1890">
        <f t="shared" si="147"/>
        <v>22</v>
      </c>
      <c r="J1890">
        <f t="shared" si="148"/>
        <v>11</v>
      </c>
      <c r="K1890">
        <f t="shared" si="149"/>
        <v>2015</v>
      </c>
      <c r="M1890">
        <v>7</v>
      </c>
      <c r="N1890" t="str">
        <f>VLOOKUP(M1890,'Cadastro Vendedores'!A:H,2,2)</f>
        <v>Benedito</v>
      </c>
      <c r="O1890" s="2"/>
      <c r="P1890" s="16">
        <v>3300</v>
      </c>
      <c r="Q1890" s="2">
        <f>VLOOKUP(B1890,'Cadastro Produtos'!A:F,5,2)</f>
        <v>15</v>
      </c>
      <c r="R1890" s="14">
        <f t="shared" si="145"/>
        <v>49500</v>
      </c>
    </row>
    <row r="1891" spans="1:18" x14ac:dyDescent="0.25">
      <c r="A1891">
        <v>1890</v>
      </c>
      <c r="B1891">
        <v>2</v>
      </c>
      <c r="C1891" t="str">
        <f>VLOOKUP(B1891,'Cadastro Produtos'!A:E,2,2)</f>
        <v>Limonada Beta com Açúcar 500 ml</v>
      </c>
      <c r="D1891">
        <v>2</v>
      </c>
      <c r="E1891" t="str">
        <f>VLOOKUP(D1891,'Cadatro Clientes'!A:O,2,2)</f>
        <v>Limão S/A</v>
      </c>
      <c r="F1891" t="str">
        <f>VLOOKUP(D1891,'Cadatro Clientes'!A:O,9,2)</f>
        <v>Centro-Oeste</v>
      </c>
      <c r="G1891" s="15">
        <v>42330</v>
      </c>
      <c r="H1891">
        <f t="shared" si="146"/>
        <v>1</v>
      </c>
      <c r="I1891">
        <f t="shared" si="147"/>
        <v>22</v>
      </c>
      <c r="J1891">
        <f t="shared" si="148"/>
        <v>11</v>
      </c>
      <c r="K1891">
        <f t="shared" si="149"/>
        <v>2015</v>
      </c>
      <c r="M1891">
        <v>13</v>
      </c>
      <c r="N1891" t="str">
        <f>VLOOKUP(M1891,'Cadastro Vendedores'!A:H,2,2)</f>
        <v>Andre</v>
      </c>
      <c r="O1891" s="2"/>
      <c r="P1891" s="16">
        <v>5000</v>
      </c>
      <c r="Q1891" s="2">
        <f>VLOOKUP(B1891,'Cadastro Produtos'!A:F,5,2)</f>
        <v>6.5</v>
      </c>
      <c r="R1891" s="14">
        <f t="shared" si="145"/>
        <v>32500</v>
      </c>
    </row>
    <row r="1892" spans="1:18" x14ac:dyDescent="0.25">
      <c r="A1892">
        <v>1891</v>
      </c>
      <c r="B1892">
        <v>4</v>
      </c>
      <c r="C1892" t="str">
        <f>VLOOKUP(B1892,'Cadastro Produtos'!A:E,2,2)</f>
        <v>Limonada Beta Zero 500 ml</v>
      </c>
      <c r="D1892">
        <v>1</v>
      </c>
      <c r="E1892" t="str">
        <f>VLOOKUP(D1892,'Cadatro Clientes'!A:O,2,2)</f>
        <v>Meu Suco de Limão</v>
      </c>
      <c r="F1892" t="str">
        <f>VLOOKUP(D1892,'Cadatro Clientes'!A:O,9,2)</f>
        <v>Norte</v>
      </c>
      <c r="G1892" s="15">
        <v>42331</v>
      </c>
      <c r="H1892">
        <f t="shared" si="146"/>
        <v>2</v>
      </c>
      <c r="I1892">
        <f t="shared" si="147"/>
        <v>23</v>
      </c>
      <c r="J1892">
        <f t="shared" si="148"/>
        <v>11</v>
      </c>
      <c r="K1892">
        <f t="shared" si="149"/>
        <v>2015</v>
      </c>
      <c r="M1892">
        <v>12</v>
      </c>
      <c r="N1892" t="str">
        <f>VLOOKUP(M1892,'Cadastro Vendedores'!A:H,2,2)</f>
        <v>Paulo</v>
      </c>
      <c r="O1892" s="2"/>
      <c r="P1892" s="16">
        <v>5900</v>
      </c>
      <c r="Q1892" s="2">
        <f>VLOOKUP(B1892,'Cadastro Produtos'!A:F,5,2)</f>
        <v>7</v>
      </c>
      <c r="R1892" s="14">
        <f t="shared" si="145"/>
        <v>41300</v>
      </c>
    </row>
    <row r="1893" spans="1:18" x14ac:dyDescent="0.25">
      <c r="A1893">
        <v>1892</v>
      </c>
      <c r="B1893">
        <v>6</v>
      </c>
      <c r="C1893" t="str">
        <f>VLOOKUP(B1893,'Cadastro Produtos'!A:E,2,2)</f>
        <v>Limonada Beta com Açúcar 1 L</v>
      </c>
      <c r="D1893">
        <v>17</v>
      </c>
      <c r="E1893" t="str">
        <f>VLOOKUP(D1893,'Cadatro Clientes'!A:O,2,2)</f>
        <v>Aracasuco</v>
      </c>
      <c r="F1893" t="str">
        <f>VLOOKUP(D1893,'Cadatro Clientes'!A:O,9,2)</f>
        <v>Nordeste</v>
      </c>
      <c r="G1893" s="15">
        <v>42331</v>
      </c>
      <c r="H1893">
        <f t="shared" si="146"/>
        <v>2</v>
      </c>
      <c r="I1893">
        <f t="shared" si="147"/>
        <v>23</v>
      </c>
      <c r="J1893">
        <f t="shared" si="148"/>
        <v>11</v>
      </c>
      <c r="K1893">
        <f t="shared" si="149"/>
        <v>2015</v>
      </c>
      <c r="M1893">
        <v>8</v>
      </c>
      <c r="N1893" t="str">
        <f>VLOOKUP(M1893,'Cadastro Vendedores'!A:H,2,2)</f>
        <v>Sérgio</v>
      </c>
      <c r="O1893" s="2"/>
      <c r="P1893" s="16">
        <v>2700</v>
      </c>
      <c r="Q1893" s="2">
        <f>VLOOKUP(B1893,'Cadastro Produtos'!A:F,5,2)</f>
        <v>12</v>
      </c>
      <c r="R1893" s="14">
        <f t="shared" si="145"/>
        <v>32400</v>
      </c>
    </row>
    <row r="1894" spans="1:18" x14ac:dyDescent="0.25">
      <c r="A1894">
        <v>1893</v>
      </c>
      <c r="B1894">
        <v>4</v>
      </c>
      <c r="C1894" t="str">
        <f>VLOOKUP(B1894,'Cadastro Produtos'!A:E,2,2)</f>
        <v>Limonada Beta Zero 500 ml</v>
      </c>
      <c r="D1894">
        <v>9</v>
      </c>
      <c r="E1894" t="str">
        <f>VLOOKUP(D1894,'Cadatro Clientes'!A:O,2,2)</f>
        <v>Fresh Lemon</v>
      </c>
      <c r="F1894" t="str">
        <f>VLOOKUP(D1894,'Cadatro Clientes'!A:O,9,2)</f>
        <v>Sudeste</v>
      </c>
      <c r="G1894" s="15">
        <v>42331</v>
      </c>
      <c r="H1894">
        <f t="shared" si="146"/>
        <v>2</v>
      </c>
      <c r="I1894">
        <f t="shared" si="147"/>
        <v>23</v>
      </c>
      <c r="J1894">
        <f t="shared" si="148"/>
        <v>11</v>
      </c>
      <c r="K1894">
        <f t="shared" si="149"/>
        <v>2015</v>
      </c>
      <c r="M1894">
        <v>9</v>
      </c>
      <c r="N1894" t="str">
        <f>VLOOKUP(M1894,'Cadastro Vendedores'!A:H,2,2)</f>
        <v>Adriana</v>
      </c>
      <c r="O1894" s="2"/>
      <c r="P1894" s="16">
        <v>3000</v>
      </c>
      <c r="Q1894" s="2">
        <f>VLOOKUP(B1894,'Cadastro Produtos'!A:F,5,2)</f>
        <v>7</v>
      </c>
      <c r="R1894" s="14">
        <f t="shared" si="145"/>
        <v>21000</v>
      </c>
    </row>
    <row r="1895" spans="1:18" x14ac:dyDescent="0.25">
      <c r="A1895">
        <v>1894</v>
      </c>
      <c r="B1895">
        <v>3</v>
      </c>
      <c r="C1895" t="str">
        <f>VLOOKUP(B1895,'Cadastro Produtos'!A:E,2,2)</f>
        <v>Limonada Alfa Zero 500 ml</v>
      </c>
      <c r="D1895">
        <v>4</v>
      </c>
      <c r="E1895" t="str">
        <f>VLOOKUP(D1895,'Cadatro Clientes'!A:O,2,2)</f>
        <v>Limão Carioca e Cia</v>
      </c>
      <c r="F1895" t="str">
        <f>VLOOKUP(D1895,'Cadatro Clientes'!A:O,9,2)</f>
        <v>Sudeste</v>
      </c>
      <c r="G1895" s="15">
        <v>42331</v>
      </c>
      <c r="H1895">
        <f t="shared" si="146"/>
        <v>2</v>
      </c>
      <c r="I1895">
        <f t="shared" si="147"/>
        <v>23</v>
      </c>
      <c r="J1895">
        <f t="shared" si="148"/>
        <v>11</v>
      </c>
      <c r="K1895">
        <f t="shared" si="149"/>
        <v>2015</v>
      </c>
      <c r="M1895">
        <v>6</v>
      </c>
      <c r="N1895" t="str">
        <f>VLOOKUP(M1895,'Cadastro Vendedores'!A:H,2,2)</f>
        <v>Antônia</v>
      </c>
      <c r="O1895" s="2"/>
      <c r="P1895" s="16">
        <v>2400</v>
      </c>
      <c r="Q1895" s="2">
        <f>VLOOKUP(B1895,'Cadastro Produtos'!A:F,5,2)</f>
        <v>9</v>
      </c>
      <c r="R1895" s="14">
        <f t="shared" si="145"/>
        <v>21600</v>
      </c>
    </row>
    <row r="1896" spans="1:18" x14ac:dyDescent="0.25">
      <c r="A1896">
        <v>1895</v>
      </c>
      <c r="B1896">
        <v>2</v>
      </c>
      <c r="C1896" t="str">
        <f>VLOOKUP(B1896,'Cadastro Produtos'!A:E,2,2)</f>
        <v>Limonada Beta com Açúcar 500 ml</v>
      </c>
      <c r="D1896">
        <v>13</v>
      </c>
      <c r="E1896" t="str">
        <f>VLOOKUP(D1896,'Cadatro Clientes'!A:O,2,2)</f>
        <v>Monster Lemon</v>
      </c>
      <c r="F1896" t="str">
        <f>VLOOKUP(D1896,'Cadatro Clientes'!A:O,9,2)</f>
        <v>Nordeste</v>
      </c>
      <c r="G1896" s="15">
        <v>42331</v>
      </c>
      <c r="H1896">
        <f t="shared" si="146"/>
        <v>2</v>
      </c>
      <c r="I1896">
        <f t="shared" si="147"/>
        <v>23</v>
      </c>
      <c r="J1896">
        <f t="shared" si="148"/>
        <v>11</v>
      </c>
      <c r="K1896">
        <f t="shared" si="149"/>
        <v>2015</v>
      </c>
      <c r="M1896">
        <v>4</v>
      </c>
      <c r="N1896" t="str">
        <f>VLOOKUP(M1896,'Cadastro Vendedores'!A:H,2,2)</f>
        <v>José</v>
      </c>
      <c r="O1896" s="2"/>
      <c r="P1896" s="16">
        <v>5200</v>
      </c>
      <c r="Q1896" s="2">
        <f>VLOOKUP(B1896,'Cadastro Produtos'!A:F,5,2)</f>
        <v>6.5</v>
      </c>
      <c r="R1896" s="14">
        <f t="shared" si="145"/>
        <v>33800</v>
      </c>
    </row>
    <row r="1897" spans="1:18" x14ac:dyDescent="0.25">
      <c r="A1897">
        <v>1896</v>
      </c>
      <c r="B1897">
        <v>8</v>
      </c>
      <c r="C1897" t="str">
        <f>VLOOKUP(B1897,'Cadastro Produtos'!A:E,2,2)</f>
        <v>Limonada Beta Zero 1 L</v>
      </c>
      <c r="D1897">
        <v>7</v>
      </c>
      <c r="E1897" t="str">
        <f>VLOOKUP(D1897,'Cadatro Clientes'!A:O,2,2)</f>
        <v>Limo</v>
      </c>
      <c r="F1897" t="str">
        <f>VLOOKUP(D1897,'Cadatro Clientes'!A:O,9,2)</f>
        <v>Centro-Oeste</v>
      </c>
      <c r="G1897" s="15">
        <v>42332</v>
      </c>
      <c r="H1897">
        <f t="shared" si="146"/>
        <v>3</v>
      </c>
      <c r="I1897">
        <f t="shared" si="147"/>
        <v>24</v>
      </c>
      <c r="J1897">
        <f t="shared" si="148"/>
        <v>11</v>
      </c>
      <c r="K1897">
        <f t="shared" si="149"/>
        <v>2015</v>
      </c>
      <c r="M1897">
        <v>16</v>
      </c>
      <c r="N1897" t="str">
        <f>VLOOKUP(M1897,'Cadastro Vendedores'!A:H,2,2)</f>
        <v>Jose</v>
      </c>
      <c r="O1897" s="2"/>
      <c r="P1897" s="16">
        <v>3900</v>
      </c>
      <c r="Q1897" s="2">
        <f>VLOOKUP(B1897,'Cadastro Produtos'!A:F,5,2)</f>
        <v>12</v>
      </c>
      <c r="R1897" s="14">
        <f t="shared" si="145"/>
        <v>46800</v>
      </c>
    </row>
    <row r="1898" spans="1:18" x14ac:dyDescent="0.25">
      <c r="A1898">
        <v>1897</v>
      </c>
      <c r="B1898">
        <v>3</v>
      </c>
      <c r="C1898" t="str">
        <f>VLOOKUP(B1898,'Cadastro Produtos'!A:E,2,2)</f>
        <v>Limonada Alfa Zero 500 ml</v>
      </c>
      <c r="D1898">
        <v>3</v>
      </c>
      <c r="E1898" t="str">
        <f>VLOOKUP(D1898,'Cadatro Clientes'!A:O,2,2)</f>
        <v>Limonada Suíça Ltda</v>
      </c>
      <c r="F1898" t="str">
        <f>VLOOKUP(D1898,'Cadatro Clientes'!A:O,9,2)</f>
        <v>Nordeste</v>
      </c>
      <c r="G1898" s="15">
        <v>42333</v>
      </c>
      <c r="H1898">
        <f t="shared" si="146"/>
        <v>4</v>
      </c>
      <c r="I1898">
        <f t="shared" si="147"/>
        <v>25</v>
      </c>
      <c r="J1898">
        <f t="shared" si="148"/>
        <v>11</v>
      </c>
      <c r="K1898">
        <f t="shared" si="149"/>
        <v>2015</v>
      </c>
      <c r="M1898">
        <v>6</v>
      </c>
      <c r="N1898" t="str">
        <f>VLOOKUP(M1898,'Cadastro Vendedores'!A:H,2,2)</f>
        <v>Antônia</v>
      </c>
      <c r="O1898" s="2"/>
      <c r="P1898" s="16">
        <v>5700</v>
      </c>
      <c r="Q1898" s="2">
        <f>VLOOKUP(B1898,'Cadastro Produtos'!A:F,5,2)</f>
        <v>9</v>
      </c>
      <c r="R1898" s="14">
        <f t="shared" si="145"/>
        <v>51300</v>
      </c>
    </row>
    <row r="1899" spans="1:18" x14ac:dyDescent="0.25">
      <c r="A1899">
        <v>1898</v>
      </c>
      <c r="B1899">
        <v>1</v>
      </c>
      <c r="C1899" t="str">
        <f>VLOOKUP(B1899,'Cadastro Produtos'!A:E,2,2)</f>
        <v>Limonada Alfa com Açúcar 500 ml</v>
      </c>
      <c r="D1899">
        <v>6</v>
      </c>
      <c r="E1899" t="str">
        <f>VLOOKUP(D1899,'Cadatro Clientes'!A:O,2,2)</f>
        <v>Lemonade</v>
      </c>
      <c r="F1899" t="str">
        <f>VLOOKUP(D1899,'Cadatro Clientes'!A:O,9,2)</f>
        <v>Norte</v>
      </c>
      <c r="G1899" s="15">
        <v>42333</v>
      </c>
      <c r="H1899">
        <f t="shared" si="146"/>
        <v>4</v>
      </c>
      <c r="I1899">
        <f t="shared" si="147"/>
        <v>25</v>
      </c>
      <c r="J1899">
        <f t="shared" si="148"/>
        <v>11</v>
      </c>
      <c r="K1899">
        <f t="shared" si="149"/>
        <v>2015</v>
      </c>
      <c r="M1899">
        <v>4</v>
      </c>
      <c r="N1899" t="str">
        <f>VLOOKUP(M1899,'Cadastro Vendedores'!A:H,2,2)</f>
        <v>José</v>
      </c>
      <c r="O1899" s="2"/>
      <c r="P1899" s="16">
        <v>6800</v>
      </c>
      <c r="Q1899" s="2">
        <f>VLOOKUP(B1899,'Cadastro Produtos'!A:F,5,2)</f>
        <v>8.5</v>
      </c>
      <c r="R1899" s="14">
        <f t="shared" si="145"/>
        <v>57800</v>
      </c>
    </row>
    <row r="1900" spans="1:18" x14ac:dyDescent="0.25">
      <c r="A1900">
        <v>1899</v>
      </c>
      <c r="B1900">
        <v>4</v>
      </c>
      <c r="C1900" t="str">
        <f>VLOOKUP(B1900,'Cadastro Produtos'!A:E,2,2)</f>
        <v>Limonada Beta Zero 500 ml</v>
      </c>
      <c r="D1900">
        <v>11</v>
      </c>
      <c r="E1900" t="str">
        <f>VLOOKUP(D1900,'Cadatro Clientes'!A:O,2,2)</f>
        <v>Red Lemon</v>
      </c>
      <c r="F1900" t="str">
        <f>VLOOKUP(D1900,'Cadatro Clientes'!A:O,9,2)</f>
        <v>Sul</v>
      </c>
      <c r="G1900" s="15">
        <v>42333</v>
      </c>
      <c r="H1900">
        <f t="shared" si="146"/>
        <v>4</v>
      </c>
      <c r="I1900">
        <f t="shared" si="147"/>
        <v>25</v>
      </c>
      <c r="J1900">
        <f t="shared" si="148"/>
        <v>11</v>
      </c>
      <c r="K1900">
        <f t="shared" si="149"/>
        <v>2015</v>
      </c>
      <c r="M1900">
        <v>3</v>
      </c>
      <c r="N1900" t="str">
        <f>VLOOKUP(M1900,'Cadastro Vendedores'!A:H,2,2)</f>
        <v>Antônia</v>
      </c>
      <c r="O1900" s="2"/>
      <c r="P1900" s="16">
        <v>5600</v>
      </c>
      <c r="Q1900" s="2">
        <f>VLOOKUP(B1900,'Cadastro Produtos'!A:F,5,2)</f>
        <v>7</v>
      </c>
      <c r="R1900" s="14">
        <f t="shared" si="145"/>
        <v>39200</v>
      </c>
    </row>
    <row r="1901" spans="1:18" x14ac:dyDescent="0.25">
      <c r="A1901">
        <v>1900</v>
      </c>
      <c r="B1901">
        <v>10</v>
      </c>
      <c r="C1901" t="str">
        <f>VLOOKUP(B1901,'Cadastro Produtos'!A:E,2,2)</f>
        <v>Limonada Alfa com Hortelã Zero 1 L</v>
      </c>
      <c r="D1901">
        <v>17</v>
      </c>
      <c r="E1901" t="str">
        <f>VLOOKUP(D1901,'Cadatro Clientes'!A:O,2,2)</f>
        <v>Aracasuco</v>
      </c>
      <c r="F1901" t="str">
        <f>VLOOKUP(D1901,'Cadatro Clientes'!A:O,9,2)</f>
        <v>Nordeste</v>
      </c>
      <c r="G1901" s="15">
        <v>42334</v>
      </c>
      <c r="H1901">
        <f t="shared" si="146"/>
        <v>5</v>
      </c>
      <c r="I1901">
        <f t="shared" si="147"/>
        <v>26</v>
      </c>
      <c r="J1901">
        <f t="shared" si="148"/>
        <v>11</v>
      </c>
      <c r="K1901">
        <f t="shared" si="149"/>
        <v>2015</v>
      </c>
      <c r="M1901">
        <v>2</v>
      </c>
      <c r="N1901" t="str">
        <f>VLOOKUP(M1901,'Cadastro Vendedores'!A:H,2,2)</f>
        <v>Luis</v>
      </c>
      <c r="O1901" s="2"/>
      <c r="P1901" s="16">
        <v>1600</v>
      </c>
      <c r="Q1901" s="2">
        <f>VLOOKUP(B1901,'Cadastro Produtos'!A:F,5,2)</f>
        <v>21</v>
      </c>
      <c r="R1901" s="14">
        <f t="shared" si="145"/>
        <v>33600</v>
      </c>
    </row>
    <row r="1902" spans="1:18" x14ac:dyDescent="0.25">
      <c r="A1902">
        <v>1901</v>
      </c>
      <c r="B1902">
        <v>10</v>
      </c>
      <c r="C1902" t="str">
        <f>VLOOKUP(B1902,'Cadastro Produtos'!A:E,2,2)</f>
        <v>Limonada Alfa com Hortelã Zero 1 L</v>
      </c>
      <c r="D1902">
        <v>3</v>
      </c>
      <c r="E1902" t="str">
        <f>VLOOKUP(D1902,'Cadatro Clientes'!A:O,2,2)</f>
        <v>Limonada Suíça Ltda</v>
      </c>
      <c r="F1902" t="str">
        <f>VLOOKUP(D1902,'Cadatro Clientes'!A:O,9,2)</f>
        <v>Nordeste</v>
      </c>
      <c r="G1902" s="15">
        <v>42335</v>
      </c>
      <c r="H1902">
        <f t="shared" si="146"/>
        <v>6</v>
      </c>
      <c r="I1902">
        <f t="shared" si="147"/>
        <v>27</v>
      </c>
      <c r="J1902">
        <f t="shared" si="148"/>
        <v>11</v>
      </c>
      <c r="K1902">
        <f t="shared" si="149"/>
        <v>2015</v>
      </c>
      <c r="M1902">
        <v>8</v>
      </c>
      <c r="N1902" t="str">
        <f>VLOOKUP(M1902,'Cadastro Vendedores'!A:H,2,2)</f>
        <v>Sérgio</v>
      </c>
      <c r="O1902" s="2"/>
      <c r="P1902" s="16">
        <v>700</v>
      </c>
      <c r="Q1902" s="2">
        <f>VLOOKUP(B1902,'Cadastro Produtos'!A:F,5,2)</f>
        <v>21</v>
      </c>
      <c r="R1902" s="14">
        <f t="shared" si="145"/>
        <v>14700</v>
      </c>
    </row>
    <row r="1903" spans="1:18" x14ac:dyDescent="0.25">
      <c r="A1903">
        <v>1902</v>
      </c>
      <c r="B1903">
        <v>7</v>
      </c>
      <c r="C1903" t="str">
        <f>VLOOKUP(B1903,'Cadastro Produtos'!A:E,2,2)</f>
        <v>Limonada Alfa Zero 1 L</v>
      </c>
      <c r="D1903">
        <v>16</v>
      </c>
      <c r="E1903" t="str">
        <f>VLOOKUP(D1903,'Cadatro Clientes'!A:O,2,2)</f>
        <v>Norte Suco</v>
      </c>
      <c r="F1903" t="str">
        <f>VLOOKUP(D1903,'Cadatro Clientes'!A:O,9,2)</f>
        <v>Nordeste</v>
      </c>
      <c r="G1903" s="15">
        <v>42335</v>
      </c>
      <c r="H1903">
        <f t="shared" si="146"/>
        <v>6</v>
      </c>
      <c r="I1903">
        <f t="shared" si="147"/>
        <v>27</v>
      </c>
      <c r="J1903">
        <f t="shared" si="148"/>
        <v>11</v>
      </c>
      <c r="K1903">
        <f t="shared" si="149"/>
        <v>2015</v>
      </c>
      <c r="M1903">
        <v>6</v>
      </c>
      <c r="N1903" t="str">
        <f>VLOOKUP(M1903,'Cadastro Vendedores'!A:H,2,2)</f>
        <v>Antônia</v>
      </c>
      <c r="O1903" s="2"/>
      <c r="P1903" s="16">
        <v>3000</v>
      </c>
      <c r="Q1903" s="2">
        <f>VLOOKUP(B1903,'Cadastro Produtos'!A:F,5,2)</f>
        <v>15</v>
      </c>
      <c r="R1903" s="14">
        <f t="shared" si="145"/>
        <v>45000</v>
      </c>
    </row>
    <row r="1904" spans="1:18" x14ac:dyDescent="0.25">
      <c r="A1904">
        <v>1903</v>
      </c>
      <c r="B1904">
        <v>9</v>
      </c>
      <c r="C1904" t="str">
        <f>VLOOKUP(B1904,'Cadastro Produtos'!A:E,2,2)</f>
        <v>Limonada Alfa com Hortelã e Açúcar 1 L</v>
      </c>
      <c r="D1904">
        <v>14</v>
      </c>
      <c r="E1904" t="str">
        <f>VLOOKUP(D1904,'Cadatro Clientes'!A:O,2,2)</f>
        <v>Sprite</v>
      </c>
      <c r="F1904" t="str">
        <f>VLOOKUP(D1904,'Cadatro Clientes'!A:O,9,2)</f>
        <v>Norte</v>
      </c>
      <c r="G1904" s="15">
        <v>42335</v>
      </c>
      <c r="H1904">
        <f t="shared" si="146"/>
        <v>6</v>
      </c>
      <c r="I1904">
        <f t="shared" si="147"/>
        <v>27</v>
      </c>
      <c r="J1904">
        <f t="shared" si="148"/>
        <v>11</v>
      </c>
      <c r="K1904">
        <f t="shared" si="149"/>
        <v>2015</v>
      </c>
      <c r="M1904">
        <v>8</v>
      </c>
      <c r="N1904" t="str">
        <f>VLOOKUP(M1904,'Cadastro Vendedores'!A:H,2,2)</f>
        <v>Sérgio</v>
      </c>
      <c r="O1904" s="2"/>
      <c r="P1904" s="16">
        <v>2700</v>
      </c>
      <c r="Q1904" s="2">
        <f>VLOOKUP(B1904,'Cadastro Produtos'!A:F,5,2)</f>
        <v>17.5</v>
      </c>
      <c r="R1904" s="14">
        <f t="shared" si="145"/>
        <v>47250</v>
      </c>
    </row>
    <row r="1905" spans="1:18" x14ac:dyDescent="0.25">
      <c r="A1905">
        <v>1904</v>
      </c>
      <c r="B1905">
        <v>8</v>
      </c>
      <c r="C1905" t="str">
        <f>VLOOKUP(B1905,'Cadastro Produtos'!A:E,2,2)</f>
        <v>Limonada Beta Zero 1 L</v>
      </c>
      <c r="D1905">
        <v>14</v>
      </c>
      <c r="E1905" t="str">
        <f>VLOOKUP(D1905,'Cadatro Clientes'!A:O,2,2)</f>
        <v>Sprite</v>
      </c>
      <c r="F1905" t="str">
        <f>VLOOKUP(D1905,'Cadatro Clientes'!A:O,9,2)</f>
        <v>Norte</v>
      </c>
      <c r="G1905" s="15">
        <v>42335</v>
      </c>
      <c r="H1905">
        <f t="shared" si="146"/>
        <v>6</v>
      </c>
      <c r="I1905">
        <f t="shared" si="147"/>
        <v>27</v>
      </c>
      <c r="J1905">
        <f t="shared" si="148"/>
        <v>11</v>
      </c>
      <c r="K1905">
        <f t="shared" si="149"/>
        <v>2015</v>
      </c>
      <c r="M1905">
        <v>8</v>
      </c>
      <c r="N1905" t="str">
        <f>VLOOKUP(M1905,'Cadastro Vendedores'!A:H,2,2)</f>
        <v>Sérgio</v>
      </c>
      <c r="O1905" s="2"/>
      <c r="P1905" s="16">
        <v>2000</v>
      </c>
      <c r="Q1905" s="2">
        <f>VLOOKUP(B1905,'Cadastro Produtos'!A:F,5,2)</f>
        <v>12</v>
      </c>
      <c r="R1905" s="14">
        <f t="shared" si="145"/>
        <v>24000</v>
      </c>
    </row>
    <row r="1906" spans="1:18" x14ac:dyDescent="0.25">
      <c r="A1906">
        <v>1905</v>
      </c>
      <c r="B1906">
        <v>10</v>
      </c>
      <c r="C1906" t="str">
        <f>VLOOKUP(B1906,'Cadastro Produtos'!A:E,2,2)</f>
        <v>Limonada Alfa com Hortelã Zero 1 L</v>
      </c>
      <c r="D1906">
        <v>4</v>
      </c>
      <c r="E1906" t="str">
        <f>VLOOKUP(D1906,'Cadatro Clientes'!A:O,2,2)</f>
        <v>Limão Carioca e Cia</v>
      </c>
      <c r="F1906" t="str">
        <f>VLOOKUP(D1906,'Cadatro Clientes'!A:O,9,2)</f>
        <v>Sudeste</v>
      </c>
      <c r="G1906" s="15">
        <v>42336</v>
      </c>
      <c r="H1906">
        <f t="shared" si="146"/>
        <v>7</v>
      </c>
      <c r="I1906">
        <f t="shared" si="147"/>
        <v>28</v>
      </c>
      <c r="J1906">
        <f t="shared" si="148"/>
        <v>11</v>
      </c>
      <c r="K1906">
        <f t="shared" si="149"/>
        <v>2015</v>
      </c>
      <c r="M1906">
        <v>13</v>
      </c>
      <c r="N1906" t="str">
        <f>VLOOKUP(M1906,'Cadastro Vendedores'!A:H,2,2)</f>
        <v>Andre</v>
      </c>
      <c r="O1906" s="2"/>
      <c r="P1906" s="16">
        <v>1400</v>
      </c>
      <c r="Q1906" s="2">
        <f>VLOOKUP(B1906,'Cadastro Produtos'!A:F,5,2)</f>
        <v>21</v>
      </c>
      <c r="R1906" s="14">
        <f t="shared" si="145"/>
        <v>29400</v>
      </c>
    </row>
    <row r="1907" spans="1:18" x14ac:dyDescent="0.25">
      <c r="A1907">
        <v>1906</v>
      </c>
      <c r="B1907">
        <v>3</v>
      </c>
      <c r="C1907" t="str">
        <f>VLOOKUP(B1907,'Cadastro Produtos'!A:E,2,2)</f>
        <v>Limonada Alfa Zero 500 ml</v>
      </c>
      <c r="D1907">
        <v>6</v>
      </c>
      <c r="E1907" t="str">
        <f>VLOOKUP(D1907,'Cadatro Clientes'!A:O,2,2)</f>
        <v>Lemonade</v>
      </c>
      <c r="F1907" t="str">
        <f>VLOOKUP(D1907,'Cadatro Clientes'!A:O,9,2)</f>
        <v>Norte</v>
      </c>
      <c r="G1907" s="15">
        <v>42336</v>
      </c>
      <c r="H1907">
        <f t="shared" si="146"/>
        <v>7</v>
      </c>
      <c r="I1907">
        <f t="shared" si="147"/>
        <v>28</v>
      </c>
      <c r="J1907">
        <f t="shared" si="148"/>
        <v>11</v>
      </c>
      <c r="K1907">
        <f t="shared" si="149"/>
        <v>2015</v>
      </c>
      <c r="M1907">
        <v>13</v>
      </c>
      <c r="N1907" t="str">
        <f>VLOOKUP(M1907,'Cadastro Vendedores'!A:H,2,2)</f>
        <v>Andre</v>
      </c>
      <c r="O1907" s="2"/>
      <c r="P1907" s="16">
        <v>3200</v>
      </c>
      <c r="Q1907" s="2">
        <f>VLOOKUP(B1907,'Cadastro Produtos'!A:F,5,2)</f>
        <v>9</v>
      </c>
      <c r="R1907" s="14">
        <f t="shared" si="145"/>
        <v>28800</v>
      </c>
    </row>
    <row r="1908" spans="1:18" x14ac:dyDescent="0.25">
      <c r="A1908">
        <v>1907</v>
      </c>
      <c r="B1908">
        <v>4</v>
      </c>
      <c r="C1908" t="str">
        <f>VLOOKUP(B1908,'Cadastro Produtos'!A:E,2,2)</f>
        <v>Limonada Beta Zero 500 ml</v>
      </c>
      <c r="D1908">
        <v>3</v>
      </c>
      <c r="E1908" t="str">
        <f>VLOOKUP(D1908,'Cadatro Clientes'!A:O,2,2)</f>
        <v>Limonada Suíça Ltda</v>
      </c>
      <c r="F1908" t="str">
        <f>VLOOKUP(D1908,'Cadatro Clientes'!A:O,9,2)</f>
        <v>Nordeste</v>
      </c>
      <c r="G1908" s="15">
        <v>42338</v>
      </c>
      <c r="H1908">
        <f t="shared" si="146"/>
        <v>2</v>
      </c>
      <c r="I1908">
        <f t="shared" si="147"/>
        <v>30</v>
      </c>
      <c r="J1908">
        <f t="shared" si="148"/>
        <v>11</v>
      </c>
      <c r="K1908">
        <f t="shared" si="149"/>
        <v>2015</v>
      </c>
      <c r="M1908">
        <v>4</v>
      </c>
      <c r="N1908" t="str">
        <f>VLOOKUP(M1908,'Cadastro Vendedores'!A:H,2,2)</f>
        <v>José</v>
      </c>
      <c r="O1908" s="2"/>
      <c r="P1908" s="16">
        <v>7600</v>
      </c>
      <c r="Q1908" s="2">
        <f>VLOOKUP(B1908,'Cadastro Produtos'!A:F,5,2)</f>
        <v>7</v>
      </c>
      <c r="R1908" s="14">
        <f t="shared" si="145"/>
        <v>53200</v>
      </c>
    </row>
    <row r="1909" spans="1:18" x14ac:dyDescent="0.25">
      <c r="A1909">
        <v>1908</v>
      </c>
      <c r="B1909">
        <v>4</v>
      </c>
      <c r="C1909" t="str">
        <f>VLOOKUP(B1909,'Cadastro Produtos'!A:E,2,2)</f>
        <v>Limonada Beta Zero 500 ml</v>
      </c>
      <c r="D1909">
        <v>3</v>
      </c>
      <c r="E1909" t="str">
        <f>VLOOKUP(D1909,'Cadatro Clientes'!A:O,2,2)</f>
        <v>Limonada Suíça Ltda</v>
      </c>
      <c r="F1909" t="str">
        <f>VLOOKUP(D1909,'Cadatro Clientes'!A:O,9,2)</f>
        <v>Nordeste</v>
      </c>
      <c r="G1909" s="15">
        <v>42338</v>
      </c>
      <c r="H1909">
        <f t="shared" si="146"/>
        <v>2</v>
      </c>
      <c r="I1909">
        <f t="shared" si="147"/>
        <v>30</v>
      </c>
      <c r="J1909">
        <f t="shared" si="148"/>
        <v>11</v>
      </c>
      <c r="K1909">
        <f t="shared" si="149"/>
        <v>2015</v>
      </c>
      <c r="M1909">
        <v>4</v>
      </c>
      <c r="N1909" t="str">
        <f>VLOOKUP(M1909,'Cadastro Vendedores'!A:H,2,2)</f>
        <v>José</v>
      </c>
      <c r="O1909" s="2"/>
      <c r="P1909" s="16">
        <v>7900</v>
      </c>
      <c r="Q1909" s="2">
        <f>VLOOKUP(B1909,'Cadastro Produtos'!A:F,5,2)</f>
        <v>7</v>
      </c>
      <c r="R1909" s="14">
        <f t="shared" si="145"/>
        <v>55300</v>
      </c>
    </row>
    <row r="1910" spans="1:18" x14ac:dyDescent="0.25">
      <c r="A1910">
        <v>1909</v>
      </c>
      <c r="B1910">
        <v>5</v>
      </c>
      <c r="C1910" t="str">
        <f>VLOOKUP(B1910,'Cadastro Produtos'!A:E,2,2)</f>
        <v>Limonada Alfa com Açúcar 1 L</v>
      </c>
      <c r="D1910">
        <v>9</v>
      </c>
      <c r="E1910" t="str">
        <f>VLOOKUP(D1910,'Cadatro Clientes'!A:O,2,2)</f>
        <v>Fresh Lemon</v>
      </c>
      <c r="F1910" t="str">
        <f>VLOOKUP(D1910,'Cadatro Clientes'!A:O,9,2)</f>
        <v>Sudeste</v>
      </c>
      <c r="G1910" s="15">
        <v>42338</v>
      </c>
      <c r="H1910">
        <f t="shared" si="146"/>
        <v>2</v>
      </c>
      <c r="I1910">
        <f t="shared" si="147"/>
        <v>30</v>
      </c>
      <c r="J1910">
        <f t="shared" si="148"/>
        <v>11</v>
      </c>
      <c r="K1910">
        <f t="shared" si="149"/>
        <v>2015</v>
      </c>
      <c r="M1910">
        <v>8</v>
      </c>
      <c r="N1910" t="str">
        <f>VLOOKUP(M1910,'Cadastro Vendedores'!A:H,2,2)</f>
        <v>Sérgio</v>
      </c>
      <c r="O1910" s="2"/>
      <c r="P1910" s="16">
        <v>900</v>
      </c>
      <c r="Q1910" s="2">
        <f>VLOOKUP(B1910,'Cadastro Produtos'!A:F,5,2)</f>
        <v>15</v>
      </c>
      <c r="R1910" s="14">
        <f t="shared" si="145"/>
        <v>13500</v>
      </c>
    </row>
    <row r="1911" spans="1:18" x14ac:dyDescent="0.25">
      <c r="A1911">
        <v>1910</v>
      </c>
      <c r="B1911">
        <v>9</v>
      </c>
      <c r="C1911" t="str">
        <f>VLOOKUP(B1911,'Cadastro Produtos'!A:E,2,2)</f>
        <v>Limonada Alfa com Hortelã e Açúcar 1 L</v>
      </c>
      <c r="D1911">
        <v>19</v>
      </c>
      <c r="E1911" t="str">
        <f>VLOOKUP(D1911,'Cadatro Clientes'!A:O,2,2)</f>
        <v>Lima Limão</v>
      </c>
      <c r="F1911" t="str">
        <f>VLOOKUP(D1911,'Cadatro Clientes'!A:O,9,2)</f>
        <v>Sudeste</v>
      </c>
      <c r="G1911" s="15">
        <v>42338</v>
      </c>
      <c r="H1911">
        <f t="shared" si="146"/>
        <v>2</v>
      </c>
      <c r="I1911">
        <f t="shared" si="147"/>
        <v>30</v>
      </c>
      <c r="J1911">
        <f t="shared" si="148"/>
        <v>11</v>
      </c>
      <c r="K1911">
        <f t="shared" si="149"/>
        <v>2015</v>
      </c>
      <c r="M1911">
        <v>12</v>
      </c>
      <c r="N1911" t="str">
        <f>VLOOKUP(M1911,'Cadastro Vendedores'!A:H,2,2)</f>
        <v>Paulo</v>
      </c>
      <c r="O1911" s="2"/>
      <c r="P1911" s="16">
        <v>2500</v>
      </c>
      <c r="Q1911" s="2">
        <f>VLOOKUP(B1911,'Cadastro Produtos'!A:F,5,2)</f>
        <v>17.5</v>
      </c>
      <c r="R1911" s="14">
        <f t="shared" si="145"/>
        <v>43750</v>
      </c>
    </row>
    <row r="1912" spans="1:18" x14ac:dyDescent="0.25">
      <c r="A1912">
        <v>1911</v>
      </c>
      <c r="B1912">
        <v>3</v>
      </c>
      <c r="C1912" t="str">
        <f>VLOOKUP(B1912,'Cadastro Produtos'!A:E,2,2)</f>
        <v>Limonada Alfa Zero 500 ml</v>
      </c>
      <c r="D1912">
        <v>4</v>
      </c>
      <c r="E1912" t="str">
        <f>VLOOKUP(D1912,'Cadatro Clientes'!A:O,2,2)</f>
        <v>Limão Carioca e Cia</v>
      </c>
      <c r="F1912" t="str">
        <f>VLOOKUP(D1912,'Cadatro Clientes'!A:O,9,2)</f>
        <v>Sudeste</v>
      </c>
      <c r="G1912" s="15">
        <v>42338</v>
      </c>
      <c r="H1912">
        <f t="shared" si="146"/>
        <v>2</v>
      </c>
      <c r="I1912">
        <f t="shared" si="147"/>
        <v>30</v>
      </c>
      <c r="J1912">
        <f t="shared" si="148"/>
        <v>11</v>
      </c>
      <c r="K1912">
        <f t="shared" si="149"/>
        <v>2015</v>
      </c>
      <c r="M1912">
        <v>9</v>
      </c>
      <c r="N1912" t="str">
        <f>VLOOKUP(M1912,'Cadastro Vendedores'!A:H,2,2)</f>
        <v>Adriana</v>
      </c>
      <c r="O1912" s="2"/>
      <c r="P1912" s="16">
        <v>1600</v>
      </c>
      <c r="Q1912" s="2">
        <f>VLOOKUP(B1912,'Cadastro Produtos'!A:F,5,2)</f>
        <v>9</v>
      </c>
      <c r="R1912" s="14">
        <f t="shared" si="145"/>
        <v>14400</v>
      </c>
    </row>
    <row r="1913" spans="1:18" x14ac:dyDescent="0.25">
      <c r="A1913">
        <v>1912</v>
      </c>
      <c r="B1913">
        <v>5</v>
      </c>
      <c r="C1913" t="str">
        <f>VLOOKUP(B1913,'Cadastro Produtos'!A:E,2,2)</f>
        <v>Limonada Alfa com Açúcar 1 L</v>
      </c>
      <c r="D1913">
        <v>10</v>
      </c>
      <c r="E1913" t="str">
        <f>VLOOKUP(D1913,'Cadatro Clientes'!A:O,2,2)</f>
        <v>Lemon Gator</v>
      </c>
      <c r="F1913" t="str">
        <f>VLOOKUP(D1913,'Cadatro Clientes'!A:O,9,2)</f>
        <v>Nordeste</v>
      </c>
      <c r="G1913" s="15">
        <v>42338</v>
      </c>
      <c r="H1913">
        <f t="shared" si="146"/>
        <v>2</v>
      </c>
      <c r="I1913">
        <f t="shared" si="147"/>
        <v>30</v>
      </c>
      <c r="J1913">
        <f t="shared" si="148"/>
        <v>11</v>
      </c>
      <c r="K1913">
        <f t="shared" si="149"/>
        <v>2015</v>
      </c>
      <c r="M1913">
        <v>3</v>
      </c>
      <c r="N1913" t="str">
        <f>VLOOKUP(M1913,'Cadastro Vendedores'!A:H,2,2)</f>
        <v>Antônia</v>
      </c>
      <c r="O1913" s="2"/>
      <c r="P1913" s="16">
        <v>2500</v>
      </c>
      <c r="Q1913" s="2">
        <f>VLOOKUP(B1913,'Cadastro Produtos'!A:F,5,2)</f>
        <v>15</v>
      </c>
      <c r="R1913" s="14">
        <f t="shared" si="145"/>
        <v>37500</v>
      </c>
    </row>
    <row r="1914" spans="1:18" x14ac:dyDescent="0.25">
      <c r="A1914">
        <v>1913</v>
      </c>
      <c r="B1914">
        <v>8</v>
      </c>
      <c r="C1914" t="str">
        <f>VLOOKUP(B1914,'Cadastro Produtos'!A:E,2,2)</f>
        <v>Limonada Beta Zero 1 L</v>
      </c>
      <c r="D1914">
        <v>5</v>
      </c>
      <c r="E1914" t="str">
        <f>VLOOKUP(D1914,'Cadatro Clientes'!A:O,2,2)</f>
        <v>Axé com Limão</v>
      </c>
      <c r="F1914" t="str">
        <f>VLOOKUP(D1914,'Cadatro Clientes'!A:O,9,2)</f>
        <v>Nordeste</v>
      </c>
      <c r="G1914" s="15">
        <v>42339</v>
      </c>
      <c r="H1914">
        <f t="shared" si="146"/>
        <v>3</v>
      </c>
      <c r="I1914">
        <f t="shared" si="147"/>
        <v>1</v>
      </c>
      <c r="J1914">
        <f t="shared" si="148"/>
        <v>12</v>
      </c>
      <c r="K1914">
        <f t="shared" si="149"/>
        <v>2015</v>
      </c>
      <c r="M1914">
        <v>6</v>
      </c>
      <c r="N1914" t="str">
        <f>VLOOKUP(M1914,'Cadastro Vendedores'!A:H,2,2)</f>
        <v>Antônia</v>
      </c>
      <c r="O1914" s="2"/>
      <c r="P1914" s="16">
        <v>1200</v>
      </c>
      <c r="Q1914" s="2">
        <f>VLOOKUP(B1914,'Cadastro Produtos'!A:F,5,2)</f>
        <v>12</v>
      </c>
      <c r="R1914" s="14">
        <f t="shared" si="145"/>
        <v>14400</v>
      </c>
    </row>
    <row r="1915" spans="1:18" x14ac:dyDescent="0.25">
      <c r="A1915">
        <v>1914</v>
      </c>
      <c r="B1915">
        <v>7</v>
      </c>
      <c r="C1915" t="str">
        <f>VLOOKUP(B1915,'Cadastro Produtos'!A:E,2,2)</f>
        <v>Limonada Alfa Zero 1 L</v>
      </c>
      <c r="D1915">
        <v>8</v>
      </c>
      <c r="E1915" t="str">
        <f>VLOOKUP(D1915,'Cadatro Clientes'!A:O,2,2)</f>
        <v>Refresko</v>
      </c>
      <c r="F1915" t="str">
        <f>VLOOKUP(D1915,'Cadatro Clientes'!A:O,9,2)</f>
        <v>Sul</v>
      </c>
      <c r="G1915" s="15">
        <v>42339</v>
      </c>
      <c r="H1915">
        <f t="shared" si="146"/>
        <v>3</v>
      </c>
      <c r="I1915">
        <f t="shared" si="147"/>
        <v>1</v>
      </c>
      <c r="J1915">
        <f t="shared" si="148"/>
        <v>12</v>
      </c>
      <c r="K1915">
        <f t="shared" si="149"/>
        <v>2015</v>
      </c>
      <c r="M1915">
        <v>15</v>
      </c>
      <c r="N1915" t="str">
        <f>VLOOKUP(M1915,'Cadastro Vendedores'!A:H,2,2)</f>
        <v>Luis</v>
      </c>
      <c r="O1915" s="2"/>
      <c r="P1915" s="16">
        <v>2400</v>
      </c>
      <c r="Q1915" s="2">
        <f>VLOOKUP(B1915,'Cadastro Produtos'!A:F,5,2)</f>
        <v>15</v>
      </c>
      <c r="R1915" s="14">
        <f t="shared" si="145"/>
        <v>36000</v>
      </c>
    </row>
    <row r="1916" spans="1:18" x14ac:dyDescent="0.25">
      <c r="A1916">
        <v>1915</v>
      </c>
      <c r="B1916">
        <v>2</v>
      </c>
      <c r="C1916" t="str">
        <f>VLOOKUP(B1916,'Cadastro Produtos'!A:E,2,2)</f>
        <v>Limonada Beta com Açúcar 500 ml</v>
      </c>
      <c r="D1916">
        <v>13</v>
      </c>
      <c r="E1916" t="str">
        <f>VLOOKUP(D1916,'Cadatro Clientes'!A:O,2,2)</f>
        <v>Monster Lemon</v>
      </c>
      <c r="F1916" t="str">
        <f>VLOOKUP(D1916,'Cadatro Clientes'!A:O,9,2)</f>
        <v>Nordeste</v>
      </c>
      <c r="G1916" s="15">
        <v>42339</v>
      </c>
      <c r="H1916">
        <f t="shared" si="146"/>
        <v>3</v>
      </c>
      <c r="I1916">
        <f t="shared" si="147"/>
        <v>1</v>
      </c>
      <c r="J1916">
        <f t="shared" si="148"/>
        <v>12</v>
      </c>
      <c r="K1916">
        <f t="shared" si="149"/>
        <v>2015</v>
      </c>
      <c r="M1916">
        <v>8</v>
      </c>
      <c r="N1916" t="str">
        <f>VLOOKUP(M1916,'Cadastro Vendedores'!A:H,2,2)</f>
        <v>Sérgio</v>
      </c>
      <c r="O1916" s="2"/>
      <c r="P1916" s="16">
        <v>3300</v>
      </c>
      <c r="Q1916" s="2">
        <f>VLOOKUP(B1916,'Cadastro Produtos'!A:F,5,2)</f>
        <v>6.5</v>
      </c>
      <c r="R1916" s="14">
        <f t="shared" si="145"/>
        <v>21450</v>
      </c>
    </row>
    <row r="1917" spans="1:18" x14ac:dyDescent="0.25">
      <c r="A1917">
        <v>1916</v>
      </c>
      <c r="B1917">
        <v>7</v>
      </c>
      <c r="C1917" t="str">
        <f>VLOOKUP(B1917,'Cadastro Produtos'!A:E,2,2)</f>
        <v>Limonada Alfa Zero 1 L</v>
      </c>
      <c r="D1917">
        <v>5</v>
      </c>
      <c r="E1917" t="str">
        <f>VLOOKUP(D1917,'Cadatro Clientes'!A:O,2,2)</f>
        <v>Axé com Limão</v>
      </c>
      <c r="F1917" t="str">
        <f>VLOOKUP(D1917,'Cadatro Clientes'!A:O,9,2)</f>
        <v>Nordeste</v>
      </c>
      <c r="G1917" s="15">
        <v>42340</v>
      </c>
      <c r="H1917">
        <f t="shared" si="146"/>
        <v>4</v>
      </c>
      <c r="I1917">
        <f t="shared" si="147"/>
        <v>2</v>
      </c>
      <c r="J1917">
        <f t="shared" si="148"/>
        <v>12</v>
      </c>
      <c r="K1917">
        <f t="shared" si="149"/>
        <v>2015</v>
      </c>
      <c r="M1917">
        <v>6</v>
      </c>
      <c r="N1917" t="str">
        <f>VLOOKUP(M1917,'Cadastro Vendedores'!A:H,2,2)</f>
        <v>Antônia</v>
      </c>
      <c r="O1917" s="2"/>
      <c r="P1917" s="16">
        <v>1400</v>
      </c>
      <c r="Q1917" s="2">
        <f>VLOOKUP(B1917,'Cadastro Produtos'!A:F,5,2)</f>
        <v>15</v>
      </c>
      <c r="R1917" s="14">
        <f t="shared" si="145"/>
        <v>21000</v>
      </c>
    </row>
    <row r="1918" spans="1:18" x14ac:dyDescent="0.25">
      <c r="A1918">
        <v>1917</v>
      </c>
      <c r="B1918">
        <v>1</v>
      </c>
      <c r="C1918" t="str">
        <f>VLOOKUP(B1918,'Cadastro Produtos'!A:E,2,2)</f>
        <v>Limonada Alfa com Açúcar 500 ml</v>
      </c>
      <c r="D1918">
        <v>8</v>
      </c>
      <c r="E1918" t="str">
        <f>VLOOKUP(D1918,'Cadatro Clientes'!A:O,2,2)</f>
        <v>Refresko</v>
      </c>
      <c r="F1918" t="str">
        <f>VLOOKUP(D1918,'Cadatro Clientes'!A:O,9,2)</f>
        <v>Sul</v>
      </c>
      <c r="G1918" s="15">
        <v>42340</v>
      </c>
      <c r="H1918">
        <f t="shared" si="146"/>
        <v>4</v>
      </c>
      <c r="I1918">
        <f t="shared" si="147"/>
        <v>2</v>
      </c>
      <c r="J1918">
        <f t="shared" si="148"/>
        <v>12</v>
      </c>
      <c r="K1918">
        <f t="shared" si="149"/>
        <v>2015</v>
      </c>
      <c r="M1918">
        <v>6</v>
      </c>
      <c r="N1918" t="str">
        <f>VLOOKUP(M1918,'Cadastro Vendedores'!A:H,2,2)</f>
        <v>Antônia</v>
      </c>
      <c r="O1918" s="2"/>
      <c r="P1918" s="16">
        <v>4000</v>
      </c>
      <c r="Q1918" s="2">
        <f>VLOOKUP(B1918,'Cadastro Produtos'!A:F,5,2)</f>
        <v>8.5</v>
      </c>
      <c r="R1918" s="14">
        <f t="shared" si="145"/>
        <v>34000</v>
      </c>
    </row>
    <row r="1919" spans="1:18" x14ac:dyDescent="0.25">
      <c r="A1919">
        <v>1918</v>
      </c>
      <c r="B1919">
        <v>9</v>
      </c>
      <c r="C1919" t="str">
        <f>VLOOKUP(B1919,'Cadastro Produtos'!A:E,2,2)</f>
        <v>Limonada Alfa com Hortelã e Açúcar 1 L</v>
      </c>
      <c r="D1919">
        <v>13</v>
      </c>
      <c r="E1919" t="str">
        <f>VLOOKUP(D1919,'Cadatro Clientes'!A:O,2,2)</f>
        <v>Monster Lemon</v>
      </c>
      <c r="F1919" t="str">
        <f>VLOOKUP(D1919,'Cadatro Clientes'!A:O,9,2)</f>
        <v>Nordeste</v>
      </c>
      <c r="G1919" s="15">
        <v>42340</v>
      </c>
      <c r="H1919">
        <f t="shared" si="146"/>
        <v>4</v>
      </c>
      <c r="I1919">
        <f t="shared" si="147"/>
        <v>2</v>
      </c>
      <c r="J1919">
        <f t="shared" si="148"/>
        <v>12</v>
      </c>
      <c r="K1919">
        <f t="shared" si="149"/>
        <v>2015</v>
      </c>
      <c r="M1919">
        <v>13</v>
      </c>
      <c r="N1919" t="str">
        <f>VLOOKUP(M1919,'Cadastro Vendedores'!A:H,2,2)</f>
        <v>Andre</v>
      </c>
      <c r="O1919" s="2"/>
      <c r="P1919" s="16">
        <v>2900</v>
      </c>
      <c r="Q1919" s="2">
        <f>VLOOKUP(B1919,'Cadastro Produtos'!A:F,5,2)</f>
        <v>17.5</v>
      </c>
      <c r="R1919" s="14">
        <f t="shared" si="145"/>
        <v>50750</v>
      </c>
    </row>
    <row r="1920" spans="1:18" x14ac:dyDescent="0.25">
      <c r="A1920">
        <v>1919</v>
      </c>
      <c r="B1920">
        <v>1</v>
      </c>
      <c r="C1920" t="str">
        <f>VLOOKUP(B1920,'Cadastro Produtos'!A:E,2,2)</f>
        <v>Limonada Alfa com Açúcar 500 ml</v>
      </c>
      <c r="D1920">
        <v>6</v>
      </c>
      <c r="E1920" t="str">
        <f>VLOOKUP(D1920,'Cadatro Clientes'!A:O,2,2)</f>
        <v>Lemonade</v>
      </c>
      <c r="F1920" t="str">
        <f>VLOOKUP(D1920,'Cadatro Clientes'!A:O,9,2)</f>
        <v>Norte</v>
      </c>
      <c r="G1920" s="15">
        <v>42340</v>
      </c>
      <c r="H1920">
        <f t="shared" si="146"/>
        <v>4</v>
      </c>
      <c r="I1920">
        <f t="shared" si="147"/>
        <v>2</v>
      </c>
      <c r="J1920">
        <f t="shared" si="148"/>
        <v>12</v>
      </c>
      <c r="K1920">
        <f t="shared" si="149"/>
        <v>2015</v>
      </c>
      <c r="M1920">
        <v>3</v>
      </c>
      <c r="N1920" t="str">
        <f>VLOOKUP(M1920,'Cadastro Vendedores'!A:H,2,2)</f>
        <v>Antônia</v>
      </c>
      <c r="O1920" s="2"/>
      <c r="P1920" s="16">
        <v>3700</v>
      </c>
      <c r="Q1920" s="2">
        <f>VLOOKUP(B1920,'Cadastro Produtos'!A:F,5,2)</f>
        <v>8.5</v>
      </c>
      <c r="R1920" s="14">
        <f t="shared" si="145"/>
        <v>31450</v>
      </c>
    </row>
    <row r="1921" spans="1:18" x14ac:dyDescent="0.25">
      <c r="A1921">
        <v>1920</v>
      </c>
      <c r="B1921">
        <v>7</v>
      </c>
      <c r="C1921" t="str">
        <f>VLOOKUP(B1921,'Cadastro Produtos'!A:E,2,2)</f>
        <v>Limonada Alfa Zero 1 L</v>
      </c>
      <c r="D1921">
        <v>11</v>
      </c>
      <c r="E1921" t="str">
        <f>VLOOKUP(D1921,'Cadatro Clientes'!A:O,2,2)</f>
        <v>Red Lemon</v>
      </c>
      <c r="F1921" t="str">
        <f>VLOOKUP(D1921,'Cadatro Clientes'!A:O,9,2)</f>
        <v>Sul</v>
      </c>
      <c r="G1921" s="15">
        <v>42340</v>
      </c>
      <c r="H1921">
        <f t="shared" si="146"/>
        <v>4</v>
      </c>
      <c r="I1921">
        <f t="shared" si="147"/>
        <v>2</v>
      </c>
      <c r="J1921">
        <f t="shared" si="148"/>
        <v>12</v>
      </c>
      <c r="K1921">
        <f t="shared" si="149"/>
        <v>2015</v>
      </c>
      <c r="M1921">
        <v>13</v>
      </c>
      <c r="N1921" t="str">
        <f>VLOOKUP(M1921,'Cadastro Vendedores'!A:H,2,2)</f>
        <v>Andre</v>
      </c>
      <c r="O1921" s="2"/>
      <c r="P1921" s="16">
        <v>1500</v>
      </c>
      <c r="Q1921" s="2">
        <f>VLOOKUP(B1921,'Cadastro Produtos'!A:F,5,2)</f>
        <v>15</v>
      </c>
      <c r="R1921" s="14">
        <f t="shared" si="145"/>
        <v>22500</v>
      </c>
    </row>
    <row r="1922" spans="1:18" x14ac:dyDescent="0.25">
      <c r="A1922">
        <v>1921</v>
      </c>
      <c r="B1922">
        <v>2</v>
      </c>
      <c r="C1922" t="str">
        <f>VLOOKUP(B1922,'Cadastro Produtos'!A:E,2,2)</f>
        <v>Limonada Beta com Açúcar 500 ml</v>
      </c>
      <c r="D1922">
        <v>15</v>
      </c>
      <c r="E1922" t="str">
        <f>VLOOKUP(D1922,'Cadatro Clientes'!A:O,2,2)</f>
        <v>Limão do Mané</v>
      </c>
      <c r="F1922" t="str">
        <f>VLOOKUP(D1922,'Cadatro Clientes'!A:O,9,2)</f>
        <v>Sul</v>
      </c>
      <c r="G1922" s="15">
        <v>42340</v>
      </c>
      <c r="H1922">
        <f t="shared" si="146"/>
        <v>4</v>
      </c>
      <c r="I1922">
        <f t="shared" si="147"/>
        <v>2</v>
      </c>
      <c r="J1922">
        <f t="shared" si="148"/>
        <v>12</v>
      </c>
      <c r="K1922">
        <f t="shared" si="149"/>
        <v>2015</v>
      </c>
      <c r="M1922">
        <v>13</v>
      </c>
      <c r="N1922" t="str">
        <f>VLOOKUP(M1922,'Cadastro Vendedores'!A:H,2,2)</f>
        <v>Andre</v>
      </c>
      <c r="O1922" s="2"/>
      <c r="P1922" s="16">
        <v>5500</v>
      </c>
      <c r="Q1922" s="2">
        <f>VLOOKUP(B1922,'Cadastro Produtos'!A:F,5,2)</f>
        <v>6.5</v>
      </c>
      <c r="R1922" s="14">
        <f t="shared" ref="R1922:R1985" si="150">Q1922*P1922</f>
        <v>35750</v>
      </c>
    </row>
    <row r="1923" spans="1:18" x14ac:dyDescent="0.25">
      <c r="A1923">
        <v>1922</v>
      </c>
      <c r="B1923">
        <v>10</v>
      </c>
      <c r="C1923" t="str">
        <f>VLOOKUP(B1923,'Cadastro Produtos'!A:E,2,2)</f>
        <v>Limonada Alfa com Hortelã Zero 1 L</v>
      </c>
      <c r="D1923">
        <v>6</v>
      </c>
      <c r="E1923" t="str">
        <f>VLOOKUP(D1923,'Cadatro Clientes'!A:O,2,2)</f>
        <v>Lemonade</v>
      </c>
      <c r="F1923" t="str">
        <f>VLOOKUP(D1923,'Cadatro Clientes'!A:O,9,2)</f>
        <v>Norte</v>
      </c>
      <c r="G1923" s="15">
        <v>42341</v>
      </c>
      <c r="H1923">
        <f t="shared" ref="H1923:H1986" si="151">WEEKDAY(G1923)</f>
        <v>5</v>
      </c>
      <c r="I1923">
        <f t="shared" ref="I1923:I1986" si="152">DAY(G1923)</f>
        <v>3</v>
      </c>
      <c r="J1923">
        <f t="shared" ref="J1923:J1986" si="153">MONTH(G1923)</f>
        <v>12</v>
      </c>
      <c r="K1923">
        <f t="shared" ref="K1923:K1986" si="154">YEAR(G1923)</f>
        <v>2015</v>
      </c>
      <c r="M1923">
        <v>15</v>
      </c>
      <c r="N1923" t="str">
        <f>VLOOKUP(M1923,'Cadastro Vendedores'!A:H,2,2)</f>
        <v>Luis</v>
      </c>
      <c r="O1923" s="2"/>
      <c r="P1923" s="16">
        <v>1800</v>
      </c>
      <c r="Q1923" s="2">
        <f>VLOOKUP(B1923,'Cadastro Produtos'!A:F,5,2)</f>
        <v>21</v>
      </c>
      <c r="R1923" s="14">
        <f t="shared" si="150"/>
        <v>37800</v>
      </c>
    </row>
    <row r="1924" spans="1:18" x14ac:dyDescent="0.25">
      <c r="A1924">
        <v>1923</v>
      </c>
      <c r="B1924">
        <v>8</v>
      </c>
      <c r="C1924" t="str">
        <f>VLOOKUP(B1924,'Cadastro Produtos'!A:E,2,2)</f>
        <v>Limonada Beta Zero 1 L</v>
      </c>
      <c r="D1924">
        <v>19</v>
      </c>
      <c r="E1924" t="str">
        <f>VLOOKUP(D1924,'Cadatro Clientes'!A:O,2,2)</f>
        <v>Lima Limão</v>
      </c>
      <c r="F1924" t="str">
        <f>VLOOKUP(D1924,'Cadatro Clientes'!A:O,9,2)</f>
        <v>Sudeste</v>
      </c>
      <c r="G1924" s="15">
        <v>42341</v>
      </c>
      <c r="H1924">
        <f t="shared" si="151"/>
        <v>5</v>
      </c>
      <c r="I1924">
        <f t="shared" si="152"/>
        <v>3</v>
      </c>
      <c r="J1924">
        <f t="shared" si="153"/>
        <v>12</v>
      </c>
      <c r="K1924">
        <f t="shared" si="154"/>
        <v>2015</v>
      </c>
      <c r="M1924">
        <v>16</v>
      </c>
      <c r="N1924" t="str">
        <f>VLOOKUP(M1924,'Cadastro Vendedores'!A:H,2,2)</f>
        <v>Jose</v>
      </c>
      <c r="O1924" s="2"/>
      <c r="P1924" s="16">
        <v>4700</v>
      </c>
      <c r="Q1924" s="2">
        <f>VLOOKUP(B1924,'Cadastro Produtos'!A:F,5,2)</f>
        <v>12</v>
      </c>
      <c r="R1924" s="14">
        <f t="shared" si="150"/>
        <v>56400</v>
      </c>
    </row>
    <row r="1925" spans="1:18" x14ac:dyDescent="0.25">
      <c r="A1925">
        <v>1924</v>
      </c>
      <c r="B1925">
        <v>10</v>
      </c>
      <c r="C1925" t="str">
        <f>VLOOKUP(B1925,'Cadastro Produtos'!A:E,2,2)</f>
        <v>Limonada Alfa com Hortelã Zero 1 L</v>
      </c>
      <c r="D1925">
        <v>11</v>
      </c>
      <c r="E1925" t="str">
        <f>VLOOKUP(D1925,'Cadatro Clientes'!A:O,2,2)</f>
        <v>Red Lemon</v>
      </c>
      <c r="F1925" t="str">
        <f>VLOOKUP(D1925,'Cadatro Clientes'!A:O,9,2)</f>
        <v>Sul</v>
      </c>
      <c r="G1925" s="15">
        <v>42341</v>
      </c>
      <c r="H1925">
        <f t="shared" si="151"/>
        <v>5</v>
      </c>
      <c r="I1925">
        <f t="shared" si="152"/>
        <v>3</v>
      </c>
      <c r="J1925">
        <f t="shared" si="153"/>
        <v>12</v>
      </c>
      <c r="K1925">
        <f t="shared" si="154"/>
        <v>2015</v>
      </c>
      <c r="M1925">
        <v>3</v>
      </c>
      <c r="N1925" t="str">
        <f>VLOOKUP(M1925,'Cadastro Vendedores'!A:H,2,2)</f>
        <v>Antônia</v>
      </c>
      <c r="O1925" s="2"/>
      <c r="P1925" s="16">
        <v>1100</v>
      </c>
      <c r="Q1925" s="2">
        <f>VLOOKUP(B1925,'Cadastro Produtos'!A:F,5,2)</f>
        <v>21</v>
      </c>
      <c r="R1925" s="14">
        <f t="shared" si="150"/>
        <v>23100</v>
      </c>
    </row>
    <row r="1926" spans="1:18" x14ac:dyDescent="0.25">
      <c r="A1926">
        <v>1925</v>
      </c>
      <c r="B1926">
        <v>8</v>
      </c>
      <c r="C1926" t="str">
        <f>VLOOKUP(B1926,'Cadastro Produtos'!A:E,2,2)</f>
        <v>Limonada Beta Zero 1 L</v>
      </c>
      <c r="D1926">
        <v>1</v>
      </c>
      <c r="E1926" t="str">
        <f>VLOOKUP(D1926,'Cadatro Clientes'!A:O,2,2)</f>
        <v>Meu Suco de Limão</v>
      </c>
      <c r="F1926" t="str">
        <f>VLOOKUP(D1926,'Cadatro Clientes'!A:O,9,2)</f>
        <v>Norte</v>
      </c>
      <c r="G1926" s="15">
        <v>42342</v>
      </c>
      <c r="H1926">
        <f t="shared" si="151"/>
        <v>6</v>
      </c>
      <c r="I1926">
        <f t="shared" si="152"/>
        <v>4</v>
      </c>
      <c r="J1926">
        <f t="shared" si="153"/>
        <v>12</v>
      </c>
      <c r="K1926">
        <f t="shared" si="154"/>
        <v>2015</v>
      </c>
      <c r="M1926">
        <v>16</v>
      </c>
      <c r="N1926" t="str">
        <f>VLOOKUP(M1926,'Cadastro Vendedores'!A:H,2,2)</f>
        <v>Jose</v>
      </c>
      <c r="O1926" s="2"/>
      <c r="P1926" s="16">
        <v>2900</v>
      </c>
      <c r="Q1926" s="2">
        <f>VLOOKUP(B1926,'Cadastro Produtos'!A:F,5,2)</f>
        <v>12</v>
      </c>
      <c r="R1926" s="14">
        <f t="shared" si="150"/>
        <v>34800</v>
      </c>
    </row>
    <row r="1927" spans="1:18" x14ac:dyDescent="0.25">
      <c r="A1927">
        <v>1926</v>
      </c>
      <c r="B1927">
        <v>9</v>
      </c>
      <c r="C1927" t="str">
        <f>VLOOKUP(B1927,'Cadastro Produtos'!A:E,2,2)</f>
        <v>Limonada Alfa com Hortelã e Açúcar 1 L</v>
      </c>
      <c r="D1927">
        <v>1</v>
      </c>
      <c r="E1927" t="str">
        <f>VLOOKUP(D1927,'Cadatro Clientes'!A:O,2,2)</f>
        <v>Meu Suco de Limão</v>
      </c>
      <c r="F1927" t="str">
        <f>VLOOKUP(D1927,'Cadatro Clientes'!A:O,9,2)</f>
        <v>Norte</v>
      </c>
      <c r="G1927" s="15">
        <v>42342</v>
      </c>
      <c r="H1927">
        <f t="shared" si="151"/>
        <v>6</v>
      </c>
      <c r="I1927">
        <f t="shared" si="152"/>
        <v>4</v>
      </c>
      <c r="J1927">
        <f t="shared" si="153"/>
        <v>12</v>
      </c>
      <c r="K1927">
        <f t="shared" si="154"/>
        <v>2015</v>
      </c>
      <c r="M1927">
        <v>7</v>
      </c>
      <c r="N1927" t="str">
        <f>VLOOKUP(M1927,'Cadastro Vendedores'!A:H,2,2)</f>
        <v>Benedito</v>
      </c>
      <c r="O1927" s="2"/>
      <c r="P1927" s="16">
        <v>3200</v>
      </c>
      <c r="Q1927" s="2">
        <f>VLOOKUP(B1927,'Cadastro Produtos'!A:F,5,2)</f>
        <v>17.5</v>
      </c>
      <c r="R1927" s="14">
        <f t="shared" si="150"/>
        <v>56000</v>
      </c>
    </row>
    <row r="1928" spans="1:18" x14ac:dyDescent="0.25">
      <c r="A1928">
        <v>1927</v>
      </c>
      <c r="B1928">
        <v>8</v>
      </c>
      <c r="C1928" t="str">
        <f>VLOOKUP(B1928,'Cadastro Produtos'!A:E,2,2)</f>
        <v>Limonada Beta Zero 1 L</v>
      </c>
      <c r="D1928">
        <v>6</v>
      </c>
      <c r="E1928" t="str">
        <f>VLOOKUP(D1928,'Cadatro Clientes'!A:O,2,2)</f>
        <v>Lemonade</v>
      </c>
      <c r="F1928" t="str">
        <f>VLOOKUP(D1928,'Cadatro Clientes'!A:O,9,2)</f>
        <v>Norte</v>
      </c>
      <c r="G1928" s="15">
        <v>42342</v>
      </c>
      <c r="H1928">
        <f t="shared" si="151"/>
        <v>6</v>
      </c>
      <c r="I1928">
        <f t="shared" si="152"/>
        <v>4</v>
      </c>
      <c r="J1928">
        <f t="shared" si="153"/>
        <v>12</v>
      </c>
      <c r="K1928">
        <f t="shared" si="154"/>
        <v>2015</v>
      </c>
      <c r="M1928">
        <v>4</v>
      </c>
      <c r="N1928" t="str">
        <f>VLOOKUP(M1928,'Cadastro Vendedores'!A:H,2,2)</f>
        <v>José</v>
      </c>
      <c r="O1928" s="2"/>
      <c r="P1928" s="16">
        <v>2500</v>
      </c>
      <c r="Q1928" s="2">
        <f>VLOOKUP(B1928,'Cadastro Produtos'!A:F,5,2)</f>
        <v>12</v>
      </c>
      <c r="R1928" s="14">
        <f t="shared" si="150"/>
        <v>30000</v>
      </c>
    </row>
    <row r="1929" spans="1:18" x14ac:dyDescent="0.25">
      <c r="A1929">
        <v>1928</v>
      </c>
      <c r="B1929">
        <v>3</v>
      </c>
      <c r="C1929" t="str">
        <f>VLOOKUP(B1929,'Cadastro Produtos'!A:E,2,2)</f>
        <v>Limonada Alfa Zero 500 ml</v>
      </c>
      <c r="D1929">
        <v>13</v>
      </c>
      <c r="E1929" t="str">
        <f>VLOOKUP(D1929,'Cadatro Clientes'!A:O,2,2)</f>
        <v>Monster Lemon</v>
      </c>
      <c r="F1929" t="str">
        <f>VLOOKUP(D1929,'Cadatro Clientes'!A:O,9,2)</f>
        <v>Nordeste</v>
      </c>
      <c r="G1929" s="15">
        <v>42342</v>
      </c>
      <c r="H1929">
        <f t="shared" si="151"/>
        <v>6</v>
      </c>
      <c r="I1929">
        <f t="shared" si="152"/>
        <v>4</v>
      </c>
      <c r="J1929">
        <f t="shared" si="153"/>
        <v>12</v>
      </c>
      <c r="K1929">
        <f t="shared" si="154"/>
        <v>2015</v>
      </c>
      <c r="M1929">
        <v>9</v>
      </c>
      <c r="N1929" t="str">
        <f>VLOOKUP(M1929,'Cadastro Vendedores'!A:H,2,2)</f>
        <v>Adriana</v>
      </c>
      <c r="O1929" s="2"/>
      <c r="P1929" s="16">
        <v>3800</v>
      </c>
      <c r="Q1929" s="2">
        <f>VLOOKUP(B1929,'Cadastro Produtos'!A:F,5,2)</f>
        <v>9</v>
      </c>
      <c r="R1929" s="14">
        <f t="shared" si="150"/>
        <v>34200</v>
      </c>
    </row>
    <row r="1930" spans="1:18" x14ac:dyDescent="0.25">
      <c r="A1930">
        <v>1929</v>
      </c>
      <c r="B1930">
        <v>9</v>
      </c>
      <c r="C1930" t="str">
        <f>VLOOKUP(B1930,'Cadastro Produtos'!A:E,2,2)</f>
        <v>Limonada Alfa com Hortelã e Açúcar 1 L</v>
      </c>
      <c r="D1930">
        <v>3</v>
      </c>
      <c r="E1930" t="str">
        <f>VLOOKUP(D1930,'Cadatro Clientes'!A:O,2,2)</f>
        <v>Limonada Suíça Ltda</v>
      </c>
      <c r="F1930" t="str">
        <f>VLOOKUP(D1930,'Cadatro Clientes'!A:O,9,2)</f>
        <v>Nordeste</v>
      </c>
      <c r="G1930" s="15">
        <v>42343</v>
      </c>
      <c r="H1930">
        <f t="shared" si="151"/>
        <v>7</v>
      </c>
      <c r="I1930">
        <f t="shared" si="152"/>
        <v>5</v>
      </c>
      <c r="J1930">
        <f t="shared" si="153"/>
        <v>12</v>
      </c>
      <c r="K1930">
        <f t="shared" si="154"/>
        <v>2015</v>
      </c>
      <c r="M1930">
        <v>4</v>
      </c>
      <c r="N1930" t="str">
        <f>VLOOKUP(M1930,'Cadastro Vendedores'!A:H,2,2)</f>
        <v>José</v>
      </c>
      <c r="O1930" s="2"/>
      <c r="P1930" s="16">
        <v>3400</v>
      </c>
      <c r="Q1930" s="2">
        <f>VLOOKUP(B1930,'Cadastro Produtos'!A:F,5,2)</f>
        <v>17.5</v>
      </c>
      <c r="R1930" s="14">
        <f t="shared" si="150"/>
        <v>59500</v>
      </c>
    </row>
    <row r="1931" spans="1:18" x14ac:dyDescent="0.25">
      <c r="A1931">
        <v>1930</v>
      </c>
      <c r="B1931">
        <v>4</v>
      </c>
      <c r="C1931" t="str">
        <f>VLOOKUP(B1931,'Cadastro Produtos'!A:E,2,2)</f>
        <v>Limonada Beta Zero 500 ml</v>
      </c>
      <c r="D1931">
        <v>6</v>
      </c>
      <c r="E1931" t="str">
        <f>VLOOKUP(D1931,'Cadatro Clientes'!A:O,2,2)</f>
        <v>Lemonade</v>
      </c>
      <c r="F1931" t="str">
        <f>VLOOKUP(D1931,'Cadatro Clientes'!A:O,9,2)</f>
        <v>Norte</v>
      </c>
      <c r="G1931" s="15">
        <v>42343</v>
      </c>
      <c r="H1931">
        <f t="shared" si="151"/>
        <v>7</v>
      </c>
      <c r="I1931">
        <f t="shared" si="152"/>
        <v>5</v>
      </c>
      <c r="J1931">
        <f t="shared" si="153"/>
        <v>12</v>
      </c>
      <c r="K1931">
        <f t="shared" si="154"/>
        <v>2015</v>
      </c>
      <c r="M1931">
        <v>12</v>
      </c>
      <c r="N1931" t="str">
        <f>VLOOKUP(M1931,'Cadastro Vendedores'!A:H,2,2)</f>
        <v>Paulo</v>
      </c>
      <c r="O1931" s="2"/>
      <c r="P1931" s="16">
        <v>8500</v>
      </c>
      <c r="Q1931" s="2">
        <f>VLOOKUP(B1931,'Cadastro Produtos'!A:F,5,2)</f>
        <v>7</v>
      </c>
      <c r="R1931" s="14">
        <f t="shared" si="150"/>
        <v>59500</v>
      </c>
    </row>
    <row r="1932" spans="1:18" x14ac:dyDescent="0.25">
      <c r="A1932">
        <v>1931</v>
      </c>
      <c r="B1932">
        <v>5</v>
      </c>
      <c r="C1932" t="str">
        <f>VLOOKUP(B1932,'Cadastro Produtos'!A:E,2,2)</f>
        <v>Limonada Alfa com Açúcar 1 L</v>
      </c>
      <c r="D1932">
        <v>6</v>
      </c>
      <c r="E1932" t="str">
        <f>VLOOKUP(D1932,'Cadatro Clientes'!A:O,2,2)</f>
        <v>Lemonade</v>
      </c>
      <c r="F1932" t="str">
        <f>VLOOKUP(D1932,'Cadatro Clientes'!A:O,9,2)</f>
        <v>Norte</v>
      </c>
      <c r="G1932" s="15">
        <v>42344</v>
      </c>
      <c r="H1932">
        <f t="shared" si="151"/>
        <v>1</v>
      </c>
      <c r="I1932">
        <f t="shared" si="152"/>
        <v>6</v>
      </c>
      <c r="J1932">
        <f t="shared" si="153"/>
        <v>12</v>
      </c>
      <c r="K1932">
        <f t="shared" si="154"/>
        <v>2015</v>
      </c>
      <c r="M1932">
        <v>13</v>
      </c>
      <c r="N1932" t="str">
        <f>VLOOKUP(M1932,'Cadastro Vendedores'!A:H,2,2)</f>
        <v>Andre</v>
      </c>
      <c r="O1932" s="2"/>
      <c r="P1932" s="16">
        <v>4000</v>
      </c>
      <c r="Q1932" s="2">
        <f>VLOOKUP(B1932,'Cadastro Produtos'!A:F,5,2)</f>
        <v>15</v>
      </c>
      <c r="R1932" s="14">
        <f t="shared" si="150"/>
        <v>60000</v>
      </c>
    </row>
    <row r="1933" spans="1:18" x14ac:dyDescent="0.25">
      <c r="A1933">
        <v>1932</v>
      </c>
      <c r="B1933">
        <v>9</v>
      </c>
      <c r="C1933" t="str">
        <f>VLOOKUP(B1933,'Cadastro Produtos'!A:E,2,2)</f>
        <v>Limonada Alfa com Hortelã e Açúcar 1 L</v>
      </c>
      <c r="D1933">
        <v>9</v>
      </c>
      <c r="E1933" t="str">
        <f>VLOOKUP(D1933,'Cadatro Clientes'!A:O,2,2)</f>
        <v>Fresh Lemon</v>
      </c>
      <c r="F1933" t="str">
        <f>VLOOKUP(D1933,'Cadatro Clientes'!A:O,9,2)</f>
        <v>Sudeste</v>
      </c>
      <c r="G1933" s="15">
        <v>42344</v>
      </c>
      <c r="H1933">
        <f t="shared" si="151"/>
        <v>1</v>
      </c>
      <c r="I1933">
        <f t="shared" si="152"/>
        <v>6</v>
      </c>
      <c r="J1933">
        <f t="shared" si="153"/>
        <v>12</v>
      </c>
      <c r="K1933">
        <f t="shared" si="154"/>
        <v>2015</v>
      </c>
      <c r="M1933">
        <v>12</v>
      </c>
      <c r="N1933" t="str">
        <f>VLOOKUP(M1933,'Cadastro Vendedores'!A:H,2,2)</f>
        <v>Paulo</v>
      </c>
      <c r="O1933" s="2"/>
      <c r="P1933" s="16">
        <v>3700</v>
      </c>
      <c r="Q1933" s="2">
        <f>VLOOKUP(B1933,'Cadastro Produtos'!A:F,5,2)</f>
        <v>17.5</v>
      </c>
      <c r="R1933" s="14">
        <f t="shared" si="150"/>
        <v>64750</v>
      </c>
    </row>
    <row r="1934" spans="1:18" x14ac:dyDescent="0.25">
      <c r="A1934">
        <v>1933</v>
      </c>
      <c r="B1934">
        <v>6</v>
      </c>
      <c r="C1934" t="str">
        <f>VLOOKUP(B1934,'Cadastro Produtos'!A:E,2,2)</f>
        <v>Limonada Beta com Açúcar 1 L</v>
      </c>
      <c r="D1934">
        <v>12</v>
      </c>
      <c r="E1934" t="str">
        <f>VLOOKUP(D1934,'Cadatro Clientes'!A:O,2,2)</f>
        <v>Limão da Ilha</v>
      </c>
      <c r="F1934" t="str">
        <f>VLOOKUP(D1934,'Cadatro Clientes'!A:O,9,2)</f>
        <v>Sul</v>
      </c>
      <c r="G1934" s="15">
        <v>42344</v>
      </c>
      <c r="H1934">
        <f t="shared" si="151"/>
        <v>1</v>
      </c>
      <c r="I1934">
        <f t="shared" si="152"/>
        <v>6</v>
      </c>
      <c r="J1934">
        <f t="shared" si="153"/>
        <v>12</v>
      </c>
      <c r="K1934">
        <f t="shared" si="154"/>
        <v>2015</v>
      </c>
      <c r="M1934">
        <v>6</v>
      </c>
      <c r="N1934" t="str">
        <f>VLOOKUP(M1934,'Cadastro Vendedores'!A:H,2,2)</f>
        <v>Antônia</v>
      </c>
      <c r="O1934" s="2"/>
      <c r="P1934" s="16">
        <v>1300</v>
      </c>
      <c r="Q1934" s="2">
        <f>VLOOKUP(B1934,'Cadastro Produtos'!A:F,5,2)</f>
        <v>12</v>
      </c>
      <c r="R1934" s="14">
        <f t="shared" si="150"/>
        <v>15600</v>
      </c>
    </row>
    <row r="1935" spans="1:18" x14ac:dyDescent="0.25">
      <c r="A1935">
        <v>1934</v>
      </c>
      <c r="B1935">
        <v>10</v>
      </c>
      <c r="C1935" t="str">
        <f>VLOOKUP(B1935,'Cadastro Produtos'!A:E,2,2)</f>
        <v>Limonada Alfa com Hortelã Zero 1 L</v>
      </c>
      <c r="D1935">
        <v>14</v>
      </c>
      <c r="E1935" t="str">
        <f>VLOOKUP(D1935,'Cadatro Clientes'!A:O,2,2)</f>
        <v>Sprite</v>
      </c>
      <c r="F1935" t="str">
        <f>VLOOKUP(D1935,'Cadatro Clientes'!A:O,9,2)</f>
        <v>Norte</v>
      </c>
      <c r="G1935" s="15">
        <v>42345</v>
      </c>
      <c r="H1935">
        <f t="shared" si="151"/>
        <v>2</v>
      </c>
      <c r="I1935">
        <f t="shared" si="152"/>
        <v>7</v>
      </c>
      <c r="J1935">
        <f t="shared" si="153"/>
        <v>12</v>
      </c>
      <c r="K1935">
        <f t="shared" si="154"/>
        <v>2015</v>
      </c>
      <c r="M1935">
        <v>3</v>
      </c>
      <c r="N1935" t="str">
        <f>VLOOKUP(M1935,'Cadastro Vendedores'!A:H,2,2)</f>
        <v>Antônia</v>
      </c>
      <c r="O1935" s="2"/>
      <c r="P1935" s="16">
        <v>2800</v>
      </c>
      <c r="Q1935" s="2">
        <f>VLOOKUP(B1935,'Cadastro Produtos'!A:F,5,2)</f>
        <v>21</v>
      </c>
      <c r="R1935" s="14">
        <f t="shared" si="150"/>
        <v>58800</v>
      </c>
    </row>
    <row r="1936" spans="1:18" x14ac:dyDescent="0.25">
      <c r="A1936">
        <v>1935</v>
      </c>
      <c r="B1936">
        <v>6</v>
      </c>
      <c r="C1936" t="str">
        <f>VLOOKUP(B1936,'Cadastro Produtos'!A:E,2,2)</f>
        <v>Limonada Beta com Açúcar 1 L</v>
      </c>
      <c r="D1936">
        <v>3</v>
      </c>
      <c r="E1936" t="str">
        <f>VLOOKUP(D1936,'Cadatro Clientes'!A:O,2,2)</f>
        <v>Limonada Suíça Ltda</v>
      </c>
      <c r="F1936" t="str">
        <f>VLOOKUP(D1936,'Cadatro Clientes'!A:O,9,2)</f>
        <v>Nordeste</v>
      </c>
      <c r="G1936" s="15">
        <v>42346</v>
      </c>
      <c r="H1936">
        <f t="shared" si="151"/>
        <v>3</v>
      </c>
      <c r="I1936">
        <f t="shared" si="152"/>
        <v>8</v>
      </c>
      <c r="J1936">
        <f t="shared" si="153"/>
        <v>12</v>
      </c>
      <c r="K1936">
        <f t="shared" si="154"/>
        <v>2015</v>
      </c>
      <c r="M1936">
        <v>4</v>
      </c>
      <c r="N1936" t="str">
        <f>VLOOKUP(M1936,'Cadastro Vendedores'!A:H,2,2)</f>
        <v>José</v>
      </c>
      <c r="O1936" s="2"/>
      <c r="P1936" s="16">
        <v>2900</v>
      </c>
      <c r="Q1936" s="2">
        <f>VLOOKUP(B1936,'Cadastro Produtos'!A:F,5,2)</f>
        <v>12</v>
      </c>
      <c r="R1936" s="14">
        <f t="shared" si="150"/>
        <v>34800</v>
      </c>
    </row>
    <row r="1937" spans="1:18" x14ac:dyDescent="0.25">
      <c r="A1937">
        <v>1936</v>
      </c>
      <c r="B1937">
        <v>7</v>
      </c>
      <c r="C1937" t="str">
        <f>VLOOKUP(B1937,'Cadastro Produtos'!A:E,2,2)</f>
        <v>Limonada Alfa Zero 1 L</v>
      </c>
      <c r="D1937">
        <v>5</v>
      </c>
      <c r="E1937" t="str">
        <f>VLOOKUP(D1937,'Cadatro Clientes'!A:O,2,2)</f>
        <v>Axé com Limão</v>
      </c>
      <c r="F1937" t="str">
        <f>VLOOKUP(D1937,'Cadatro Clientes'!A:O,9,2)</f>
        <v>Nordeste</v>
      </c>
      <c r="G1937" s="15">
        <v>42346</v>
      </c>
      <c r="H1937">
        <f t="shared" si="151"/>
        <v>3</v>
      </c>
      <c r="I1937">
        <f t="shared" si="152"/>
        <v>8</v>
      </c>
      <c r="J1937">
        <f t="shared" si="153"/>
        <v>12</v>
      </c>
      <c r="K1937">
        <f t="shared" si="154"/>
        <v>2015</v>
      </c>
      <c r="M1937">
        <v>7</v>
      </c>
      <c r="N1937" t="str">
        <f>VLOOKUP(M1937,'Cadastro Vendedores'!A:H,2,2)</f>
        <v>Benedito</v>
      </c>
      <c r="O1937" s="2"/>
      <c r="P1937" s="16">
        <v>2600</v>
      </c>
      <c r="Q1937" s="2">
        <f>VLOOKUP(B1937,'Cadastro Produtos'!A:F,5,2)</f>
        <v>15</v>
      </c>
      <c r="R1937" s="14">
        <f t="shared" si="150"/>
        <v>39000</v>
      </c>
    </row>
    <row r="1938" spans="1:18" x14ac:dyDescent="0.25">
      <c r="A1938">
        <v>1937</v>
      </c>
      <c r="B1938">
        <v>8</v>
      </c>
      <c r="C1938" t="str">
        <f>VLOOKUP(B1938,'Cadastro Produtos'!A:E,2,2)</f>
        <v>Limonada Beta Zero 1 L</v>
      </c>
      <c r="D1938">
        <v>8</v>
      </c>
      <c r="E1938" t="str">
        <f>VLOOKUP(D1938,'Cadatro Clientes'!A:O,2,2)</f>
        <v>Refresko</v>
      </c>
      <c r="F1938" t="str">
        <f>VLOOKUP(D1938,'Cadatro Clientes'!A:O,9,2)</f>
        <v>Sul</v>
      </c>
      <c r="G1938" s="15">
        <v>42346</v>
      </c>
      <c r="H1938">
        <f t="shared" si="151"/>
        <v>3</v>
      </c>
      <c r="I1938">
        <f t="shared" si="152"/>
        <v>8</v>
      </c>
      <c r="J1938">
        <f t="shared" si="153"/>
        <v>12</v>
      </c>
      <c r="K1938">
        <f t="shared" si="154"/>
        <v>2015</v>
      </c>
      <c r="M1938">
        <v>7</v>
      </c>
      <c r="N1938" t="str">
        <f>VLOOKUP(M1938,'Cadastro Vendedores'!A:H,2,2)</f>
        <v>Benedito</v>
      </c>
      <c r="O1938" s="2"/>
      <c r="P1938" s="16">
        <v>5400</v>
      </c>
      <c r="Q1938" s="2">
        <f>VLOOKUP(B1938,'Cadastro Produtos'!A:F,5,2)</f>
        <v>12</v>
      </c>
      <c r="R1938" s="14">
        <f t="shared" si="150"/>
        <v>64800</v>
      </c>
    </row>
    <row r="1939" spans="1:18" x14ac:dyDescent="0.25">
      <c r="A1939">
        <v>1938</v>
      </c>
      <c r="B1939">
        <v>7</v>
      </c>
      <c r="C1939" t="str">
        <f>VLOOKUP(B1939,'Cadastro Produtos'!A:E,2,2)</f>
        <v>Limonada Alfa Zero 1 L</v>
      </c>
      <c r="D1939">
        <v>2</v>
      </c>
      <c r="E1939" t="str">
        <f>VLOOKUP(D1939,'Cadatro Clientes'!A:O,2,2)</f>
        <v>Limão S/A</v>
      </c>
      <c r="F1939" t="str">
        <f>VLOOKUP(D1939,'Cadatro Clientes'!A:O,9,2)</f>
        <v>Centro-Oeste</v>
      </c>
      <c r="G1939" s="15">
        <v>42346</v>
      </c>
      <c r="H1939">
        <f t="shared" si="151"/>
        <v>3</v>
      </c>
      <c r="I1939">
        <f t="shared" si="152"/>
        <v>8</v>
      </c>
      <c r="J1939">
        <f t="shared" si="153"/>
        <v>12</v>
      </c>
      <c r="K1939">
        <f t="shared" si="154"/>
        <v>2015</v>
      </c>
      <c r="M1939">
        <v>16</v>
      </c>
      <c r="N1939" t="str">
        <f>VLOOKUP(M1939,'Cadastro Vendedores'!A:H,2,2)</f>
        <v>Jose</v>
      </c>
      <c r="O1939" s="2"/>
      <c r="P1939" s="16">
        <v>3000</v>
      </c>
      <c r="Q1939" s="2">
        <f>VLOOKUP(B1939,'Cadastro Produtos'!A:F,5,2)</f>
        <v>15</v>
      </c>
      <c r="R1939" s="14">
        <f t="shared" si="150"/>
        <v>45000</v>
      </c>
    </row>
    <row r="1940" spans="1:18" x14ac:dyDescent="0.25">
      <c r="A1940">
        <v>1939</v>
      </c>
      <c r="B1940">
        <v>5</v>
      </c>
      <c r="C1940" t="str">
        <f>VLOOKUP(B1940,'Cadastro Produtos'!A:E,2,2)</f>
        <v>Limonada Alfa com Açúcar 1 L</v>
      </c>
      <c r="D1940">
        <v>16</v>
      </c>
      <c r="E1940" t="str">
        <f>VLOOKUP(D1940,'Cadatro Clientes'!A:O,2,2)</f>
        <v>Norte Suco</v>
      </c>
      <c r="F1940" t="str">
        <f>VLOOKUP(D1940,'Cadatro Clientes'!A:O,9,2)</f>
        <v>Nordeste</v>
      </c>
      <c r="G1940" s="15">
        <v>42346</v>
      </c>
      <c r="H1940">
        <f t="shared" si="151"/>
        <v>3</v>
      </c>
      <c r="I1940">
        <f t="shared" si="152"/>
        <v>8</v>
      </c>
      <c r="J1940">
        <f t="shared" si="153"/>
        <v>12</v>
      </c>
      <c r="K1940">
        <f t="shared" si="154"/>
        <v>2015</v>
      </c>
      <c r="M1940">
        <v>6</v>
      </c>
      <c r="N1940" t="str">
        <f>VLOOKUP(M1940,'Cadastro Vendedores'!A:H,2,2)</f>
        <v>Antônia</v>
      </c>
      <c r="O1940" s="2"/>
      <c r="P1940" s="16">
        <v>3800</v>
      </c>
      <c r="Q1940" s="2">
        <f>VLOOKUP(B1940,'Cadastro Produtos'!A:F,5,2)</f>
        <v>15</v>
      </c>
      <c r="R1940" s="14">
        <f t="shared" si="150"/>
        <v>57000</v>
      </c>
    </row>
    <row r="1941" spans="1:18" x14ac:dyDescent="0.25">
      <c r="A1941">
        <v>1940</v>
      </c>
      <c r="B1941">
        <v>1</v>
      </c>
      <c r="C1941" t="str">
        <f>VLOOKUP(B1941,'Cadastro Produtos'!A:E,2,2)</f>
        <v>Limonada Alfa com Açúcar 500 ml</v>
      </c>
      <c r="D1941">
        <v>3</v>
      </c>
      <c r="E1941" t="str">
        <f>VLOOKUP(D1941,'Cadatro Clientes'!A:O,2,2)</f>
        <v>Limonada Suíça Ltda</v>
      </c>
      <c r="F1941" t="str">
        <f>VLOOKUP(D1941,'Cadatro Clientes'!A:O,9,2)</f>
        <v>Nordeste</v>
      </c>
      <c r="G1941" s="15">
        <v>42347</v>
      </c>
      <c r="H1941">
        <f t="shared" si="151"/>
        <v>4</v>
      </c>
      <c r="I1941">
        <f t="shared" si="152"/>
        <v>9</v>
      </c>
      <c r="J1941">
        <f t="shared" si="153"/>
        <v>12</v>
      </c>
      <c r="K1941">
        <f t="shared" si="154"/>
        <v>2015</v>
      </c>
      <c r="M1941">
        <v>7</v>
      </c>
      <c r="N1941" t="str">
        <f>VLOOKUP(M1941,'Cadastro Vendedores'!A:H,2,2)</f>
        <v>Benedito</v>
      </c>
      <c r="O1941" s="2"/>
      <c r="P1941" s="16">
        <v>4000</v>
      </c>
      <c r="Q1941" s="2">
        <f>VLOOKUP(B1941,'Cadastro Produtos'!A:F,5,2)</f>
        <v>8.5</v>
      </c>
      <c r="R1941" s="14">
        <f t="shared" si="150"/>
        <v>34000</v>
      </c>
    </row>
    <row r="1942" spans="1:18" x14ac:dyDescent="0.25">
      <c r="A1942">
        <v>1941</v>
      </c>
      <c r="B1942">
        <v>1</v>
      </c>
      <c r="C1942" t="str">
        <f>VLOOKUP(B1942,'Cadastro Produtos'!A:E,2,2)</f>
        <v>Limonada Alfa com Açúcar 500 ml</v>
      </c>
      <c r="D1942">
        <v>13</v>
      </c>
      <c r="E1942" t="str">
        <f>VLOOKUP(D1942,'Cadatro Clientes'!A:O,2,2)</f>
        <v>Monster Lemon</v>
      </c>
      <c r="F1942" t="str">
        <f>VLOOKUP(D1942,'Cadatro Clientes'!A:O,9,2)</f>
        <v>Nordeste</v>
      </c>
      <c r="G1942" s="15">
        <v>42347</v>
      </c>
      <c r="H1942">
        <f t="shared" si="151"/>
        <v>4</v>
      </c>
      <c r="I1942">
        <f t="shared" si="152"/>
        <v>9</v>
      </c>
      <c r="J1942">
        <f t="shared" si="153"/>
        <v>12</v>
      </c>
      <c r="K1942">
        <f t="shared" si="154"/>
        <v>2015</v>
      </c>
      <c r="M1942">
        <v>16</v>
      </c>
      <c r="N1942" t="str">
        <f>VLOOKUP(M1942,'Cadastro Vendedores'!A:H,2,2)</f>
        <v>Jose</v>
      </c>
      <c r="O1942" s="2"/>
      <c r="P1942" s="16">
        <v>6800</v>
      </c>
      <c r="Q1942" s="2">
        <f>VLOOKUP(B1942,'Cadastro Produtos'!A:F,5,2)</f>
        <v>8.5</v>
      </c>
      <c r="R1942" s="14">
        <f t="shared" si="150"/>
        <v>57800</v>
      </c>
    </row>
    <row r="1943" spans="1:18" x14ac:dyDescent="0.25">
      <c r="A1943">
        <v>1942</v>
      </c>
      <c r="B1943">
        <v>4</v>
      </c>
      <c r="C1943" t="str">
        <f>VLOOKUP(B1943,'Cadastro Produtos'!A:E,2,2)</f>
        <v>Limonada Beta Zero 500 ml</v>
      </c>
      <c r="D1943">
        <v>9</v>
      </c>
      <c r="E1943" t="str">
        <f>VLOOKUP(D1943,'Cadatro Clientes'!A:O,2,2)</f>
        <v>Fresh Lemon</v>
      </c>
      <c r="F1943" t="str">
        <f>VLOOKUP(D1943,'Cadatro Clientes'!A:O,9,2)</f>
        <v>Sudeste</v>
      </c>
      <c r="G1943" s="15">
        <v>42347</v>
      </c>
      <c r="H1943">
        <f t="shared" si="151"/>
        <v>4</v>
      </c>
      <c r="I1943">
        <f t="shared" si="152"/>
        <v>9</v>
      </c>
      <c r="J1943">
        <f t="shared" si="153"/>
        <v>12</v>
      </c>
      <c r="K1943">
        <f t="shared" si="154"/>
        <v>2015</v>
      </c>
      <c r="M1943">
        <v>13</v>
      </c>
      <c r="N1943" t="str">
        <f>VLOOKUP(M1943,'Cadastro Vendedores'!A:H,2,2)</f>
        <v>Andre</v>
      </c>
      <c r="O1943" s="2"/>
      <c r="P1943" s="16">
        <v>7100</v>
      </c>
      <c r="Q1943" s="2">
        <f>VLOOKUP(B1943,'Cadastro Produtos'!A:F,5,2)</f>
        <v>7</v>
      </c>
      <c r="R1943" s="14">
        <f t="shared" si="150"/>
        <v>49700</v>
      </c>
    </row>
    <row r="1944" spans="1:18" x14ac:dyDescent="0.25">
      <c r="A1944">
        <v>1943</v>
      </c>
      <c r="B1944">
        <v>7</v>
      </c>
      <c r="C1944" t="str">
        <f>VLOOKUP(B1944,'Cadastro Produtos'!A:E,2,2)</f>
        <v>Limonada Alfa Zero 1 L</v>
      </c>
      <c r="D1944">
        <v>19</v>
      </c>
      <c r="E1944" t="str">
        <f>VLOOKUP(D1944,'Cadatro Clientes'!A:O,2,2)</f>
        <v>Lima Limão</v>
      </c>
      <c r="F1944" t="str">
        <f>VLOOKUP(D1944,'Cadatro Clientes'!A:O,9,2)</f>
        <v>Sudeste</v>
      </c>
      <c r="G1944" s="15">
        <v>42347</v>
      </c>
      <c r="H1944">
        <f t="shared" si="151"/>
        <v>4</v>
      </c>
      <c r="I1944">
        <f t="shared" si="152"/>
        <v>9</v>
      </c>
      <c r="J1944">
        <f t="shared" si="153"/>
        <v>12</v>
      </c>
      <c r="K1944">
        <f t="shared" si="154"/>
        <v>2015</v>
      </c>
      <c r="M1944">
        <v>6</v>
      </c>
      <c r="N1944" t="str">
        <f>VLOOKUP(M1944,'Cadastro Vendedores'!A:H,2,2)</f>
        <v>Antônia</v>
      </c>
      <c r="O1944" s="2"/>
      <c r="P1944" s="16">
        <v>1300</v>
      </c>
      <c r="Q1944" s="2">
        <f>VLOOKUP(B1944,'Cadastro Produtos'!A:F,5,2)</f>
        <v>15</v>
      </c>
      <c r="R1944" s="14">
        <f t="shared" si="150"/>
        <v>19500</v>
      </c>
    </row>
    <row r="1945" spans="1:18" x14ac:dyDescent="0.25">
      <c r="A1945">
        <v>1944</v>
      </c>
      <c r="B1945">
        <v>5</v>
      </c>
      <c r="C1945" t="str">
        <f>VLOOKUP(B1945,'Cadastro Produtos'!A:E,2,2)</f>
        <v>Limonada Alfa com Açúcar 1 L</v>
      </c>
      <c r="D1945">
        <v>12</v>
      </c>
      <c r="E1945" t="str">
        <f>VLOOKUP(D1945,'Cadatro Clientes'!A:O,2,2)</f>
        <v>Limão da Ilha</v>
      </c>
      <c r="F1945" t="str">
        <f>VLOOKUP(D1945,'Cadatro Clientes'!A:O,9,2)</f>
        <v>Sul</v>
      </c>
      <c r="G1945" s="15">
        <v>42347</v>
      </c>
      <c r="H1945">
        <f t="shared" si="151"/>
        <v>4</v>
      </c>
      <c r="I1945">
        <f t="shared" si="152"/>
        <v>9</v>
      </c>
      <c r="J1945">
        <f t="shared" si="153"/>
        <v>12</v>
      </c>
      <c r="K1945">
        <f t="shared" si="154"/>
        <v>2015</v>
      </c>
      <c r="M1945">
        <v>13</v>
      </c>
      <c r="N1945" t="str">
        <f>VLOOKUP(M1945,'Cadastro Vendedores'!A:H,2,2)</f>
        <v>Andre</v>
      </c>
      <c r="O1945" s="2"/>
      <c r="P1945" s="16">
        <v>4000</v>
      </c>
      <c r="Q1945" s="2">
        <f>VLOOKUP(B1945,'Cadastro Produtos'!A:F,5,2)</f>
        <v>15</v>
      </c>
      <c r="R1945" s="14">
        <f t="shared" si="150"/>
        <v>60000</v>
      </c>
    </row>
    <row r="1946" spans="1:18" x14ac:dyDescent="0.25">
      <c r="A1946">
        <v>1945</v>
      </c>
      <c r="B1946">
        <v>1</v>
      </c>
      <c r="C1946" t="str">
        <f>VLOOKUP(B1946,'Cadastro Produtos'!A:E,2,2)</f>
        <v>Limonada Alfa com Açúcar 500 ml</v>
      </c>
      <c r="D1946">
        <v>19</v>
      </c>
      <c r="E1946" t="str">
        <f>VLOOKUP(D1946,'Cadatro Clientes'!A:O,2,2)</f>
        <v>Lima Limão</v>
      </c>
      <c r="F1946" t="str">
        <f>VLOOKUP(D1946,'Cadatro Clientes'!A:O,9,2)</f>
        <v>Sudeste</v>
      </c>
      <c r="G1946" s="15">
        <v>42348</v>
      </c>
      <c r="H1946">
        <f t="shared" si="151"/>
        <v>5</v>
      </c>
      <c r="I1946">
        <f t="shared" si="152"/>
        <v>10</v>
      </c>
      <c r="J1946">
        <f t="shared" si="153"/>
        <v>12</v>
      </c>
      <c r="K1946">
        <f t="shared" si="154"/>
        <v>2015</v>
      </c>
      <c r="M1946">
        <v>9</v>
      </c>
      <c r="N1946" t="str">
        <f>VLOOKUP(M1946,'Cadastro Vendedores'!A:H,2,2)</f>
        <v>Adriana</v>
      </c>
      <c r="O1946" s="2"/>
      <c r="P1946" s="16">
        <v>2100</v>
      </c>
      <c r="Q1946" s="2">
        <f>VLOOKUP(B1946,'Cadastro Produtos'!A:F,5,2)</f>
        <v>8.5</v>
      </c>
      <c r="R1946" s="14">
        <f t="shared" si="150"/>
        <v>17850</v>
      </c>
    </row>
    <row r="1947" spans="1:18" x14ac:dyDescent="0.25">
      <c r="A1947">
        <v>1946</v>
      </c>
      <c r="B1947">
        <v>1</v>
      </c>
      <c r="C1947" t="str">
        <f>VLOOKUP(B1947,'Cadastro Produtos'!A:E,2,2)</f>
        <v>Limonada Alfa com Açúcar 500 ml</v>
      </c>
      <c r="D1947">
        <v>4</v>
      </c>
      <c r="E1947" t="str">
        <f>VLOOKUP(D1947,'Cadatro Clientes'!A:O,2,2)</f>
        <v>Limão Carioca e Cia</v>
      </c>
      <c r="F1947" t="str">
        <f>VLOOKUP(D1947,'Cadatro Clientes'!A:O,9,2)</f>
        <v>Sudeste</v>
      </c>
      <c r="G1947" s="15">
        <v>42349</v>
      </c>
      <c r="H1947">
        <f t="shared" si="151"/>
        <v>6</v>
      </c>
      <c r="I1947">
        <f t="shared" si="152"/>
        <v>11</v>
      </c>
      <c r="J1947">
        <f t="shared" si="153"/>
        <v>12</v>
      </c>
      <c r="K1947">
        <f t="shared" si="154"/>
        <v>2015</v>
      </c>
      <c r="M1947">
        <v>2</v>
      </c>
      <c r="N1947" t="str">
        <f>VLOOKUP(M1947,'Cadastro Vendedores'!A:H,2,2)</f>
        <v>Luis</v>
      </c>
      <c r="O1947" s="2"/>
      <c r="P1947" s="16">
        <v>6200</v>
      </c>
      <c r="Q1947" s="2">
        <f>VLOOKUP(B1947,'Cadastro Produtos'!A:F,5,2)</f>
        <v>8.5</v>
      </c>
      <c r="R1947" s="14">
        <f t="shared" si="150"/>
        <v>52700</v>
      </c>
    </row>
    <row r="1948" spans="1:18" x14ac:dyDescent="0.25">
      <c r="A1948">
        <v>1947</v>
      </c>
      <c r="B1948">
        <v>7</v>
      </c>
      <c r="C1948" t="str">
        <f>VLOOKUP(B1948,'Cadastro Produtos'!A:E,2,2)</f>
        <v>Limonada Alfa Zero 1 L</v>
      </c>
      <c r="D1948">
        <v>5</v>
      </c>
      <c r="E1948" t="str">
        <f>VLOOKUP(D1948,'Cadatro Clientes'!A:O,2,2)</f>
        <v>Axé com Limão</v>
      </c>
      <c r="F1948" t="str">
        <f>VLOOKUP(D1948,'Cadatro Clientes'!A:O,9,2)</f>
        <v>Nordeste</v>
      </c>
      <c r="G1948" s="15">
        <v>42350</v>
      </c>
      <c r="H1948">
        <f t="shared" si="151"/>
        <v>7</v>
      </c>
      <c r="I1948">
        <f t="shared" si="152"/>
        <v>12</v>
      </c>
      <c r="J1948">
        <f t="shared" si="153"/>
        <v>12</v>
      </c>
      <c r="K1948">
        <f t="shared" si="154"/>
        <v>2015</v>
      </c>
      <c r="M1948">
        <v>3</v>
      </c>
      <c r="N1948" t="str">
        <f>VLOOKUP(M1948,'Cadastro Vendedores'!A:H,2,2)</f>
        <v>Antônia</v>
      </c>
      <c r="O1948" s="2"/>
      <c r="P1948" s="16">
        <v>3800</v>
      </c>
      <c r="Q1948" s="2">
        <f>VLOOKUP(B1948,'Cadastro Produtos'!A:F,5,2)</f>
        <v>15</v>
      </c>
      <c r="R1948" s="14">
        <f t="shared" si="150"/>
        <v>57000</v>
      </c>
    </row>
    <row r="1949" spans="1:18" x14ac:dyDescent="0.25">
      <c r="A1949">
        <v>1948</v>
      </c>
      <c r="B1949">
        <v>3</v>
      </c>
      <c r="C1949" t="str">
        <f>VLOOKUP(B1949,'Cadastro Produtos'!A:E,2,2)</f>
        <v>Limonada Alfa Zero 500 ml</v>
      </c>
      <c r="D1949">
        <v>6</v>
      </c>
      <c r="E1949" t="str">
        <f>VLOOKUP(D1949,'Cadatro Clientes'!A:O,2,2)</f>
        <v>Lemonade</v>
      </c>
      <c r="F1949" t="str">
        <f>VLOOKUP(D1949,'Cadatro Clientes'!A:O,9,2)</f>
        <v>Norte</v>
      </c>
      <c r="G1949" s="15">
        <v>42350</v>
      </c>
      <c r="H1949">
        <f t="shared" si="151"/>
        <v>7</v>
      </c>
      <c r="I1949">
        <f t="shared" si="152"/>
        <v>12</v>
      </c>
      <c r="J1949">
        <f t="shared" si="153"/>
        <v>12</v>
      </c>
      <c r="K1949">
        <f t="shared" si="154"/>
        <v>2015</v>
      </c>
      <c r="M1949">
        <v>6</v>
      </c>
      <c r="N1949" t="str">
        <f>VLOOKUP(M1949,'Cadastro Vendedores'!A:H,2,2)</f>
        <v>Antônia</v>
      </c>
      <c r="O1949" s="2"/>
      <c r="P1949" s="16">
        <v>4700</v>
      </c>
      <c r="Q1949" s="2">
        <f>VLOOKUP(B1949,'Cadastro Produtos'!A:F,5,2)</f>
        <v>9</v>
      </c>
      <c r="R1949" s="14">
        <f t="shared" si="150"/>
        <v>42300</v>
      </c>
    </row>
    <row r="1950" spans="1:18" x14ac:dyDescent="0.25">
      <c r="A1950">
        <v>1949</v>
      </c>
      <c r="B1950">
        <v>4</v>
      </c>
      <c r="C1950" t="str">
        <f>VLOOKUP(B1950,'Cadastro Produtos'!A:E,2,2)</f>
        <v>Limonada Beta Zero 500 ml</v>
      </c>
      <c r="D1950">
        <v>13</v>
      </c>
      <c r="E1950" t="str">
        <f>VLOOKUP(D1950,'Cadatro Clientes'!A:O,2,2)</f>
        <v>Monster Lemon</v>
      </c>
      <c r="F1950" t="str">
        <f>VLOOKUP(D1950,'Cadatro Clientes'!A:O,9,2)</f>
        <v>Nordeste</v>
      </c>
      <c r="G1950" s="15">
        <v>42350</v>
      </c>
      <c r="H1950">
        <f t="shared" si="151"/>
        <v>7</v>
      </c>
      <c r="I1950">
        <f t="shared" si="152"/>
        <v>12</v>
      </c>
      <c r="J1950">
        <f t="shared" si="153"/>
        <v>12</v>
      </c>
      <c r="K1950">
        <f t="shared" si="154"/>
        <v>2015</v>
      </c>
      <c r="M1950">
        <v>15</v>
      </c>
      <c r="N1950" t="str">
        <f>VLOOKUP(M1950,'Cadastro Vendedores'!A:H,2,2)</f>
        <v>Luis</v>
      </c>
      <c r="O1950" s="2"/>
      <c r="P1950" s="16">
        <v>7700</v>
      </c>
      <c r="Q1950" s="2">
        <f>VLOOKUP(B1950,'Cadastro Produtos'!A:F,5,2)</f>
        <v>7</v>
      </c>
      <c r="R1950" s="14">
        <f t="shared" si="150"/>
        <v>53900</v>
      </c>
    </row>
    <row r="1951" spans="1:18" x14ac:dyDescent="0.25">
      <c r="A1951">
        <v>1950</v>
      </c>
      <c r="B1951">
        <v>7</v>
      </c>
      <c r="C1951" t="str">
        <f>VLOOKUP(B1951,'Cadastro Produtos'!A:E,2,2)</f>
        <v>Limonada Alfa Zero 1 L</v>
      </c>
      <c r="D1951">
        <v>14</v>
      </c>
      <c r="E1951" t="str">
        <f>VLOOKUP(D1951,'Cadatro Clientes'!A:O,2,2)</f>
        <v>Sprite</v>
      </c>
      <c r="F1951" t="str">
        <f>VLOOKUP(D1951,'Cadatro Clientes'!A:O,9,2)</f>
        <v>Norte</v>
      </c>
      <c r="G1951" s="15">
        <v>42350</v>
      </c>
      <c r="H1951">
        <f t="shared" si="151"/>
        <v>7</v>
      </c>
      <c r="I1951">
        <f t="shared" si="152"/>
        <v>12</v>
      </c>
      <c r="J1951">
        <f t="shared" si="153"/>
        <v>12</v>
      </c>
      <c r="K1951">
        <f t="shared" si="154"/>
        <v>2015</v>
      </c>
      <c r="M1951">
        <v>6</v>
      </c>
      <c r="N1951" t="str">
        <f>VLOOKUP(M1951,'Cadastro Vendedores'!A:H,2,2)</f>
        <v>Antônia</v>
      </c>
      <c r="O1951" s="2"/>
      <c r="P1951" s="16">
        <v>2900</v>
      </c>
      <c r="Q1951" s="2">
        <f>VLOOKUP(B1951,'Cadastro Produtos'!A:F,5,2)</f>
        <v>15</v>
      </c>
      <c r="R1951" s="14">
        <f t="shared" si="150"/>
        <v>43500</v>
      </c>
    </row>
    <row r="1952" spans="1:18" x14ac:dyDescent="0.25">
      <c r="A1952">
        <v>1951</v>
      </c>
      <c r="B1952">
        <v>9</v>
      </c>
      <c r="C1952" t="str">
        <f>VLOOKUP(B1952,'Cadastro Produtos'!A:E,2,2)</f>
        <v>Limonada Alfa com Hortelã e Açúcar 1 L</v>
      </c>
      <c r="D1952">
        <v>7</v>
      </c>
      <c r="E1952" t="str">
        <f>VLOOKUP(D1952,'Cadatro Clientes'!A:O,2,2)</f>
        <v>Limo</v>
      </c>
      <c r="F1952" t="str">
        <f>VLOOKUP(D1952,'Cadatro Clientes'!A:O,9,2)</f>
        <v>Centro-Oeste</v>
      </c>
      <c r="G1952" s="15">
        <v>42351</v>
      </c>
      <c r="H1952">
        <f t="shared" si="151"/>
        <v>1</v>
      </c>
      <c r="I1952">
        <f t="shared" si="152"/>
        <v>13</v>
      </c>
      <c r="J1952">
        <f t="shared" si="153"/>
        <v>12</v>
      </c>
      <c r="K1952">
        <f t="shared" si="154"/>
        <v>2015</v>
      </c>
      <c r="M1952">
        <v>7</v>
      </c>
      <c r="N1952" t="str">
        <f>VLOOKUP(M1952,'Cadastro Vendedores'!A:H,2,2)</f>
        <v>Benedito</v>
      </c>
      <c r="O1952" s="2"/>
      <c r="P1952" s="16">
        <v>1500</v>
      </c>
      <c r="Q1952" s="2">
        <f>VLOOKUP(B1952,'Cadastro Produtos'!A:F,5,2)</f>
        <v>17.5</v>
      </c>
      <c r="R1952" s="14">
        <f t="shared" si="150"/>
        <v>26250</v>
      </c>
    </row>
    <row r="1953" spans="1:18" x14ac:dyDescent="0.25">
      <c r="A1953">
        <v>1952</v>
      </c>
      <c r="B1953">
        <v>3</v>
      </c>
      <c r="C1953" t="str">
        <f>VLOOKUP(B1953,'Cadastro Produtos'!A:E,2,2)</f>
        <v>Limonada Alfa Zero 500 ml</v>
      </c>
      <c r="D1953">
        <v>9</v>
      </c>
      <c r="E1953" t="str">
        <f>VLOOKUP(D1953,'Cadatro Clientes'!A:O,2,2)</f>
        <v>Fresh Lemon</v>
      </c>
      <c r="F1953" t="str">
        <f>VLOOKUP(D1953,'Cadatro Clientes'!A:O,9,2)</f>
        <v>Sudeste</v>
      </c>
      <c r="G1953" s="15">
        <v>42352</v>
      </c>
      <c r="H1953">
        <f t="shared" si="151"/>
        <v>2</v>
      </c>
      <c r="I1953">
        <f t="shared" si="152"/>
        <v>14</v>
      </c>
      <c r="J1953">
        <f t="shared" si="153"/>
        <v>12</v>
      </c>
      <c r="K1953">
        <f t="shared" si="154"/>
        <v>2015</v>
      </c>
      <c r="M1953">
        <v>2</v>
      </c>
      <c r="N1953" t="str">
        <f>VLOOKUP(M1953,'Cadastro Vendedores'!A:H,2,2)</f>
        <v>Luis</v>
      </c>
      <c r="O1953" s="2"/>
      <c r="P1953" s="16">
        <v>5700</v>
      </c>
      <c r="Q1953" s="2">
        <f>VLOOKUP(B1953,'Cadastro Produtos'!A:F,5,2)</f>
        <v>9</v>
      </c>
      <c r="R1953" s="14">
        <f t="shared" si="150"/>
        <v>51300</v>
      </c>
    </row>
    <row r="1954" spans="1:18" x14ac:dyDescent="0.25">
      <c r="A1954">
        <v>1953</v>
      </c>
      <c r="B1954">
        <v>2</v>
      </c>
      <c r="C1954" t="str">
        <f>VLOOKUP(B1954,'Cadastro Produtos'!A:E,2,2)</f>
        <v>Limonada Beta com Açúcar 500 ml</v>
      </c>
      <c r="D1954">
        <v>17</v>
      </c>
      <c r="E1954" t="str">
        <f>VLOOKUP(D1954,'Cadatro Clientes'!A:O,2,2)</f>
        <v>Aracasuco</v>
      </c>
      <c r="F1954" t="str">
        <f>VLOOKUP(D1954,'Cadatro Clientes'!A:O,9,2)</f>
        <v>Nordeste</v>
      </c>
      <c r="G1954" s="15">
        <v>42352</v>
      </c>
      <c r="H1954">
        <f t="shared" si="151"/>
        <v>2</v>
      </c>
      <c r="I1954">
        <f t="shared" si="152"/>
        <v>14</v>
      </c>
      <c r="J1954">
        <f t="shared" si="153"/>
        <v>12</v>
      </c>
      <c r="K1954">
        <f t="shared" si="154"/>
        <v>2015</v>
      </c>
      <c r="M1954">
        <v>9</v>
      </c>
      <c r="N1954" t="str">
        <f>VLOOKUP(M1954,'Cadastro Vendedores'!A:H,2,2)</f>
        <v>Adriana</v>
      </c>
      <c r="O1954" s="2"/>
      <c r="P1954" s="16">
        <v>9200</v>
      </c>
      <c r="Q1954" s="2">
        <f>VLOOKUP(B1954,'Cadastro Produtos'!A:F,5,2)</f>
        <v>6.5</v>
      </c>
      <c r="R1954" s="14">
        <f t="shared" si="150"/>
        <v>59800</v>
      </c>
    </row>
    <row r="1955" spans="1:18" x14ac:dyDescent="0.25">
      <c r="A1955">
        <v>1954</v>
      </c>
      <c r="B1955">
        <v>8</v>
      </c>
      <c r="C1955" t="str">
        <f>VLOOKUP(B1955,'Cadastro Produtos'!A:E,2,2)</f>
        <v>Limonada Beta Zero 1 L</v>
      </c>
      <c r="D1955">
        <v>18</v>
      </c>
      <c r="E1955" t="str">
        <f>VLOOKUP(D1955,'Cadatro Clientes'!A:O,2,2)</f>
        <v>Rio Branco Limonada Ltda</v>
      </c>
      <c r="F1955" t="str">
        <f>VLOOKUP(D1955,'Cadatro Clientes'!A:O,9,2)</f>
        <v>Norte</v>
      </c>
      <c r="G1955" s="15">
        <v>42352</v>
      </c>
      <c r="H1955">
        <f t="shared" si="151"/>
        <v>2</v>
      </c>
      <c r="I1955">
        <f t="shared" si="152"/>
        <v>14</v>
      </c>
      <c r="J1955">
        <f t="shared" si="153"/>
        <v>12</v>
      </c>
      <c r="K1955">
        <f t="shared" si="154"/>
        <v>2015</v>
      </c>
      <c r="M1955">
        <v>9</v>
      </c>
      <c r="N1955" t="str">
        <f>VLOOKUP(M1955,'Cadastro Vendedores'!A:H,2,2)</f>
        <v>Adriana</v>
      </c>
      <c r="O1955" s="2"/>
      <c r="P1955" s="16">
        <v>1500</v>
      </c>
      <c r="Q1955" s="2">
        <f>VLOOKUP(B1955,'Cadastro Produtos'!A:F,5,2)</f>
        <v>12</v>
      </c>
      <c r="R1955" s="14">
        <f t="shared" si="150"/>
        <v>18000</v>
      </c>
    </row>
    <row r="1956" spans="1:18" x14ac:dyDescent="0.25">
      <c r="A1956">
        <v>1955</v>
      </c>
      <c r="B1956">
        <v>9</v>
      </c>
      <c r="C1956" t="str">
        <f>VLOOKUP(B1956,'Cadastro Produtos'!A:E,2,2)</f>
        <v>Limonada Alfa com Hortelã e Açúcar 1 L</v>
      </c>
      <c r="D1956">
        <v>13</v>
      </c>
      <c r="E1956" t="str">
        <f>VLOOKUP(D1956,'Cadatro Clientes'!A:O,2,2)</f>
        <v>Monster Lemon</v>
      </c>
      <c r="F1956" t="str">
        <f>VLOOKUP(D1956,'Cadatro Clientes'!A:O,9,2)</f>
        <v>Nordeste</v>
      </c>
      <c r="G1956" s="15">
        <v>42352</v>
      </c>
      <c r="H1956">
        <f t="shared" si="151"/>
        <v>2</v>
      </c>
      <c r="I1956">
        <f t="shared" si="152"/>
        <v>14</v>
      </c>
      <c r="J1956">
        <f t="shared" si="153"/>
        <v>12</v>
      </c>
      <c r="K1956">
        <f t="shared" si="154"/>
        <v>2015</v>
      </c>
      <c r="M1956">
        <v>13</v>
      </c>
      <c r="N1956" t="str">
        <f>VLOOKUP(M1956,'Cadastro Vendedores'!A:H,2,2)</f>
        <v>Andre</v>
      </c>
      <c r="O1956" s="2"/>
      <c r="P1956" s="16">
        <v>2100</v>
      </c>
      <c r="Q1956" s="2">
        <f>VLOOKUP(B1956,'Cadastro Produtos'!A:F,5,2)</f>
        <v>17.5</v>
      </c>
      <c r="R1956" s="14">
        <f t="shared" si="150"/>
        <v>36750</v>
      </c>
    </row>
    <row r="1957" spans="1:18" x14ac:dyDescent="0.25">
      <c r="A1957">
        <v>1956</v>
      </c>
      <c r="B1957">
        <v>5</v>
      </c>
      <c r="C1957" t="str">
        <f>VLOOKUP(B1957,'Cadastro Produtos'!A:E,2,2)</f>
        <v>Limonada Alfa com Açúcar 1 L</v>
      </c>
      <c r="D1957">
        <v>6</v>
      </c>
      <c r="E1957" t="str">
        <f>VLOOKUP(D1957,'Cadatro Clientes'!A:O,2,2)</f>
        <v>Lemonade</v>
      </c>
      <c r="F1957" t="str">
        <f>VLOOKUP(D1957,'Cadatro Clientes'!A:O,9,2)</f>
        <v>Norte</v>
      </c>
      <c r="G1957" s="15">
        <v>42353</v>
      </c>
      <c r="H1957">
        <f t="shared" si="151"/>
        <v>3</v>
      </c>
      <c r="I1957">
        <f t="shared" si="152"/>
        <v>15</v>
      </c>
      <c r="J1957">
        <f t="shared" si="153"/>
        <v>12</v>
      </c>
      <c r="K1957">
        <f t="shared" si="154"/>
        <v>2015</v>
      </c>
      <c r="M1957">
        <v>8</v>
      </c>
      <c r="N1957" t="str">
        <f>VLOOKUP(M1957,'Cadastro Vendedores'!A:H,2,2)</f>
        <v>Sérgio</v>
      </c>
      <c r="O1957" s="2"/>
      <c r="P1957" s="16">
        <v>2000</v>
      </c>
      <c r="Q1957" s="2">
        <f>VLOOKUP(B1957,'Cadastro Produtos'!A:F,5,2)</f>
        <v>15</v>
      </c>
      <c r="R1957" s="14">
        <f t="shared" si="150"/>
        <v>30000</v>
      </c>
    </row>
    <row r="1958" spans="1:18" x14ac:dyDescent="0.25">
      <c r="A1958">
        <v>1957</v>
      </c>
      <c r="B1958">
        <v>4</v>
      </c>
      <c r="C1958" t="str">
        <f>VLOOKUP(B1958,'Cadastro Produtos'!A:E,2,2)</f>
        <v>Limonada Beta Zero 500 ml</v>
      </c>
      <c r="D1958">
        <v>2</v>
      </c>
      <c r="E1958" t="str">
        <f>VLOOKUP(D1958,'Cadatro Clientes'!A:O,2,2)</f>
        <v>Limão S/A</v>
      </c>
      <c r="F1958" t="str">
        <f>VLOOKUP(D1958,'Cadatro Clientes'!A:O,9,2)</f>
        <v>Centro-Oeste</v>
      </c>
      <c r="G1958" s="15">
        <v>42353</v>
      </c>
      <c r="H1958">
        <f t="shared" si="151"/>
        <v>3</v>
      </c>
      <c r="I1958">
        <f t="shared" si="152"/>
        <v>15</v>
      </c>
      <c r="J1958">
        <f t="shared" si="153"/>
        <v>12</v>
      </c>
      <c r="K1958">
        <f t="shared" si="154"/>
        <v>2015</v>
      </c>
      <c r="M1958">
        <v>9</v>
      </c>
      <c r="N1958" t="str">
        <f>VLOOKUP(M1958,'Cadastro Vendedores'!A:H,2,2)</f>
        <v>Adriana</v>
      </c>
      <c r="O1958" s="2"/>
      <c r="P1958" s="16">
        <v>5100</v>
      </c>
      <c r="Q1958" s="2">
        <f>VLOOKUP(B1958,'Cadastro Produtos'!A:F,5,2)</f>
        <v>7</v>
      </c>
      <c r="R1958" s="14">
        <f t="shared" si="150"/>
        <v>35700</v>
      </c>
    </row>
    <row r="1959" spans="1:18" x14ac:dyDescent="0.25">
      <c r="A1959">
        <v>1958</v>
      </c>
      <c r="B1959">
        <v>6</v>
      </c>
      <c r="C1959" t="str">
        <f>VLOOKUP(B1959,'Cadastro Produtos'!A:E,2,2)</f>
        <v>Limonada Beta com Açúcar 1 L</v>
      </c>
      <c r="D1959">
        <v>7</v>
      </c>
      <c r="E1959" t="str">
        <f>VLOOKUP(D1959,'Cadatro Clientes'!A:O,2,2)</f>
        <v>Limo</v>
      </c>
      <c r="F1959" t="str">
        <f>VLOOKUP(D1959,'Cadatro Clientes'!A:O,9,2)</f>
        <v>Centro-Oeste</v>
      </c>
      <c r="G1959" s="15">
        <v>42353</v>
      </c>
      <c r="H1959">
        <f t="shared" si="151"/>
        <v>3</v>
      </c>
      <c r="I1959">
        <f t="shared" si="152"/>
        <v>15</v>
      </c>
      <c r="J1959">
        <f t="shared" si="153"/>
        <v>12</v>
      </c>
      <c r="K1959">
        <f t="shared" si="154"/>
        <v>2015</v>
      </c>
      <c r="M1959">
        <v>9</v>
      </c>
      <c r="N1959" t="str">
        <f>VLOOKUP(M1959,'Cadastro Vendedores'!A:H,2,2)</f>
        <v>Adriana</v>
      </c>
      <c r="O1959" s="2"/>
      <c r="P1959" s="16">
        <v>3300</v>
      </c>
      <c r="Q1959" s="2">
        <f>VLOOKUP(B1959,'Cadastro Produtos'!A:F,5,2)</f>
        <v>12</v>
      </c>
      <c r="R1959" s="14">
        <f t="shared" si="150"/>
        <v>39600</v>
      </c>
    </row>
    <row r="1960" spans="1:18" x14ac:dyDescent="0.25">
      <c r="A1960">
        <v>1959</v>
      </c>
      <c r="B1960">
        <v>9</v>
      </c>
      <c r="C1960" t="str">
        <f>VLOOKUP(B1960,'Cadastro Produtos'!A:E,2,2)</f>
        <v>Limonada Alfa com Hortelã e Açúcar 1 L</v>
      </c>
      <c r="D1960">
        <v>14</v>
      </c>
      <c r="E1960" t="str">
        <f>VLOOKUP(D1960,'Cadatro Clientes'!A:O,2,2)</f>
        <v>Sprite</v>
      </c>
      <c r="F1960" t="str">
        <f>VLOOKUP(D1960,'Cadatro Clientes'!A:O,9,2)</f>
        <v>Norte</v>
      </c>
      <c r="G1960" s="15">
        <v>42354</v>
      </c>
      <c r="H1960">
        <f t="shared" si="151"/>
        <v>4</v>
      </c>
      <c r="I1960">
        <f t="shared" si="152"/>
        <v>16</v>
      </c>
      <c r="J1960">
        <f t="shared" si="153"/>
        <v>12</v>
      </c>
      <c r="K1960">
        <f t="shared" si="154"/>
        <v>2015</v>
      </c>
      <c r="M1960">
        <v>2</v>
      </c>
      <c r="N1960" t="str">
        <f>VLOOKUP(M1960,'Cadastro Vendedores'!A:H,2,2)</f>
        <v>Luis</v>
      </c>
      <c r="O1960" s="2"/>
      <c r="P1960" s="16">
        <v>2700</v>
      </c>
      <c r="Q1960" s="2">
        <f>VLOOKUP(B1960,'Cadastro Produtos'!A:F,5,2)</f>
        <v>17.5</v>
      </c>
      <c r="R1960" s="14">
        <f t="shared" si="150"/>
        <v>47250</v>
      </c>
    </row>
    <row r="1961" spans="1:18" x14ac:dyDescent="0.25">
      <c r="A1961">
        <v>1960</v>
      </c>
      <c r="B1961">
        <v>10</v>
      </c>
      <c r="C1961" t="str">
        <f>VLOOKUP(B1961,'Cadastro Produtos'!A:E,2,2)</f>
        <v>Limonada Alfa com Hortelã Zero 1 L</v>
      </c>
      <c r="D1961">
        <v>7</v>
      </c>
      <c r="E1961" t="str">
        <f>VLOOKUP(D1961,'Cadatro Clientes'!A:O,2,2)</f>
        <v>Limo</v>
      </c>
      <c r="F1961" t="str">
        <f>VLOOKUP(D1961,'Cadatro Clientes'!A:O,9,2)</f>
        <v>Centro-Oeste</v>
      </c>
      <c r="G1961" s="15">
        <v>42354</v>
      </c>
      <c r="H1961">
        <f t="shared" si="151"/>
        <v>4</v>
      </c>
      <c r="I1961">
        <f t="shared" si="152"/>
        <v>16</v>
      </c>
      <c r="J1961">
        <f t="shared" si="153"/>
        <v>12</v>
      </c>
      <c r="K1961">
        <f t="shared" si="154"/>
        <v>2015</v>
      </c>
      <c r="M1961">
        <v>6</v>
      </c>
      <c r="N1961" t="str">
        <f>VLOOKUP(M1961,'Cadastro Vendedores'!A:H,2,2)</f>
        <v>Antônia</v>
      </c>
      <c r="O1961" s="2"/>
      <c r="P1961" s="16">
        <v>2300</v>
      </c>
      <c r="Q1961" s="2">
        <f>VLOOKUP(B1961,'Cadastro Produtos'!A:F,5,2)</f>
        <v>21</v>
      </c>
      <c r="R1961" s="14">
        <f t="shared" si="150"/>
        <v>48300</v>
      </c>
    </row>
    <row r="1962" spans="1:18" x14ac:dyDescent="0.25">
      <c r="A1962">
        <v>1961</v>
      </c>
      <c r="B1962">
        <v>8</v>
      </c>
      <c r="C1962" t="str">
        <f>VLOOKUP(B1962,'Cadastro Produtos'!A:E,2,2)</f>
        <v>Limonada Beta Zero 1 L</v>
      </c>
      <c r="D1962">
        <v>3</v>
      </c>
      <c r="E1962" t="str">
        <f>VLOOKUP(D1962,'Cadatro Clientes'!A:O,2,2)</f>
        <v>Limonada Suíça Ltda</v>
      </c>
      <c r="F1962" t="str">
        <f>VLOOKUP(D1962,'Cadatro Clientes'!A:O,9,2)</f>
        <v>Nordeste</v>
      </c>
      <c r="G1962" s="15">
        <v>42355</v>
      </c>
      <c r="H1962">
        <f t="shared" si="151"/>
        <v>5</v>
      </c>
      <c r="I1962">
        <f t="shared" si="152"/>
        <v>17</v>
      </c>
      <c r="J1962">
        <f t="shared" si="153"/>
        <v>12</v>
      </c>
      <c r="K1962">
        <f t="shared" si="154"/>
        <v>2015</v>
      </c>
      <c r="M1962">
        <v>6</v>
      </c>
      <c r="N1962" t="str">
        <f>VLOOKUP(M1962,'Cadastro Vendedores'!A:H,2,2)</f>
        <v>Antônia</v>
      </c>
      <c r="O1962" s="2"/>
      <c r="P1962" s="16">
        <v>2700</v>
      </c>
      <c r="Q1962" s="2">
        <f>VLOOKUP(B1962,'Cadastro Produtos'!A:F,5,2)</f>
        <v>12</v>
      </c>
      <c r="R1962" s="14">
        <f t="shared" si="150"/>
        <v>32400</v>
      </c>
    </row>
    <row r="1963" spans="1:18" x14ac:dyDescent="0.25">
      <c r="A1963">
        <v>1962</v>
      </c>
      <c r="B1963">
        <v>8</v>
      </c>
      <c r="C1963" t="str">
        <f>VLOOKUP(B1963,'Cadastro Produtos'!A:E,2,2)</f>
        <v>Limonada Beta Zero 1 L</v>
      </c>
      <c r="D1963">
        <v>9</v>
      </c>
      <c r="E1963" t="str">
        <f>VLOOKUP(D1963,'Cadatro Clientes'!A:O,2,2)</f>
        <v>Fresh Lemon</v>
      </c>
      <c r="F1963" t="str">
        <f>VLOOKUP(D1963,'Cadatro Clientes'!A:O,9,2)</f>
        <v>Sudeste</v>
      </c>
      <c r="G1963" s="15">
        <v>42355</v>
      </c>
      <c r="H1963">
        <f t="shared" si="151"/>
        <v>5</v>
      </c>
      <c r="I1963">
        <f t="shared" si="152"/>
        <v>17</v>
      </c>
      <c r="J1963">
        <f t="shared" si="153"/>
        <v>12</v>
      </c>
      <c r="K1963">
        <f t="shared" si="154"/>
        <v>2015</v>
      </c>
      <c r="M1963">
        <v>7</v>
      </c>
      <c r="N1963" t="str">
        <f>VLOOKUP(M1963,'Cadastro Vendedores'!A:H,2,2)</f>
        <v>Benedito</v>
      </c>
      <c r="O1963" s="2"/>
      <c r="P1963" s="16">
        <v>2400</v>
      </c>
      <c r="Q1963" s="2">
        <f>VLOOKUP(B1963,'Cadastro Produtos'!A:F,5,2)</f>
        <v>12</v>
      </c>
      <c r="R1963" s="14">
        <f t="shared" si="150"/>
        <v>28800</v>
      </c>
    </row>
    <row r="1964" spans="1:18" x14ac:dyDescent="0.25">
      <c r="A1964">
        <v>1963</v>
      </c>
      <c r="B1964">
        <v>9</v>
      </c>
      <c r="C1964" t="str">
        <f>VLOOKUP(B1964,'Cadastro Produtos'!A:E,2,2)</f>
        <v>Limonada Alfa com Hortelã e Açúcar 1 L</v>
      </c>
      <c r="D1964">
        <v>6</v>
      </c>
      <c r="E1964" t="str">
        <f>VLOOKUP(D1964,'Cadatro Clientes'!A:O,2,2)</f>
        <v>Lemonade</v>
      </c>
      <c r="F1964" t="str">
        <f>VLOOKUP(D1964,'Cadatro Clientes'!A:O,9,2)</f>
        <v>Norte</v>
      </c>
      <c r="G1964" s="15">
        <v>42355</v>
      </c>
      <c r="H1964">
        <f t="shared" si="151"/>
        <v>5</v>
      </c>
      <c r="I1964">
        <f t="shared" si="152"/>
        <v>17</v>
      </c>
      <c r="J1964">
        <f t="shared" si="153"/>
        <v>12</v>
      </c>
      <c r="K1964">
        <f t="shared" si="154"/>
        <v>2015</v>
      </c>
      <c r="M1964">
        <v>13</v>
      </c>
      <c r="N1964" t="str">
        <f>VLOOKUP(M1964,'Cadastro Vendedores'!A:H,2,2)</f>
        <v>Andre</v>
      </c>
      <c r="O1964" s="2"/>
      <c r="P1964" s="16">
        <v>1600</v>
      </c>
      <c r="Q1964" s="2">
        <f>VLOOKUP(B1964,'Cadastro Produtos'!A:F,5,2)</f>
        <v>17.5</v>
      </c>
      <c r="R1964" s="14">
        <f t="shared" si="150"/>
        <v>28000</v>
      </c>
    </row>
    <row r="1965" spans="1:18" x14ac:dyDescent="0.25">
      <c r="A1965">
        <v>1964</v>
      </c>
      <c r="B1965">
        <v>5</v>
      </c>
      <c r="C1965" t="str">
        <f>VLOOKUP(B1965,'Cadastro Produtos'!A:E,2,2)</f>
        <v>Limonada Alfa com Açúcar 1 L</v>
      </c>
      <c r="D1965">
        <v>20</v>
      </c>
      <c r="E1965" t="str">
        <f>VLOOKUP(D1965,'Cadatro Clientes'!A:O,2,2)</f>
        <v>Brasil Saúde</v>
      </c>
      <c r="F1965" t="str">
        <f>VLOOKUP(D1965,'Cadatro Clientes'!A:O,9,2)</f>
        <v>Nordeste</v>
      </c>
      <c r="G1965" s="15">
        <v>42355</v>
      </c>
      <c r="H1965">
        <f t="shared" si="151"/>
        <v>5</v>
      </c>
      <c r="I1965">
        <f t="shared" si="152"/>
        <v>17</v>
      </c>
      <c r="J1965">
        <f t="shared" si="153"/>
        <v>12</v>
      </c>
      <c r="K1965">
        <f t="shared" si="154"/>
        <v>2015</v>
      </c>
      <c r="M1965">
        <v>3</v>
      </c>
      <c r="N1965" t="str">
        <f>VLOOKUP(M1965,'Cadastro Vendedores'!A:H,2,2)</f>
        <v>Antônia</v>
      </c>
      <c r="O1965" s="2"/>
      <c r="P1965" s="16">
        <v>2800</v>
      </c>
      <c r="Q1965" s="2">
        <f>VLOOKUP(B1965,'Cadastro Produtos'!A:F,5,2)</f>
        <v>15</v>
      </c>
      <c r="R1965" s="14">
        <f t="shared" si="150"/>
        <v>42000</v>
      </c>
    </row>
    <row r="1966" spans="1:18" x14ac:dyDescent="0.25">
      <c r="A1966">
        <v>1965</v>
      </c>
      <c r="B1966">
        <v>9</v>
      </c>
      <c r="C1966" t="str">
        <f>VLOOKUP(B1966,'Cadastro Produtos'!A:E,2,2)</f>
        <v>Limonada Alfa com Hortelã e Açúcar 1 L</v>
      </c>
      <c r="D1966">
        <v>1</v>
      </c>
      <c r="E1966" t="str">
        <f>VLOOKUP(D1966,'Cadatro Clientes'!A:O,2,2)</f>
        <v>Meu Suco de Limão</v>
      </c>
      <c r="F1966" t="str">
        <f>VLOOKUP(D1966,'Cadatro Clientes'!A:O,9,2)</f>
        <v>Norte</v>
      </c>
      <c r="G1966" s="15">
        <v>42356</v>
      </c>
      <c r="H1966">
        <f t="shared" si="151"/>
        <v>6</v>
      </c>
      <c r="I1966">
        <f t="shared" si="152"/>
        <v>18</v>
      </c>
      <c r="J1966">
        <f t="shared" si="153"/>
        <v>12</v>
      </c>
      <c r="K1966">
        <f t="shared" si="154"/>
        <v>2015</v>
      </c>
      <c r="M1966">
        <v>3</v>
      </c>
      <c r="N1966" t="str">
        <f>VLOOKUP(M1966,'Cadastro Vendedores'!A:H,2,2)</f>
        <v>Antônia</v>
      </c>
      <c r="O1966" s="2"/>
      <c r="P1966" s="16">
        <v>2900</v>
      </c>
      <c r="Q1966" s="2">
        <f>VLOOKUP(B1966,'Cadastro Produtos'!A:F,5,2)</f>
        <v>17.5</v>
      </c>
      <c r="R1966" s="14">
        <f t="shared" si="150"/>
        <v>50750</v>
      </c>
    </row>
    <row r="1967" spans="1:18" x14ac:dyDescent="0.25">
      <c r="A1967">
        <v>1966</v>
      </c>
      <c r="B1967">
        <v>2</v>
      </c>
      <c r="C1967" t="str">
        <f>VLOOKUP(B1967,'Cadastro Produtos'!A:E,2,2)</f>
        <v>Limonada Beta com Açúcar 500 ml</v>
      </c>
      <c r="D1967">
        <v>18</v>
      </c>
      <c r="E1967" t="str">
        <f>VLOOKUP(D1967,'Cadatro Clientes'!A:O,2,2)</f>
        <v>Rio Branco Limonada Ltda</v>
      </c>
      <c r="F1967" t="str">
        <f>VLOOKUP(D1967,'Cadatro Clientes'!A:O,9,2)</f>
        <v>Norte</v>
      </c>
      <c r="G1967" s="15">
        <v>42356</v>
      </c>
      <c r="H1967">
        <f t="shared" si="151"/>
        <v>6</v>
      </c>
      <c r="I1967">
        <f t="shared" si="152"/>
        <v>18</v>
      </c>
      <c r="J1967">
        <f t="shared" si="153"/>
        <v>12</v>
      </c>
      <c r="K1967">
        <f t="shared" si="154"/>
        <v>2015</v>
      </c>
      <c r="M1967">
        <v>13</v>
      </c>
      <c r="N1967" t="str">
        <f>VLOOKUP(M1967,'Cadastro Vendedores'!A:H,2,2)</f>
        <v>Andre</v>
      </c>
      <c r="O1967" s="2"/>
      <c r="P1967" s="16">
        <v>4500</v>
      </c>
      <c r="Q1967" s="2">
        <f>VLOOKUP(B1967,'Cadastro Produtos'!A:F,5,2)</f>
        <v>6.5</v>
      </c>
      <c r="R1967" s="14">
        <f t="shared" si="150"/>
        <v>29250</v>
      </c>
    </row>
    <row r="1968" spans="1:18" x14ac:dyDescent="0.25">
      <c r="A1968">
        <v>1967</v>
      </c>
      <c r="B1968">
        <v>3</v>
      </c>
      <c r="C1968" t="str">
        <f>VLOOKUP(B1968,'Cadastro Produtos'!A:E,2,2)</f>
        <v>Limonada Alfa Zero 500 ml</v>
      </c>
      <c r="D1968">
        <v>14</v>
      </c>
      <c r="E1968" t="str">
        <f>VLOOKUP(D1968,'Cadatro Clientes'!A:O,2,2)</f>
        <v>Sprite</v>
      </c>
      <c r="F1968" t="str">
        <f>VLOOKUP(D1968,'Cadatro Clientes'!A:O,9,2)</f>
        <v>Norte</v>
      </c>
      <c r="G1968" s="15">
        <v>42356</v>
      </c>
      <c r="H1968">
        <f t="shared" si="151"/>
        <v>6</v>
      </c>
      <c r="I1968">
        <f t="shared" si="152"/>
        <v>18</v>
      </c>
      <c r="J1968">
        <f t="shared" si="153"/>
        <v>12</v>
      </c>
      <c r="K1968">
        <f t="shared" si="154"/>
        <v>2015</v>
      </c>
      <c r="M1968">
        <v>4</v>
      </c>
      <c r="N1968" t="str">
        <f>VLOOKUP(M1968,'Cadastro Vendedores'!A:H,2,2)</f>
        <v>José</v>
      </c>
      <c r="O1968" s="2"/>
      <c r="P1968" s="16">
        <v>5100</v>
      </c>
      <c r="Q1968" s="2">
        <f>VLOOKUP(B1968,'Cadastro Produtos'!A:F,5,2)</f>
        <v>9</v>
      </c>
      <c r="R1968" s="14">
        <f t="shared" si="150"/>
        <v>45900</v>
      </c>
    </row>
    <row r="1969" spans="1:18" x14ac:dyDescent="0.25">
      <c r="A1969">
        <v>1968</v>
      </c>
      <c r="B1969">
        <v>2</v>
      </c>
      <c r="C1969" t="str">
        <f>VLOOKUP(B1969,'Cadastro Produtos'!A:E,2,2)</f>
        <v>Limonada Beta com Açúcar 500 ml</v>
      </c>
      <c r="D1969">
        <v>20</v>
      </c>
      <c r="E1969" t="str">
        <f>VLOOKUP(D1969,'Cadatro Clientes'!A:O,2,2)</f>
        <v>Brasil Saúde</v>
      </c>
      <c r="F1969" t="str">
        <f>VLOOKUP(D1969,'Cadatro Clientes'!A:O,9,2)</f>
        <v>Nordeste</v>
      </c>
      <c r="G1969" s="15">
        <v>42356</v>
      </c>
      <c r="H1969">
        <f t="shared" si="151"/>
        <v>6</v>
      </c>
      <c r="I1969">
        <f t="shared" si="152"/>
        <v>18</v>
      </c>
      <c r="J1969">
        <f t="shared" si="153"/>
        <v>12</v>
      </c>
      <c r="K1969">
        <f t="shared" si="154"/>
        <v>2015</v>
      </c>
      <c r="M1969">
        <v>9</v>
      </c>
      <c r="N1969" t="str">
        <f>VLOOKUP(M1969,'Cadastro Vendedores'!A:H,2,2)</f>
        <v>Adriana</v>
      </c>
      <c r="O1969" s="2"/>
      <c r="P1969" s="16">
        <v>3700</v>
      </c>
      <c r="Q1969" s="2">
        <f>VLOOKUP(B1969,'Cadastro Produtos'!A:F,5,2)</f>
        <v>6.5</v>
      </c>
      <c r="R1969" s="14">
        <f t="shared" si="150"/>
        <v>24050</v>
      </c>
    </row>
    <row r="1970" spans="1:18" x14ac:dyDescent="0.25">
      <c r="A1970">
        <v>1969</v>
      </c>
      <c r="B1970">
        <v>4</v>
      </c>
      <c r="C1970" t="str">
        <f>VLOOKUP(B1970,'Cadastro Produtos'!A:E,2,2)</f>
        <v>Limonada Beta Zero 500 ml</v>
      </c>
      <c r="D1970">
        <v>12</v>
      </c>
      <c r="E1970" t="str">
        <f>VLOOKUP(D1970,'Cadatro Clientes'!A:O,2,2)</f>
        <v>Limão da Ilha</v>
      </c>
      <c r="F1970" t="str">
        <f>VLOOKUP(D1970,'Cadatro Clientes'!A:O,9,2)</f>
        <v>Sul</v>
      </c>
      <c r="G1970" s="15">
        <v>42356</v>
      </c>
      <c r="H1970">
        <f t="shared" si="151"/>
        <v>6</v>
      </c>
      <c r="I1970">
        <f t="shared" si="152"/>
        <v>18</v>
      </c>
      <c r="J1970">
        <f t="shared" si="153"/>
        <v>12</v>
      </c>
      <c r="K1970">
        <f t="shared" si="154"/>
        <v>2015</v>
      </c>
      <c r="M1970">
        <v>2</v>
      </c>
      <c r="N1970" t="str">
        <f>VLOOKUP(M1970,'Cadastro Vendedores'!A:H,2,2)</f>
        <v>Luis</v>
      </c>
      <c r="O1970" s="2"/>
      <c r="P1970" s="16">
        <v>6200</v>
      </c>
      <c r="Q1970" s="2">
        <f>VLOOKUP(B1970,'Cadastro Produtos'!A:F,5,2)</f>
        <v>7</v>
      </c>
      <c r="R1970" s="14">
        <f t="shared" si="150"/>
        <v>43400</v>
      </c>
    </row>
    <row r="1971" spans="1:18" x14ac:dyDescent="0.25">
      <c r="A1971">
        <v>1970</v>
      </c>
      <c r="B1971">
        <v>2</v>
      </c>
      <c r="C1971" t="str">
        <f>VLOOKUP(B1971,'Cadastro Produtos'!A:E,2,2)</f>
        <v>Limonada Beta com Açúcar 500 ml</v>
      </c>
      <c r="D1971">
        <v>20</v>
      </c>
      <c r="E1971" t="str">
        <f>VLOOKUP(D1971,'Cadatro Clientes'!A:O,2,2)</f>
        <v>Brasil Saúde</v>
      </c>
      <c r="F1971" t="str">
        <f>VLOOKUP(D1971,'Cadatro Clientes'!A:O,9,2)</f>
        <v>Nordeste</v>
      </c>
      <c r="G1971" s="15">
        <v>42357</v>
      </c>
      <c r="H1971">
        <f t="shared" si="151"/>
        <v>7</v>
      </c>
      <c r="I1971">
        <f t="shared" si="152"/>
        <v>19</v>
      </c>
      <c r="J1971">
        <f t="shared" si="153"/>
        <v>12</v>
      </c>
      <c r="K1971">
        <f t="shared" si="154"/>
        <v>2015</v>
      </c>
      <c r="M1971">
        <v>9</v>
      </c>
      <c r="N1971" t="str">
        <f>VLOOKUP(M1971,'Cadastro Vendedores'!A:H,2,2)</f>
        <v>Adriana</v>
      </c>
      <c r="O1971" s="2"/>
      <c r="P1971" s="16">
        <v>2700</v>
      </c>
      <c r="Q1971" s="2">
        <f>VLOOKUP(B1971,'Cadastro Produtos'!A:F,5,2)</f>
        <v>6.5</v>
      </c>
      <c r="R1971" s="14">
        <f t="shared" si="150"/>
        <v>17550</v>
      </c>
    </row>
    <row r="1972" spans="1:18" x14ac:dyDescent="0.25">
      <c r="A1972">
        <v>1971</v>
      </c>
      <c r="B1972">
        <v>4</v>
      </c>
      <c r="C1972" t="str">
        <f>VLOOKUP(B1972,'Cadastro Produtos'!A:E,2,2)</f>
        <v>Limonada Beta Zero 500 ml</v>
      </c>
      <c r="D1972">
        <v>3</v>
      </c>
      <c r="E1972" t="str">
        <f>VLOOKUP(D1972,'Cadatro Clientes'!A:O,2,2)</f>
        <v>Limonada Suíça Ltda</v>
      </c>
      <c r="F1972" t="str">
        <f>VLOOKUP(D1972,'Cadatro Clientes'!A:O,9,2)</f>
        <v>Nordeste</v>
      </c>
      <c r="G1972" s="15">
        <v>42358</v>
      </c>
      <c r="H1972">
        <f t="shared" si="151"/>
        <v>1</v>
      </c>
      <c r="I1972">
        <f t="shared" si="152"/>
        <v>20</v>
      </c>
      <c r="J1972">
        <f t="shared" si="153"/>
        <v>12</v>
      </c>
      <c r="K1972">
        <f t="shared" si="154"/>
        <v>2015</v>
      </c>
      <c r="M1972">
        <v>4</v>
      </c>
      <c r="N1972" t="str">
        <f>VLOOKUP(M1972,'Cadastro Vendedores'!A:H,2,2)</f>
        <v>José</v>
      </c>
      <c r="O1972" s="2"/>
      <c r="P1972" s="16">
        <v>2200</v>
      </c>
      <c r="Q1972" s="2">
        <f>VLOOKUP(B1972,'Cadastro Produtos'!A:F,5,2)</f>
        <v>7</v>
      </c>
      <c r="R1972" s="14">
        <f t="shared" si="150"/>
        <v>15400</v>
      </c>
    </row>
    <row r="1973" spans="1:18" x14ac:dyDescent="0.25">
      <c r="A1973">
        <v>1972</v>
      </c>
      <c r="B1973">
        <v>6</v>
      </c>
      <c r="C1973" t="str">
        <f>VLOOKUP(B1973,'Cadastro Produtos'!A:E,2,2)</f>
        <v>Limonada Beta com Açúcar 1 L</v>
      </c>
      <c r="D1973">
        <v>15</v>
      </c>
      <c r="E1973" t="str">
        <f>VLOOKUP(D1973,'Cadatro Clientes'!A:O,2,2)</f>
        <v>Limão do Mané</v>
      </c>
      <c r="F1973" t="str">
        <f>VLOOKUP(D1973,'Cadatro Clientes'!A:O,9,2)</f>
        <v>Sul</v>
      </c>
      <c r="G1973" s="15">
        <v>42358</v>
      </c>
      <c r="H1973">
        <f t="shared" si="151"/>
        <v>1</v>
      </c>
      <c r="I1973">
        <f t="shared" si="152"/>
        <v>20</v>
      </c>
      <c r="J1973">
        <f t="shared" si="153"/>
        <v>12</v>
      </c>
      <c r="K1973">
        <f t="shared" si="154"/>
        <v>2015</v>
      </c>
      <c r="M1973">
        <v>4</v>
      </c>
      <c r="N1973" t="str">
        <f>VLOOKUP(M1973,'Cadastro Vendedores'!A:H,2,2)</f>
        <v>José</v>
      </c>
      <c r="O1973" s="2"/>
      <c r="P1973" s="16">
        <v>3300</v>
      </c>
      <c r="Q1973" s="2">
        <f>VLOOKUP(B1973,'Cadastro Produtos'!A:F,5,2)</f>
        <v>12</v>
      </c>
      <c r="R1973" s="14">
        <f t="shared" si="150"/>
        <v>39600</v>
      </c>
    </row>
    <row r="1974" spans="1:18" x14ac:dyDescent="0.25">
      <c r="A1974">
        <v>1973</v>
      </c>
      <c r="B1974">
        <v>2</v>
      </c>
      <c r="C1974" t="str">
        <f>VLOOKUP(B1974,'Cadastro Produtos'!A:E,2,2)</f>
        <v>Limonada Beta com Açúcar 500 ml</v>
      </c>
      <c r="D1974">
        <v>10</v>
      </c>
      <c r="E1974" t="str">
        <f>VLOOKUP(D1974,'Cadatro Clientes'!A:O,2,2)</f>
        <v>Lemon Gator</v>
      </c>
      <c r="F1974" t="str">
        <f>VLOOKUP(D1974,'Cadatro Clientes'!A:O,9,2)</f>
        <v>Nordeste</v>
      </c>
      <c r="G1974" s="15">
        <v>42359</v>
      </c>
      <c r="H1974">
        <f t="shared" si="151"/>
        <v>2</v>
      </c>
      <c r="I1974">
        <f t="shared" si="152"/>
        <v>21</v>
      </c>
      <c r="J1974">
        <f t="shared" si="153"/>
        <v>12</v>
      </c>
      <c r="K1974">
        <f t="shared" si="154"/>
        <v>2015</v>
      </c>
      <c r="M1974">
        <v>13</v>
      </c>
      <c r="N1974" t="str">
        <f>VLOOKUP(M1974,'Cadastro Vendedores'!A:H,2,2)</f>
        <v>Andre</v>
      </c>
      <c r="O1974" s="2"/>
      <c r="P1974" s="16">
        <v>2200</v>
      </c>
      <c r="Q1974" s="2">
        <f>VLOOKUP(B1974,'Cadastro Produtos'!A:F,5,2)</f>
        <v>6.5</v>
      </c>
      <c r="R1974" s="14">
        <f t="shared" si="150"/>
        <v>14300</v>
      </c>
    </row>
    <row r="1975" spans="1:18" x14ac:dyDescent="0.25">
      <c r="A1975">
        <v>1974</v>
      </c>
      <c r="B1975">
        <v>5</v>
      </c>
      <c r="C1975" t="str">
        <f>VLOOKUP(B1975,'Cadastro Produtos'!A:E,2,2)</f>
        <v>Limonada Alfa com Açúcar 1 L</v>
      </c>
      <c r="D1975">
        <v>6</v>
      </c>
      <c r="E1975" t="str">
        <f>VLOOKUP(D1975,'Cadatro Clientes'!A:O,2,2)</f>
        <v>Lemonade</v>
      </c>
      <c r="F1975" t="str">
        <f>VLOOKUP(D1975,'Cadatro Clientes'!A:O,9,2)</f>
        <v>Norte</v>
      </c>
      <c r="G1975" s="15">
        <v>42359</v>
      </c>
      <c r="H1975">
        <f t="shared" si="151"/>
        <v>2</v>
      </c>
      <c r="I1975">
        <f t="shared" si="152"/>
        <v>21</v>
      </c>
      <c r="J1975">
        <f t="shared" si="153"/>
        <v>12</v>
      </c>
      <c r="K1975">
        <f t="shared" si="154"/>
        <v>2015</v>
      </c>
      <c r="M1975">
        <v>6</v>
      </c>
      <c r="N1975" t="str">
        <f>VLOOKUP(M1975,'Cadastro Vendedores'!A:H,2,2)</f>
        <v>Antônia</v>
      </c>
      <c r="O1975" s="2"/>
      <c r="P1975" s="16">
        <v>3300</v>
      </c>
      <c r="Q1975" s="2">
        <f>VLOOKUP(B1975,'Cadastro Produtos'!A:F,5,2)</f>
        <v>15</v>
      </c>
      <c r="R1975" s="14">
        <f t="shared" si="150"/>
        <v>49500</v>
      </c>
    </row>
    <row r="1976" spans="1:18" x14ac:dyDescent="0.25">
      <c r="A1976">
        <v>1975</v>
      </c>
      <c r="B1976">
        <v>4</v>
      </c>
      <c r="C1976" t="str">
        <f>VLOOKUP(B1976,'Cadastro Produtos'!A:E,2,2)</f>
        <v>Limonada Beta Zero 500 ml</v>
      </c>
      <c r="D1976">
        <v>4</v>
      </c>
      <c r="E1976" t="str">
        <f>VLOOKUP(D1976,'Cadatro Clientes'!A:O,2,2)</f>
        <v>Limão Carioca e Cia</v>
      </c>
      <c r="F1976" t="str">
        <f>VLOOKUP(D1976,'Cadatro Clientes'!A:O,9,2)</f>
        <v>Sudeste</v>
      </c>
      <c r="G1976" s="15">
        <v>42359</v>
      </c>
      <c r="H1976">
        <f t="shared" si="151"/>
        <v>2</v>
      </c>
      <c r="I1976">
        <f t="shared" si="152"/>
        <v>21</v>
      </c>
      <c r="J1976">
        <f t="shared" si="153"/>
        <v>12</v>
      </c>
      <c r="K1976">
        <f t="shared" si="154"/>
        <v>2015</v>
      </c>
      <c r="M1976">
        <v>13</v>
      </c>
      <c r="N1976" t="str">
        <f>VLOOKUP(M1976,'Cadastro Vendedores'!A:H,2,2)</f>
        <v>Andre</v>
      </c>
      <c r="O1976" s="2"/>
      <c r="P1976" s="16">
        <v>8600</v>
      </c>
      <c r="Q1976" s="2">
        <f>VLOOKUP(B1976,'Cadastro Produtos'!A:F,5,2)</f>
        <v>7</v>
      </c>
      <c r="R1976" s="14">
        <f t="shared" si="150"/>
        <v>60200</v>
      </c>
    </row>
    <row r="1977" spans="1:18" x14ac:dyDescent="0.25">
      <c r="A1977">
        <v>1976</v>
      </c>
      <c r="B1977">
        <v>10</v>
      </c>
      <c r="C1977" t="str">
        <f>VLOOKUP(B1977,'Cadastro Produtos'!A:E,2,2)</f>
        <v>Limonada Alfa com Hortelã Zero 1 L</v>
      </c>
      <c r="D1977">
        <v>19</v>
      </c>
      <c r="E1977" t="str">
        <f>VLOOKUP(D1977,'Cadatro Clientes'!A:O,2,2)</f>
        <v>Lima Limão</v>
      </c>
      <c r="F1977" t="str">
        <f>VLOOKUP(D1977,'Cadatro Clientes'!A:O,9,2)</f>
        <v>Sudeste</v>
      </c>
      <c r="G1977" s="15">
        <v>42360</v>
      </c>
      <c r="H1977">
        <f t="shared" si="151"/>
        <v>3</v>
      </c>
      <c r="I1977">
        <f t="shared" si="152"/>
        <v>22</v>
      </c>
      <c r="J1977">
        <f t="shared" si="153"/>
        <v>12</v>
      </c>
      <c r="K1977">
        <f t="shared" si="154"/>
        <v>2015</v>
      </c>
      <c r="M1977">
        <v>7</v>
      </c>
      <c r="N1977" t="str">
        <f>VLOOKUP(M1977,'Cadastro Vendedores'!A:H,2,2)</f>
        <v>Benedito</v>
      </c>
      <c r="O1977" s="2"/>
      <c r="P1977" s="16">
        <v>2000</v>
      </c>
      <c r="Q1977" s="2">
        <f>VLOOKUP(B1977,'Cadastro Produtos'!A:F,5,2)</f>
        <v>21</v>
      </c>
      <c r="R1977" s="14">
        <f t="shared" si="150"/>
        <v>42000</v>
      </c>
    </row>
    <row r="1978" spans="1:18" x14ac:dyDescent="0.25">
      <c r="A1978">
        <v>1977</v>
      </c>
      <c r="B1978">
        <v>4</v>
      </c>
      <c r="C1978" t="str">
        <f>VLOOKUP(B1978,'Cadastro Produtos'!A:E,2,2)</f>
        <v>Limonada Beta Zero 500 ml</v>
      </c>
      <c r="D1978">
        <v>7</v>
      </c>
      <c r="E1978" t="str">
        <f>VLOOKUP(D1978,'Cadatro Clientes'!A:O,2,2)</f>
        <v>Limo</v>
      </c>
      <c r="F1978" t="str">
        <f>VLOOKUP(D1978,'Cadatro Clientes'!A:O,9,2)</f>
        <v>Centro-Oeste</v>
      </c>
      <c r="G1978" s="15">
        <v>42360</v>
      </c>
      <c r="H1978">
        <f t="shared" si="151"/>
        <v>3</v>
      </c>
      <c r="I1978">
        <f t="shared" si="152"/>
        <v>22</v>
      </c>
      <c r="J1978">
        <f t="shared" si="153"/>
        <v>12</v>
      </c>
      <c r="K1978">
        <f t="shared" si="154"/>
        <v>2015</v>
      </c>
      <c r="M1978">
        <v>3</v>
      </c>
      <c r="N1978" t="str">
        <f>VLOOKUP(M1978,'Cadastro Vendedores'!A:H,2,2)</f>
        <v>Antônia</v>
      </c>
      <c r="O1978" s="2"/>
      <c r="P1978" s="16">
        <v>8200</v>
      </c>
      <c r="Q1978" s="2">
        <f>VLOOKUP(B1978,'Cadastro Produtos'!A:F,5,2)</f>
        <v>7</v>
      </c>
      <c r="R1978" s="14">
        <f t="shared" si="150"/>
        <v>57400</v>
      </c>
    </row>
    <row r="1979" spans="1:18" x14ac:dyDescent="0.25">
      <c r="A1979">
        <v>1978</v>
      </c>
      <c r="B1979">
        <v>7</v>
      </c>
      <c r="C1979" t="str">
        <f>VLOOKUP(B1979,'Cadastro Produtos'!A:E,2,2)</f>
        <v>Limonada Alfa Zero 1 L</v>
      </c>
      <c r="D1979">
        <v>9</v>
      </c>
      <c r="E1979" t="str">
        <f>VLOOKUP(D1979,'Cadatro Clientes'!A:O,2,2)</f>
        <v>Fresh Lemon</v>
      </c>
      <c r="F1979" t="str">
        <f>VLOOKUP(D1979,'Cadatro Clientes'!A:O,9,2)</f>
        <v>Sudeste</v>
      </c>
      <c r="G1979" s="15">
        <v>42360</v>
      </c>
      <c r="H1979">
        <f t="shared" si="151"/>
        <v>3</v>
      </c>
      <c r="I1979">
        <f t="shared" si="152"/>
        <v>22</v>
      </c>
      <c r="J1979">
        <f t="shared" si="153"/>
        <v>12</v>
      </c>
      <c r="K1979">
        <f t="shared" si="154"/>
        <v>2015</v>
      </c>
      <c r="M1979">
        <v>8</v>
      </c>
      <c r="N1979" t="str">
        <f>VLOOKUP(M1979,'Cadastro Vendedores'!A:H,2,2)</f>
        <v>Sérgio</v>
      </c>
      <c r="O1979" s="2"/>
      <c r="P1979" s="16">
        <v>2100</v>
      </c>
      <c r="Q1979" s="2">
        <f>VLOOKUP(B1979,'Cadastro Produtos'!A:F,5,2)</f>
        <v>15</v>
      </c>
      <c r="R1979" s="14">
        <f t="shared" si="150"/>
        <v>31500</v>
      </c>
    </row>
    <row r="1980" spans="1:18" x14ac:dyDescent="0.25">
      <c r="A1980">
        <v>1979</v>
      </c>
      <c r="B1980">
        <v>8</v>
      </c>
      <c r="C1980" t="str">
        <f>VLOOKUP(B1980,'Cadastro Produtos'!A:E,2,2)</f>
        <v>Limonada Beta Zero 1 L</v>
      </c>
      <c r="D1980">
        <v>13</v>
      </c>
      <c r="E1980" t="str">
        <f>VLOOKUP(D1980,'Cadatro Clientes'!A:O,2,2)</f>
        <v>Monster Lemon</v>
      </c>
      <c r="F1980" t="str">
        <f>VLOOKUP(D1980,'Cadatro Clientes'!A:O,9,2)</f>
        <v>Nordeste</v>
      </c>
      <c r="G1980" s="15">
        <v>42360</v>
      </c>
      <c r="H1980">
        <f t="shared" si="151"/>
        <v>3</v>
      </c>
      <c r="I1980">
        <f t="shared" si="152"/>
        <v>22</v>
      </c>
      <c r="J1980">
        <f t="shared" si="153"/>
        <v>12</v>
      </c>
      <c r="K1980">
        <f t="shared" si="154"/>
        <v>2015</v>
      </c>
      <c r="M1980">
        <v>6</v>
      </c>
      <c r="N1980" t="str">
        <f>VLOOKUP(M1980,'Cadastro Vendedores'!A:H,2,2)</f>
        <v>Antônia</v>
      </c>
      <c r="O1980" s="2"/>
      <c r="P1980" s="16">
        <v>3600</v>
      </c>
      <c r="Q1980" s="2">
        <f>VLOOKUP(B1980,'Cadastro Produtos'!A:F,5,2)</f>
        <v>12</v>
      </c>
      <c r="R1980" s="14">
        <f t="shared" si="150"/>
        <v>43200</v>
      </c>
    </row>
    <row r="1981" spans="1:18" x14ac:dyDescent="0.25">
      <c r="A1981">
        <v>1980</v>
      </c>
      <c r="B1981">
        <v>3</v>
      </c>
      <c r="C1981" t="str">
        <f>VLOOKUP(B1981,'Cadastro Produtos'!A:E,2,2)</f>
        <v>Limonada Alfa Zero 500 ml</v>
      </c>
      <c r="D1981">
        <v>3</v>
      </c>
      <c r="E1981" t="str">
        <f>VLOOKUP(D1981,'Cadatro Clientes'!A:O,2,2)</f>
        <v>Limonada Suíça Ltda</v>
      </c>
      <c r="F1981" t="str">
        <f>VLOOKUP(D1981,'Cadatro Clientes'!A:O,9,2)</f>
        <v>Nordeste</v>
      </c>
      <c r="G1981" s="15">
        <v>42361</v>
      </c>
      <c r="H1981">
        <f t="shared" si="151"/>
        <v>4</v>
      </c>
      <c r="I1981">
        <f t="shared" si="152"/>
        <v>23</v>
      </c>
      <c r="J1981">
        <f t="shared" si="153"/>
        <v>12</v>
      </c>
      <c r="K1981">
        <f t="shared" si="154"/>
        <v>2015</v>
      </c>
      <c r="M1981">
        <v>7</v>
      </c>
      <c r="N1981" t="str">
        <f>VLOOKUP(M1981,'Cadastro Vendedores'!A:H,2,2)</f>
        <v>Benedito</v>
      </c>
      <c r="O1981" s="2"/>
      <c r="P1981" s="16">
        <v>5400</v>
      </c>
      <c r="Q1981" s="2">
        <f>VLOOKUP(B1981,'Cadastro Produtos'!A:F,5,2)</f>
        <v>9</v>
      </c>
      <c r="R1981" s="14">
        <f t="shared" si="150"/>
        <v>48600</v>
      </c>
    </row>
    <row r="1982" spans="1:18" x14ac:dyDescent="0.25">
      <c r="A1982">
        <v>1981</v>
      </c>
      <c r="B1982">
        <v>2</v>
      </c>
      <c r="C1982" t="str">
        <f>VLOOKUP(B1982,'Cadastro Produtos'!A:E,2,2)</f>
        <v>Limonada Beta com Açúcar 500 ml</v>
      </c>
      <c r="D1982">
        <v>1</v>
      </c>
      <c r="E1982" t="str">
        <f>VLOOKUP(D1982,'Cadatro Clientes'!A:O,2,2)</f>
        <v>Meu Suco de Limão</v>
      </c>
      <c r="F1982" t="str">
        <f>VLOOKUP(D1982,'Cadatro Clientes'!A:O,9,2)</f>
        <v>Norte</v>
      </c>
      <c r="G1982" s="15">
        <v>42361</v>
      </c>
      <c r="H1982">
        <f t="shared" si="151"/>
        <v>4</v>
      </c>
      <c r="I1982">
        <f t="shared" si="152"/>
        <v>23</v>
      </c>
      <c r="J1982">
        <f t="shared" si="153"/>
        <v>12</v>
      </c>
      <c r="K1982">
        <f t="shared" si="154"/>
        <v>2015</v>
      </c>
      <c r="M1982">
        <v>12</v>
      </c>
      <c r="N1982" t="str">
        <f>VLOOKUP(M1982,'Cadastro Vendedores'!A:H,2,2)</f>
        <v>Paulo</v>
      </c>
      <c r="O1982" s="2"/>
      <c r="P1982" s="16">
        <v>8700</v>
      </c>
      <c r="Q1982" s="2">
        <f>VLOOKUP(B1982,'Cadastro Produtos'!A:F,5,2)</f>
        <v>6.5</v>
      </c>
      <c r="R1982" s="14">
        <f t="shared" si="150"/>
        <v>56550</v>
      </c>
    </row>
    <row r="1983" spans="1:18" x14ac:dyDescent="0.25">
      <c r="A1983">
        <v>1982</v>
      </c>
      <c r="B1983">
        <v>7</v>
      </c>
      <c r="C1983" t="str">
        <f>VLOOKUP(B1983,'Cadastro Produtos'!A:E,2,2)</f>
        <v>Limonada Alfa Zero 1 L</v>
      </c>
      <c r="D1983">
        <v>2</v>
      </c>
      <c r="E1983" t="str">
        <f>VLOOKUP(D1983,'Cadatro Clientes'!A:O,2,2)</f>
        <v>Limão S/A</v>
      </c>
      <c r="F1983" t="str">
        <f>VLOOKUP(D1983,'Cadatro Clientes'!A:O,9,2)</f>
        <v>Centro-Oeste</v>
      </c>
      <c r="G1983" s="15">
        <v>42362</v>
      </c>
      <c r="H1983">
        <f t="shared" si="151"/>
        <v>5</v>
      </c>
      <c r="I1983">
        <f t="shared" si="152"/>
        <v>24</v>
      </c>
      <c r="J1983">
        <f t="shared" si="153"/>
        <v>12</v>
      </c>
      <c r="K1983">
        <f t="shared" si="154"/>
        <v>2015</v>
      </c>
      <c r="M1983">
        <v>15</v>
      </c>
      <c r="N1983" t="str">
        <f>VLOOKUP(M1983,'Cadastro Vendedores'!A:H,2,2)</f>
        <v>Luis</v>
      </c>
      <c r="O1983" s="2"/>
      <c r="P1983" s="16">
        <v>3200</v>
      </c>
      <c r="Q1983" s="2">
        <f>VLOOKUP(B1983,'Cadastro Produtos'!A:F,5,2)</f>
        <v>15</v>
      </c>
      <c r="R1983" s="14">
        <f t="shared" si="150"/>
        <v>48000</v>
      </c>
    </row>
    <row r="1984" spans="1:18" x14ac:dyDescent="0.25">
      <c r="A1984">
        <v>1983</v>
      </c>
      <c r="B1984">
        <v>6</v>
      </c>
      <c r="C1984" t="str">
        <f>VLOOKUP(B1984,'Cadastro Produtos'!A:E,2,2)</f>
        <v>Limonada Beta com Açúcar 1 L</v>
      </c>
      <c r="D1984">
        <v>12</v>
      </c>
      <c r="E1984" t="str">
        <f>VLOOKUP(D1984,'Cadatro Clientes'!A:O,2,2)</f>
        <v>Limão da Ilha</v>
      </c>
      <c r="F1984" t="str">
        <f>VLOOKUP(D1984,'Cadatro Clientes'!A:O,9,2)</f>
        <v>Sul</v>
      </c>
      <c r="G1984" s="15">
        <v>42362</v>
      </c>
      <c r="H1984">
        <f t="shared" si="151"/>
        <v>5</v>
      </c>
      <c r="I1984">
        <f t="shared" si="152"/>
        <v>24</v>
      </c>
      <c r="J1984">
        <f t="shared" si="153"/>
        <v>12</v>
      </c>
      <c r="K1984">
        <f t="shared" si="154"/>
        <v>2015</v>
      </c>
      <c r="M1984">
        <v>3</v>
      </c>
      <c r="N1984" t="str">
        <f>VLOOKUP(M1984,'Cadastro Vendedores'!A:H,2,2)</f>
        <v>Antônia</v>
      </c>
      <c r="O1984" s="2"/>
      <c r="P1984" s="16">
        <v>1600</v>
      </c>
      <c r="Q1984" s="2">
        <f>VLOOKUP(B1984,'Cadastro Produtos'!A:F,5,2)</f>
        <v>12</v>
      </c>
      <c r="R1984" s="14">
        <f t="shared" si="150"/>
        <v>19200</v>
      </c>
    </row>
    <row r="1985" spans="1:18" x14ac:dyDescent="0.25">
      <c r="A1985">
        <v>1984</v>
      </c>
      <c r="B1985">
        <v>5</v>
      </c>
      <c r="C1985" t="str">
        <f>VLOOKUP(B1985,'Cadastro Produtos'!A:E,2,2)</f>
        <v>Limonada Alfa com Açúcar 1 L</v>
      </c>
      <c r="D1985">
        <v>1</v>
      </c>
      <c r="E1985" t="str">
        <f>VLOOKUP(D1985,'Cadatro Clientes'!A:O,2,2)</f>
        <v>Meu Suco de Limão</v>
      </c>
      <c r="F1985" t="str">
        <f>VLOOKUP(D1985,'Cadatro Clientes'!A:O,9,2)</f>
        <v>Norte</v>
      </c>
      <c r="G1985" s="15">
        <v>42363</v>
      </c>
      <c r="H1985">
        <f t="shared" si="151"/>
        <v>6</v>
      </c>
      <c r="I1985">
        <f t="shared" si="152"/>
        <v>25</v>
      </c>
      <c r="J1985">
        <f t="shared" si="153"/>
        <v>12</v>
      </c>
      <c r="K1985">
        <f t="shared" si="154"/>
        <v>2015</v>
      </c>
      <c r="M1985">
        <v>2</v>
      </c>
      <c r="N1985" t="str">
        <f>VLOOKUP(M1985,'Cadastro Vendedores'!A:H,2,2)</f>
        <v>Luis</v>
      </c>
      <c r="O1985" s="2"/>
      <c r="P1985" s="16">
        <v>2600</v>
      </c>
      <c r="Q1985" s="2">
        <f>VLOOKUP(B1985,'Cadastro Produtos'!A:F,5,2)</f>
        <v>15</v>
      </c>
      <c r="R1985" s="14">
        <f t="shared" si="150"/>
        <v>39000</v>
      </c>
    </row>
    <row r="1986" spans="1:18" x14ac:dyDescent="0.25">
      <c r="A1986">
        <v>1985</v>
      </c>
      <c r="B1986">
        <v>7</v>
      </c>
      <c r="C1986" t="str">
        <f>VLOOKUP(B1986,'Cadastro Produtos'!A:E,2,2)</f>
        <v>Limonada Alfa Zero 1 L</v>
      </c>
      <c r="D1986">
        <v>7</v>
      </c>
      <c r="E1986" t="str">
        <f>VLOOKUP(D1986,'Cadatro Clientes'!A:O,2,2)</f>
        <v>Limo</v>
      </c>
      <c r="F1986" t="str">
        <f>VLOOKUP(D1986,'Cadatro Clientes'!A:O,9,2)</f>
        <v>Centro-Oeste</v>
      </c>
      <c r="G1986" s="15">
        <v>42364</v>
      </c>
      <c r="H1986">
        <f t="shared" si="151"/>
        <v>7</v>
      </c>
      <c r="I1986">
        <f t="shared" si="152"/>
        <v>26</v>
      </c>
      <c r="J1986">
        <f t="shared" si="153"/>
        <v>12</v>
      </c>
      <c r="K1986">
        <f t="shared" si="154"/>
        <v>2015</v>
      </c>
      <c r="M1986">
        <v>4</v>
      </c>
      <c r="N1986" t="str">
        <f>VLOOKUP(M1986,'Cadastro Vendedores'!A:H,2,2)</f>
        <v>José</v>
      </c>
      <c r="O1986" s="2"/>
      <c r="P1986" s="16">
        <v>1700</v>
      </c>
      <c r="Q1986" s="2">
        <f>VLOOKUP(B1986,'Cadastro Produtos'!A:F,5,2)</f>
        <v>15</v>
      </c>
      <c r="R1986" s="14">
        <f t="shared" ref="R1986:R2001" si="155">Q1986*P1986</f>
        <v>25500</v>
      </c>
    </row>
    <row r="1987" spans="1:18" x14ac:dyDescent="0.25">
      <c r="A1987">
        <v>1986</v>
      </c>
      <c r="B1987">
        <v>5</v>
      </c>
      <c r="C1987" t="str">
        <f>VLOOKUP(B1987,'Cadastro Produtos'!A:E,2,2)</f>
        <v>Limonada Alfa com Açúcar 1 L</v>
      </c>
      <c r="D1987">
        <v>2</v>
      </c>
      <c r="E1987" t="str">
        <f>VLOOKUP(D1987,'Cadatro Clientes'!A:O,2,2)</f>
        <v>Limão S/A</v>
      </c>
      <c r="F1987" t="str">
        <f>VLOOKUP(D1987,'Cadatro Clientes'!A:O,9,2)</f>
        <v>Centro-Oeste</v>
      </c>
      <c r="G1987" s="15">
        <v>42364</v>
      </c>
      <c r="H1987">
        <f t="shared" ref="H1987:H2001" si="156">WEEKDAY(G1987)</f>
        <v>7</v>
      </c>
      <c r="I1987">
        <f t="shared" ref="I1987:I2001" si="157">DAY(G1987)</f>
        <v>26</v>
      </c>
      <c r="J1987">
        <f t="shared" ref="J1987:J2001" si="158">MONTH(G1987)</f>
        <v>12</v>
      </c>
      <c r="K1987">
        <f t="shared" ref="K1987:K2001" si="159">YEAR(G1987)</f>
        <v>2015</v>
      </c>
      <c r="M1987">
        <v>2</v>
      </c>
      <c r="N1987" t="str">
        <f>VLOOKUP(M1987,'Cadastro Vendedores'!A:H,2,2)</f>
        <v>Luis</v>
      </c>
      <c r="O1987" s="2"/>
      <c r="P1987" s="16">
        <v>1500</v>
      </c>
      <c r="Q1987" s="2">
        <f>VLOOKUP(B1987,'Cadastro Produtos'!A:F,5,2)</f>
        <v>15</v>
      </c>
      <c r="R1987" s="14">
        <f t="shared" si="155"/>
        <v>22500</v>
      </c>
    </row>
    <row r="1988" spans="1:18" x14ac:dyDescent="0.25">
      <c r="A1988">
        <v>1987</v>
      </c>
      <c r="B1988">
        <v>6</v>
      </c>
      <c r="C1988" t="str">
        <f>VLOOKUP(B1988,'Cadastro Produtos'!A:E,2,2)</f>
        <v>Limonada Beta com Açúcar 1 L</v>
      </c>
      <c r="D1988">
        <v>1</v>
      </c>
      <c r="E1988" t="str">
        <f>VLOOKUP(D1988,'Cadatro Clientes'!A:O,2,2)</f>
        <v>Meu Suco de Limão</v>
      </c>
      <c r="F1988" t="str">
        <f>VLOOKUP(D1988,'Cadatro Clientes'!A:O,9,2)</f>
        <v>Norte</v>
      </c>
      <c r="G1988" s="15">
        <v>42365</v>
      </c>
      <c r="H1988">
        <f t="shared" si="156"/>
        <v>1</v>
      </c>
      <c r="I1988">
        <f t="shared" si="157"/>
        <v>27</v>
      </c>
      <c r="J1988">
        <f t="shared" si="158"/>
        <v>12</v>
      </c>
      <c r="K1988">
        <f t="shared" si="159"/>
        <v>2015</v>
      </c>
      <c r="M1988">
        <v>8</v>
      </c>
      <c r="N1988" t="str">
        <f>VLOOKUP(M1988,'Cadastro Vendedores'!A:H,2,2)</f>
        <v>Sérgio</v>
      </c>
      <c r="O1988" s="2"/>
      <c r="P1988" s="16">
        <v>4600</v>
      </c>
      <c r="Q1988" s="2">
        <f>VLOOKUP(B1988,'Cadastro Produtos'!A:F,5,2)</f>
        <v>12</v>
      </c>
      <c r="R1988" s="14">
        <f t="shared" si="155"/>
        <v>55200</v>
      </c>
    </row>
    <row r="1989" spans="1:18" x14ac:dyDescent="0.25">
      <c r="A1989">
        <v>1988</v>
      </c>
      <c r="B1989">
        <v>8</v>
      </c>
      <c r="C1989" t="str">
        <f>VLOOKUP(B1989,'Cadastro Produtos'!A:E,2,2)</f>
        <v>Limonada Beta Zero 1 L</v>
      </c>
      <c r="D1989">
        <v>16</v>
      </c>
      <c r="E1989" t="str">
        <f>VLOOKUP(D1989,'Cadatro Clientes'!A:O,2,2)</f>
        <v>Norte Suco</v>
      </c>
      <c r="F1989" t="str">
        <f>VLOOKUP(D1989,'Cadatro Clientes'!A:O,9,2)</f>
        <v>Nordeste</v>
      </c>
      <c r="G1989" s="15">
        <v>42365</v>
      </c>
      <c r="H1989">
        <f t="shared" si="156"/>
        <v>1</v>
      </c>
      <c r="I1989">
        <f t="shared" si="157"/>
        <v>27</v>
      </c>
      <c r="J1989">
        <f t="shared" si="158"/>
        <v>12</v>
      </c>
      <c r="K1989">
        <f t="shared" si="159"/>
        <v>2015</v>
      </c>
      <c r="M1989">
        <v>7</v>
      </c>
      <c r="N1989" t="str">
        <f>VLOOKUP(M1989,'Cadastro Vendedores'!A:H,2,2)</f>
        <v>Benedito</v>
      </c>
      <c r="O1989" s="2"/>
      <c r="P1989" s="16">
        <v>3800</v>
      </c>
      <c r="Q1989" s="2">
        <f>VLOOKUP(B1989,'Cadastro Produtos'!A:F,5,2)</f>
        <v>12</v>
      </c>
      <c r="R1989" s="14">
        <f t="shared" si="155"/>
        <v>45600</v>
      </c>
    </row>
    <row r="1990" spans="1:18" x14ac:dyDescent="0.25">
      <c r="A1990">
        <v>1989</v>
      </c>
      <c r="B1990">
        <v>3</v>
      </c>
      <c r="C1990" t="str">
        <f>VLOOKUP(B1990,'Cadastro Produtos'!A:E,2,2)</f>
        <v>Limonada Alfa Zero 500 ml</v>
      </c>
      <c r="D1990">
        <v>15</v>
      </c>
      <c r="E1990" t="str">
        <f>VLOOKUP(D1990,'Cadatro Clientes'!A:O,2,2)</f>
        <v>Limão do Mané</v>
      </c>
      <c r="F1990" t="str">
        <f>VLOOKUP(D1990,'Cadatro Clientes'!A:O,9,2)</f>
        <v>Sul</v>
      </c>
      <c r="G1990" s="15">
        <v>42365</v>
      </c>
      <c r="H1990">
        <f t="shared" si="156"/>
        <v>1</v>
      </c>
      <c r="I1990">
        <f t="shared" si="157"/>
        <v>27</v>
      </c>
      <c r="J1990">
        <f t="shared" si="158"/>
        <v>12</v>
      </c>
      <c r="K1990">
        <f t="shared" si="159"/>
        <v>2015</v>
      </c>
      <c r="M1990">
        <v>2</v>
      </c>
      <c r="N1990" t="str">
        <f>VLOOKUP(M1990,'Cadastro Vendedores'!A:H,2,2)</f>
        <v>Luis</v>
      </c>
      <c r="O1990" s="2"/>
      <c r="P1990" s="16">
        <v>4700</v>
      </c>
      <c r="Q1990" s="2">
        <f>VLOOKUP(B1990,'Cadastro Produtos'!A:F,5,2)</f>
        <v>9</v>
      </c>
      <c r="R1990" s="14">
        <f t="shared" si="155"/>
        <v>42300</v>
      </c>
    </row>
    <row r="1991" spans="1:18" x14ac:dyDescent="0.25">
      <c r="A1991">
        <v>1990</v>
      </c>
      <c r="B1991">
        <v>2</v>
      </c>
      <c r="C1991" t="str">
        <f>VLOOKUP(B1991,'Cadastro Produtos'!A:E,2,2)</f>
        <v>Limonada Beta com Açúcar 500 ml</v>
      </c>
      <c r="D1991">
        <v>2</v>
      </c>
      <c r="E1991" t="str">
        <f>VLOOKUP(D1991,'Cadatro Clientes'!A:O,2,2)</f>
        <v>Limão S/A</v>
      </c>
      <c r="F1991" t="str">
        <f>VLOOKUP(D1991,'Cadatro Clientes'!A:O,9,2)</f>
        <v>Centro-Oeste</v>
      </c>
      <c r="G1991" s="15">
        <v>42366</v>
      </c>
      <c r="H1991">
        <f t="shared" si="156"/>
        <v>2</v>
      </c>
      <c r="I1991">
        <f t="shared" si="157"/>
        <v>28</v>
      </c>
      <c r="J1991">
        <f t="shared" si="158"/>
        <v>12</v>
      </c>
      <c r="K1991">
        <f t="shared" si="159"/>
        <v>2015</v>
      </c>
      <c r="M1991">
        <v>7</v>
      </c>
      <c r="N1991" t="str">
        <f>VLOOKUP(M1991,'Cadastro Vendedores'!A:H,2,2)</f>
        <v>Benedito</v>
      </c>
      <c r="O1991" s="2"/>
      <c r="P1991" s="16">
        <v>6100</v>
      </c>
      <c r="Q1991" s="2">
        <f>VLOOKUP(B1991,'Cadastro Produtos'!A:F,5,2)</f>
        <v>6.5</v>
      </c>
      <c r="R1991" s="14">
        <f t="shared" si="155"/>
        <v>39650</v>
      </c>
    </row>
    <row r="1992" spans="1:18" x14ac:dyDescent="0.25">
      <c r="A1992">
        <v>1991</v>
      </c>
      <c r="B1992">
        <v>7</v>
      </c>
      <c r="C1992" t="str">
        <f>VLOOKUP(B1992,'Cadastro Produtos'!A:E,2,2)</f>
        <v>Limonada Alfa Zero 1 L</v>
      </c>
      <c r="D1992">
        <v>2</v>
      </c>
      <c r="E1992" t="str">
        <f>VLOOKUP(D1992,'Cadatro Clientes'!A:O,2,2)</f>
        <v>Limão S/A</v>
      </c>
      <c r="F1992" t="str">
        <f>VLOOKUP(D1992,'Cadatro Clientes'!A:O,9,2)</f>
        <v>Centro-Oeste</v>
      </c>
      <c r="G1992" s="15">
        <v>42366</v>
      </c>
      <c r="H1992">
        <f t="shared" si="156"/>
        <v>2</v>
      </c>
      <c r="I1992">
        <f t="shared" si="157"/>
        <v>28</v>
      </c>
      <c r="J1992">
        <f t="shared" si="158"/>
        <v>12</v>
      </c>
      <c r="K1992">
        <f t="shared" si="159"/>
        <v>2015</v>
      </c>
      <c r="M1992">
        <v>4</v>
      </c>
      <c r="N1992" t="str">
        <f>VLOOKUP(M1992,'Cadastro Vendedores'!A:H,2,2)</f>
        <v>José</v>
      </c>
      <c r="O1992" s="2"/>
      <c r="P1992" s="16">
        <v>2500</v>
      </c>
      <c r="Q1992" s="2">
        <f>VLOOKUP(B1992,'Cadastro Produtos'!A:F,5,2)</f>
        <v>15</v>
      </c>
      <c r="R1992" s="14">
        <f t="shared" si="155"/>
        <v>37500</v>
      </c>
    </row>
    <row r="1993" spans="1:18" x14ac:dyDescent="0.25">
      <c r="A1993">
        <v>1992</v>
      </c>
      <c r="B1993">
        <v>5</v>
      </c>
      <c r="C1993" t="str">
        <f>VLOOKUP(B1993,'Cadastro Produtos'!A:E,2,2)</f>
        <v>Limonada Alfa com Açúcar 1 L</v>
      </c>
      <c r="D1993">
        <v>5</v>
      </c>
      <c r="E1993" t="str">
        <f>VLOOKUP(D1993,'Cadatro Clientes'!A:O,2,2)</f>
        <v>Axé com Limão</v>
      </c>
      <c r="F1993" t="str">
        <f>VLOOKUP(D1993,'Cadatro Clientes'!A:O,9,2)</f>
        <v>Nordeste</v>
      </c>
      <c r="G1993" s="15">
        <v>42367</v>
      </c>
      <c r="H1993">
        <f t="shared" si="156"/>
        <v>3</v>
      </c>
      <c r="I1993">
        <f t="shared" si="157"/>
        <v>29</v>
      </c>
      <c r="J1993">
        <f t="shared" si="158"/>
        <v>12</v>
      </c>
      <c r="K1993">
        <f t="shared" si="159"/>
        <v>2015</v>
      </c>
      <c r="M1993">
        <v>12</v>
      </c>
      <c r="N1993" t="str">
        <f>VLOOKUP(M1993,'Cadastro Vendedores'!A:H,2,2)</f>
        <v>Paulo</v>
      </c>
      <c r="O1993" s="2"/>
      <c r="P1993" s="16">
        <v>3500</v>
      </c>
      <c r="Q1993" s="2">
        <f>VLOOKUP(B1993,'Cadastro Produtos'!A:F,5,2)</f>
        <v>15</v>
      </c>
      <c r="R1993" s="14">
        <f t="shared" si="155"/>
        <v>52500</v>
      </c>
    </row>
    <row r="1994" spans="1:18" x14ac:dyDescent="0.25">
      <c r="A1994">
        <v>1993</v>
      </c>
      <c r="B1994">
        <v>7</v>
      </c>
      <c r="C1994" t="str">
        <f>VLOOKUP(B1994,'Cadastro Produtos'!A:E,2,2)</f>
        <v>Limonada Alfa Zero 1 L</v>
      </c>
      <c r="D1994">
        <v>15</v>
      </c>
      <c r="E1994" t="str">
        <f>VLOOKUP(D1994,'Cadatro Clientes'!A:O,2,2)</f>
        <v>Limão do Mané</v>
      </c>
      <c r="F1994" t="str">
        <f>VLOOKUP(D1994,'Cadatro Clientes'!A:O,9,2)</f>
        <v>Sul</v>
      </c>
      <c r="G1994" s="15">
        <v>42367</v>
      </c>
      <c r="H1994">
        <f t="shared" si="156"/>
        <v>3</v>
      </c>
      <c r="I1994">
        <f t="shared" si="157"/>
        <v>29</v>
      </c>
      <c r="J1994">
        <f t="shared" si="158"/>
        <v>12</v>
      </c>
      <c r="K1994">
        <f t="shared" si="159"/>
        <v>2015</v>
      </c>
      <c r="M1994">
        <v>7</v>
      </c>
      <c r="N1994" t="str">
        <f>VLOOKUP(M1994,'Cadastro Vendedores'!A:H,2,2)</f>
        <v>Benedito</v>
      </c>
      <c r="O1994" s="2"/>
      <c r="P1994" s="16">
        <v>3200</v>
      </c>
      <c r="Q1994" s="2">
        <f>VLOOKUP(B1994,'Cadastro Produtos'!A:F,5,2)</f>
        <v>15</v>
      </c>
      <c r="R1994" s="14">
        <f t="shared" si="155"/>
        <v>48000</v>
      </c>
    </row>
    <row r="1995" spans="1:18" x14ac:dyDescent="0.25">
      <c r="A1995">
        <v>1994</v>
      </c>
      <c r="B1995">
        <v>8</v>
      </c>
      <c r="C1995" t="str">
        <f>VLOOKUP(B1995,'Cadastro Produtos'!A:E,2,2)</f>
        <v>Limonada Beta Zero 1 L</v>
      </c>
      <c r="D1995">
        <v>15</v>
      </c>
      <c r="E1995" t="str">
        <f>VLOOKUP(D1995,'Cadatro Clientes'!A:O,2,2)</f>
        <v>Limão do Mané</v>
      </c>
      <c r="F1995" t="str">
        <f>VLOOKUP(D1995,'Cadatro Clientes'!A:O,9,2)</f>
        <v>Sul</v>
      </c>
      <c r="G1995" s="15">
        <v>42367</v>
      </c>
      <c r="H1995">
        <f t="shared" si="156"/>
        <v>3</v>
      </c>
      <c r="I1995">
        <f t="shared" si="157"/>
        <v>29</v>
      </c>
      <c r="J1995">
        <f t="shared" si="158"/>
        <v>12</v>
      </c>
      <c r="K1995">
        <f t="shared" si="159"/>
        <v>2015</v>
      </c>
      <c r="M1995">
        <v>3</v>
      </c>
      <c r="N1995" t="str">
        <f>VLOOKUP(M1995,'Cadastro Vendedores'!A:H,2,2)</f>
        <v>Antônia</v>
      </c>
      <c r="O1995" s="2"/>
      <c r="P1995" s="16">
        <v>3000</v>
      </c>
      <c r="Q1995" s="2">
        <f>VLOOKUP(B1995,'Cadastro Produtos'!A:F,5,2)</f>
        <v>12</v>
      </c>
      <c r="R1995" s="14">
        <f t="shared" si="155"/>
        <v>36000</v>
      </c>
    </row>
    <row r="1996" spans="1:18" x14ac:dyDescent="0.25">
      <c r="A1996">
        <v>1995</v>
      </c>
      <c r="B1996">
        <v>6</v>
      </c>
      <c r="C1996" t="str">
        <f>VLOOKUP(B1996,'Cadastro Produtos'!A:E,2,2)</f>
        <v>Limonada Beta com Açúcar 1 L</v>
      </c>
      <c r="D1996">
        <v>5</v>
      </c>
      <c r="E1996" t="str">
        <f>VLOOKUP(D1996,'Cadatro Clientes'!A:O,2,2)</f>
        <v>Axé com Limão</v>
      </c>
      <c r="F1996" t="str">
        <f>VLOOKUP(D1996,'Cadatro Clientes'!A:O,9,2)</f>
        <v>Nordeste</v>
      </c>
      <c r="G1996" s="15">
        <v>42368</v>
      </c>
      <c r="H1996">
        <f t="shared" si="156"/>
        <v>4</v>
      </c>
      <c r="I1996">
        <f t="shared" si="157"/>
        <v>30</v>
      </c>
      <c r="J1996">
        <f t="shared" si="158"/>
        <v>12</v>
      </c>
      <c r="K1996">
        <f t="shared" si="159"/>
        <v>2015</v>
      </c>
      <c r="M1996">
        <v>16</v>
      </c>
      <c r="N1996" t="str">
        <f>VLOOKUP(M1996,'Cadastro Vendedores'!A:H,2,2)</f>
        <v>Jose</v>
      </c>
      <c r="O1996" s="2"/>
      <c r="P1996" s="16">
        <v>3200</v>
      </c>
      <c r="Q1996" s="2">
        <f>VLOOKUP(B1996,'Cadastro Produtos'!A:F,5,2)</f>
        <v>12</v>
      </c>
      <c r="R1996" s="14">
        <f t="shared" si="155"/>
        <v>38400</v>
      </c>
    </row>
    <row r="1997" spans="1:18" x14ac:dyDescent="0.25">
      <c r="A1997">
        <v>1996</v>
      </c>
      <c r="B1997">
        <v>6</v>
      </c>
      <c r="C1997" t="str">
        <f>VLOOKUP(B1997,'Cadastro Produtos'!A:E,2,2)</f>
        <v>Limonada Beta com Açúcar 1 L</v>
      </c>
      <c r="D1997">
        <v>18</v>
      </c>
      <c r="E1997" t="str">
        <f>VLOOKUP(D1997,'Cadatro Clientes'!A:O,2,2)</f>
        <v>Rio Branco Limonada Ltda</v>
      </c>
      <c r="F1997" t="str">
        <f>VLOOKUP(D1997,'Cadatro Clientes'!A:O,9,2)</f>
        <v>Norte</v>
      </c>
      <c r="G1997" s="15">
        <v>42368</v>
      </c>
      <c r="H1997">
        <f t="shared" si="156"/>
        <v>4</v>
      </c>
      <c r="I1997">
        <f t="shared" si="157"/>
        <v>30</v>
      </c>
      <c r="J1997">
        <f t="shared" si="158"/>
        <v>12</v>
      </c>
      <c r="K1997">
        <f t="shared" si="159"/>
        <v>2015</v>
      </c>
      <c r="M1997">
        <v>6</v>
      </c>
      <c r="N1997" t="str">
        <f>VLOOKUP(M1997,'Cadastro Vendedores'!A:H,2,2)</f>
        <v>Antônia</v>
      </c>
      <c r="O1997" s="2"/>
      <c r="P1997" s="16">
        <v>3700</v>
      </c>
      <c r="Q1997" s="2">
        <f>VLOOKUP(B1997,'Cadastro Produtos'!A:F,5,2)</f>
        <v>12</v>
      </c>
      <c r="R1997" s="14">
        <f t="shared" si="155"/>
        <v>44400</v>
      </c>
    </row>
    <row r="1998" spans="1:18" x14ac:dyDescent="0.25">
      <c r="A1998">
        <v>1997</v>
      </c>
      <c r="B1998">
        <v>3</v>
      </c>
      <c r="C1998" t="str">
        <f>VLOOKUP(B1998,'Cadastro Produtos'!A:E,2,2)</f>
        <v>Limonada Alfa Zero 500 ml</v>
      </c>
      <c r="D1998">
        <v>15</v>
      </c>
      <c r="E1998" t="str">
        <f>VLOOKUP(D1998,'Cadatro Clientes'!A:O,2,2)</f>
        <v>Limão do Mané</v>
      </c>
      <c r="F1998" t="str">
        <f>VLOOKUP(D1998,'Cadatro Clientes'!A:O,9,2)</f>
        <v>Sul</v>
      </c>
      <c r="G1998" s="15">
        <v>42368</v>
      </c>
      <c r="H1998">
        <f t="shared" si="156"/>
        <v>4</v>
      </c>
      <c r="I1998">
        <f t="shared" si="157"/>
        <v>30</v>
      </c>
      <c r="J1998">
        <f t="shared" si="158"/>
        <v>12</v>
      </c>
      <c r="K1998">
        <f t="shared" si="159"/>
        <v>2015</v>
      </c>
      <c r="M1998">
        <v>6</v>
      </c>
      <c r="N1998" t="str">
        <f>VLOOKUP(M1998,'Cadastro Vendedores'!A:H,2,2)</f>
        <v>Antônia</v>
      </c>
      <c r="O1998" s="2"/>
      <c r="P1998" s="16">
        <v>5800</v>
      </c>
      <c r="Q1998" s="2">
        <f>VLOOKUP(B1998,'Cadastro Produtos'!A:F,5,2)</f>
        <v>9</v>
      </c>
      <c r="R1998" s="14">
        <f t="shared" si="155"/>
        <v>52200</v>
      </c>
    </row>
    <row r="1999" spans="1:18" x14ac:dyDescent="0.25">
      <c r="A1999">
        <v>1998</v>
      </c>
      <c r="B1999">
        <v>3</v>
      </c>
      <c r="C1999" t="str">
        <f>VLOOKUP(B1999,'Cadastro Produtos'!A:E,2,2)</f>
        <v>Limonada Alfa Zero 500 ml</v>
      </c>
      <c r="D1999">
        <v>10</v>
      </c>
      <c r="E1999" t="str">
        <f>VLOOKUP(D1999,'Cadatro Clientes'!A:O,2,2)</f>
        <v>Lemon Gator</v>
      </c>
      <c r="F1999" t="str">
        <f>VLOOKUP(D1999,'Cadatro Clientes'!A:O,9,2)</f>
        <v>Nordeste</v>
      </c>
      <c r="G1999" s="15">
        <v>42369</v>
      </c>
      <c r="H1999">
        <f t="shared" si="156"/>
        <v>5</v>
      </c>
      <c r="I1999">
        <f t="shared" si="157"/>
        <v>31</v>
      </c>
      <c r="J1999">
        <f t="shared" si="158"/>
        <v>12</v>
      </c>
      <c r="K1999">
        <f t="shared" si="159"/>
        <v>2015</v>
      </c>
      <c r="M1999">
        <v>7</v>
      </c>
      <c r="N1999" t="str">
        <f>VLOOKUP(M1999,'Cadastro Vendedores'!A:H,2,2)</f>
        <v>Benedito</v>
      </c>
      <c r="O1999" s="2"/>
      <c r="P1999" s="16">
        <v>6100</v>
      </c>
      <c r="Q1999" s="2">
        <f>VLOOKUP(B1999,'Cadastro Produtos'!A:F,5,2)</f>
        <v>9</v>
      </c>
      <c r="R1999" s="14">
        <f t="shared" si="155"/>
        <v>54900</v>
      </c>
    </row>
    <row r="2000" spans="1:18" x14ac:dyDescent="0.25">
      <c r="A2000">
        <v>1999</v>
      </c>
      <c r="B2000">
        <v>8</v>
      </c>
      <c r="C2000" t="str">
        <f>VLOOKUP(B2000,'Cadastro Produtos'!A:E,2,2)</f>
        <v>Limonada Beta Zero 1 L</v>
      </c>
      <c r="D2000">
        <v>10</v>
      </c>
      <c r="E2000" t="str">
        <f>VLOOKUP(D2000,'Cadatro Clientes'!A:O,2,2)</f>
        <v>Lemon Gator</v>
      </c>
      <c r="F2000" t="str">
        <f>VLOOKUP(D2000,'Cadatro Clientes'!A:O,9,2)</f>
        <v>Nordeste</v>
      </c>
      <c r="G2000" s="15">
        <v>42369</v>
      </c>
      <c r="H2000">
        <f t="shared" si="156"/>
        <v>5</v>
      </c>
      <c r="I2000">
        <f t="shared" si="157"/>
        <v>31</v>
      </c>
      <c r="J2000">
        <f t="shared" si="158"/>
        <v>12</v>
      </c>
      <c r="K2000">
        <f t="shared" si="159"/>
        <v>2015</v>
      </c>
      <c r="M2000">
        <v>3</v>
      </c>
      <c r="N2000" t="str">
        <f>VLOOKUP(M2000,'Cadastro Vendedores'!A:H,2,2)</f>
        <v>Antônia</v>
      </c>
      <c r="O2000" s="2"/>
      <c r="P2000" s="16">
        <v>3800</v>
      </c>
      <c r="Q2000" s="2">
        <f>VLOOKUP(B2000,'Cadastro Produtos'!A:F,5,2)</f>
        <v>12</v>
      </c>
      <c r="R2000" s="14">
        <f t="shared" si="155"/>
        <v>45600</v>
      </c>
    </row>
    <row r="2001" spans="1:18" x14ac:dyDescent="0.25">
      <c r="A2001">
        <v>2000</v>
      </c>
      <c r="B2001">
        <v>10</v>
      </c>
      <c r="C2001" t="str">
        <f>VLOOKUP(B2001,'Cadastro Produtos'!A:E,2,2)</f>
        <v>Limonada Alfa com Hortelã Zero 1 L</v>
      </c>
      <c r="D2001">
        <v>20</v>
      </c>
      <c r="E2001" t="str">
        <f>VLOOKUP(D2001,'Cadatro Clientes'!A:O,2,2)</f>
        <v>Brasil Saúde</v>
      </c>
      <c r="F2001" t="str">
        <f>VLOOKUP(D2001,'Cadatro Clientes'!A:O,9,2)</f>
        <v>Nordeste</v>
      </c>
      <c r="G2001" s="15">
        <v>42369</v>
      </c>
      <c r="H2001">
        <f t="shared" si="156"/>
        <v>5</v>
      </c>
      <c r="I2001">
        <f t="shared" si="157"/>
        <v>31</v>
      </c>
      <c r="J2001">
        <f t="shared" si="158"/>
        <v>12</v>
      </c>
      <c r="K2001">
        <f t="shared" si="159"/>
        <v>2015</v>
      </c>
      <c r="M2001">
        <v>9</v>
      </c>
      <c r="N2001" t="str">
        <f>VLOOKUP(M2001,'Cadastro Vendedores'!A:H,2,2)</f>
        <v>Adriana</v>
      </c>
      <c r="O2001" s="2"/>
      <c r="P2001" s="16">
        <v>2300</v>
      </c>
      <c r="Q2001" s="2">
        <f>VLOOKUP(B2001,'Cadastro Produtos'!A:F,5,2)</f>
        <v>21</v>
      </c>
      <c r="R2001" s="14">
        <f t="shared" si="155"/>
        <v>48300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11"/>
  <sheetViews>
    <sheetView workbookViewId="0">
      <selection activeCell="T69" sqref="T69"/>
    </sheetView>
  </sheetViews>
  <sheetFormatPr defaultColWidth="8" defaultRowHeight="15" x14ac:dyDescent="0.25"/>
  <cols>
    <col min="1" max="1" width="5" bestFit="1" customWidth="1"/>
    <col min="2" max="2" width="36.140625" bestFit="1" customWidth="1"/>
    <col min="3" max="3" width="18.42578125" customWidth="1"/>
    <col min="4" max="4" width="10.5703125" style="4" bestFit="1" customWidth="1"/>
    <col min="5" max="5" width="14.42578125" bestFit="1" customWidth="1"/>
  </cols>
  <sheetData>
    <row r="1" spans="1:6" ht="33" customHeight="1" x14ac:dyDescent="0.25">
      <c r="A1" s="1" t="s">
        <v>0</v>
      </c>
      <c r="B1" s="1" t="s">
        <v>2</v>
      </c>
      <c r="C1" s="1" t="s">
        <v>11</v>
      </c>
      <c r="D1" s="1" t="s">
        <v>12</v>
      </c>
      <c r="E1" s="1" t="s">
        <v>13</v>
      </c>
      <c r="F1" s="1" t="s">
        <v>14</v>
      </c>
    </row>
    <row r="2" spans="1:6" x14ac:dyDescent="0.25">
      <c r="A2">
        <v>1</v>
      </c>
      <c r="B2" t="s">
        <v>15</v>
      </c>
      <c r="C2" s="2">
        <v>6.2200000000000006</v>
      </c>
      <c r="D2" s="3">
        <v>0.3</v>
      </c>
      <c r="E2" s="2">
        <v>8.5</v>
      </c>
      <c r="F2" s="4" t="s">
        <v>16</v>
      </c>
    </row>
    <row r="3" spans="1:6" x14ac:dyDescent="0.25">
      <c r="A3">
        <v>2</v>
      </c>
      <c r="B3" t="s">
        <v>17</v>
      </c>
      <c r="C3" s="2">
        <v>6.07</v>
      </c>
      <c r="D3" s="3">
        <v>0.05</v>
      </c>
      <c r="E3" s="2">
        <v>6.5</v>
      </c>
      <c r="F3" s="4" t="s">
        <v>16</v>
      </c>
    </row>
    <row r="4" spans="1:6" x14ac:dyDescent="0.25">
      <c r="A4">
        <v>3</v>
      </c>
      <c r="B4" t="s">
        <v>18</v>
      </c>
      <c r="C4" s="2">
        <v>3.92</v>
      </c>
      <c r="D4" s="3">
        <v>1.2</v>
      </c>
      <c r="E4" s="2">
        <v>9</v>
      </c>
      <c r="F4" s="4" t="s">
        <v>16</v>
      </c>
    </row>
    <row r="5" spans="1:6" x14ac:dyDescent="0.25">
      <c r="A5">
        <v>4</v>
      </c>
      <c r="B5" t="s">
        <v>19</v>
      </c>
      <c r="C5" s="2">
        <v>3.77</v>
      </c>
      <c r="D5" s="3">
        <v>0.75</v>
      </c>
      <c r="E5" s="2">
        <v>7</v>
      </c>
      <c r="F5" s="4" t="s">
        <v>16</v>
      </c>
    </row>
    <row r="6" spans="1:6" x14ac:dyDescent="0.25">
      <c r="A6">
        <v>5</v>
      </c>
      <c r="B6" t="s">
        <v>20</v>
      </c>
      <c r="C6" s="2">
        <v>11.39</v>
      </c>
      <c r="D6" s="3">
        <v>0.3</v>
      </c>
      <c r="E6" s="2">
        <v>15</v>
      </c>
      <c r="F6" s="4" t="s">
        <v>16</v>
      </c>
    </row>
    <row r="7" spans="1:6" x14ac:dyDescent="0.25">
      <c r="A7">
        <v>6</v>
      </c>
      <c r="B7" t="s">
        <v>21</v>
      </c>
      <c r="C7" s="2">
        <v>11.19</v>
      </c>
      <c r="D7" s="3">
        <v>0.05</v>
      </c>
      <c r="E7" s="2">
        <v>12</v>
      </c>
      <c r="F7" s="4" t="s">
        <v>16</v>
      </c>
    </row>
    <row r="8" spans="1:6" x14ac:dyDescent="0.25">
      <c r="A8">
        <v>7</v>
      </c>
      <c r="B8" t="s">
        <v>22</v>
      </c>
      <c r="C8" s="2">
        <v>6.7899999999999991</v>
      </c>
      <c r="D8" s="3">
        <v>1.2</v>
      </c>
      <c r="E8" s="2">
        <v>15</v>
      </c>
      <c r="F8" s="4" t="s">
        <v>16</v>
      </c>
    </row>
    <row r="9" spans="1:6" x14ac:dyDescent="0.25">
      <c r="A9">
        <v>8</v>
      </c>
      <c r="B9" t="s">
        <v>23</v>
      </c>
      <c r="C9" s="2">
        <v>6.64</v>
      </c>
      <c r="D9" s="3">
        <v>0.75</v>
      </c>
      <c r="E9" s="2">
        <v>12</v>
      </c>
      <c r="F9" s="4" t="s">
        <v>16</v>
      </c>
    </row>
    <row r="10" spans="1:6" x14ac:dyDescent="0.25">
      <c r="A10">
        <v>9</v>
      </c>
      <c r="B10" t="s">
        <v>24</v>
      </c>
      <c r="C10" s="2">
        <v>11.39</v>
      </c>
      <c r="D10" s="3">
        <v>0.5</v>
      </c>
      <c r="E10" s="2">
        <v>17.5</v>
      </c>
      <c r="F10" s="4" t="s">
        <v>16</v>
      </c>
    </row>
    <row r="11" spans="1:6" x14ac:dyDescent="0.25">
      <c r="A11">
        <v>10</v>
      </c>
      <c r="B11" t="s">
        <v>25</v>
      </c>
      <c r="C11" s="2">
        <v>6.8999999999999995</v>
      </c>
      <c r="D11" s="3">
        <v>2</v>
      </c>
      <c r="E11" s="2">
        <v>21</v>
      </c>
      <c r="F11" s="4" t="s">
        <v>16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1"/>
  <sheetViews>
    <sheetView workbookViewId="0">
      <selection activeCell="K24" sqref="K24"/>
    </sheetView>
  </sheetViews>
  <sheetFormatPr defaultRowHeight="15" x14ac:dyDescent="0.25"/>
  <cols>
    <col min="3" max="3" width="9.7109375" bestFit="1" customWidth="1"/>
    <col min="10" max="10" width="18.28515625" bestFit="1" customWidth="1"/>
    <col min="13" max="13" width="16.28515625" bestFit="1" customWidth="1"/>
  </cols>
  <sheetData>
    <row r="1" spans="1:15" x14ac:dyDescent="0.25">
      <c r="A1" s="20" t="s">
        <v>26</v>
      </c>
      <c r="B1" s="21" t="s">
        <v>4</v>
      </c>
      <c r="C1" s="20" t="s">
        <v>27</v>
      </c>
      <c r="D1" s="21" t="s">
        <v>28</v>
      </c>
      <c r="E1" s="20" t="s">
        <v>29</v>
      </c>
      <c r="F1" s="21" t="s">
        <v>30</v>
      </c>
      <c r="G1" s="20" t="s">
        <v>31</v>
      </c>
      <c r="H1" s="21" t="s">
        <v>32</v>
      </c>
      <c r="I1" s="21" t="s">
        <v>5</v>
      </c>
      <c r="J1" s="21" t="s">
        <v>33</v>
      </c>
      <c r="K1" s="20" t="s">
        <v>34</v>
      </c>
      <c r="L1" s="21" t="s">
        <v>35</v>
      </c>
      <c r="M1" s="21" t="s">
        <v>36</v>
      </c>
      <c r="N1" s="21" t="s">
        <v>37</v>
      </c>
      <c r="O1" s="21" t="s">
        <v>38</v>
      </c>
    </row>
    <row r="2" spans="1:15" x14ac:dyDescent="0.25">
      <c r="A2" s="4">
        <v>1</v>
      </c>
      <c r="B2" t="s">
        <v>39</v>
      </c>
      <c r="C2" s="7">
        <v>69042221</v>
      </c>
      <c r="D2" t="s">
        <v>100</v>
      </c>
      <c r="E2" s="4">
        <v>718</v>
      </c>
      <c r="F2" t="s">
        <v>101</v>
      </c>
      <c r="G2" s="4" t="s">
        <v>102</v>
      </c>
      <c r="H2" t="s">
        <v>40</v>
      </c>
      <c r="I2" t="s">
        <v>103</v>
      </c>
      <c r="J2" s="8">
        <v>41657</v>
      </c>
      <c r="K2" s="9">
        <v>92</v>
      </c>
      <c r="L2" s="10">
        <v>34437496</v>
      </c>
      <c r="M2" s="11">
        <v>9234437496</v>
      </c>
      <c r="N2" s="12" t="s">
        <v>41</v>
      </c>
      <c r="O2" t="s">
        <v>42</v>
      </c>
    </row>
    <row r="3" spans="1:15" x14ac:dyDescent="0.25">
      <c r="A3" s="4">
        <v>2</v>
      </c>
      <c r="B3" t="s">
        <v>43</v>
      </c>
      <c r="C3" s="7">
        <v>78098676</v>
      </c>
      <c r="D3" t="s">
        <v>104</v>
      </c>
      <c r="E3" s="4">
        <v>672</v>
      </c>
      <c r="F3" t="s">
        <v>105</v>
      </c>
      <c r="G3" s="4" t="s">
        <v>106</v>
      </c>
      <c r="H3" t="s">
        <v>40</v>
      </c>
      <c r="I3" t="s">
        <v>107</v>
      </c>
      <c r="J3" s="8">
        <v>41657</v>
      </c>
      <c r="K3" s="9">
        <v>65</v>
      </c>
      <c r="L3" s="10">
        <v>34423260</v>
      </c>
      <c r="M3" s="11">
        <v>6534423260</v>
      </c>
      <c r="N3" s="12" t="s">
        <v>44</v>
      </c>
      <c r="O3" t="s">
        <v>45</v>
      </c>
    </row>
    <row r="4" spans="1:15" x14ac:dyDescent="0.25">
      <c r="A4" s="4">
        <v>3</v>
      </c>
      <c r="B4" t="s">
        <v>46</v>
      </c>
      <c r="C4" s="7">
        <v>57630000</v>
      </c>
      <c r="D4" t="s">
        <v>108</v>
      </c>
      <c r="E4" s="4">
        <v>354</v>
      </c>
      <c r="F4" t="s">
        <v>109</v>
      </c>
      <c r="G4" s="4" t="s">
        <v>110</v>
      </c>
      <c r="H4" t="s">
        <v>40</v>
      </c>
      <c r="I4" t="s">
        <v>111</v>
      </c>
      <c r="J4" s="8">
        <v>41658</v>
      </c>
      <c r="K4" s="9">
        <v>82</v>
      </c>
      <c r="L4" s="10">
        <v>34426868</v>
      </c>
      <c r="M4" s="11">
        <v>8234426868</v>
      </c>
      <c r="N4" s="12" t="s">
        <v>47</v>
      </c>
      <c r="O4" t="s">
        <v>48</v>
      </c>
    </row>
    <row r="5" spans="1:15" x14ac:dyDescent="0.25">
      <c r="A5" s="4">
        <v>4</v>
      </c>
      <c r="B5" t="s">
        <v>49</v>
      </c>
      <c r="C5" s="7">
        <v>20021040</v>
      </c>
      <c r="D5" t="s">
        <v>112</v>
      </c>
      <c r="E5" s="4">
        <v>229</v>
      </c>
      <c r="F5" t="s">
        <v>113</v>
      </c>
      <c r="G5" s="4" t="s">
        <v>114</v>
      </c>
      <c r="H5" t="s">
        <v>40</v>
      </c>
      <c r="I5" t="s">
        <v>115</v>
      </c>
      <c r="J5" s="8">
        <v>41672</v>
      </c>
      <c r="K5" s="9">
        <v>21</v>
      </c>
      <c r="L5" s="10">
        <v>34415520</v>
      </c>
      <c r="M5" s="11">
        <v>2134415520</v>
      </c>
      <c r="N5" s="12" t="s">
        <v>50</v>
      </c>
      <c r="O5" t="s">
        <v>51</v>
      </c>
    </row>
    <row r="6" spans="1:15" x14ac:dyDescent="0.25">
      <c r="A6" s="4">
        <v>5</v>
      </c>
      <c r="B6" t="s">
        <v>52</v>
      </c>
      <c r="C6" s="7">
        <v>40313015</v>
      </c>
      <c r="D6" t="s">
        <v>116</v>
      </c>
      <c r="E6" s="4">
        <v>151</v>
      </c>
      <c r="F6" t="s">
        <v>117</v>
      </c>
      <c r="G6" s="4" t="s">
        <v>118</v>
      </c>
      <c r="H6" t="s">
        <v>40</v>
      </c>
      <c r="I6" t="s">
        <v>111</v>
      </c>
      <c r="J6" s="8">
        <v>41706</v>
      </c>
      <c r="K6" s="9">
        <v>71</v>
      </c>
      <c r="L6" s="10">
        <v>34448908</v>
      </c>
      <c r="M6" s="11">
        <v>7134448908</v>
      </c>
      <c r="N6" s="12" t="s">
        <v>53</v>
      </c>
      <c r="O6" t="s">
        <v>54</v>
      </c>
    </row>
    <row r="7" spans="1:15" x14ac:dyDescent="0.25">
      <c r="A7" s="4">
        <v>6</v>
      </c>
      <c r="B7" t="s">
        <v>55</v>
      </c>
      <c r="C7" s="7">
        <v>69370000</v>
      </c>
      <c r="D7" t="s">
        <v>119</v>
      </c>
      <c r="E7" s="4">
        <v>286</v>
      </c>
      <c r="F7" t="s">
        <v>120</v>
      </c>
      <c r="G7" s="4" t="s">
        <v>121</v>
      </c>
      <c r="H7" t="s">
        <v>40</v>
      </c>
      <c r="I7" t="s">
        <v>103</v>
      </c>
      <c r="J7" s="8">
        <v>41710</v>
      </c>
      <c r="K7" s="9">
        <v>95</v>
      </c>
      <c r="L7" s="10">
        <v>34436554</v>
      </c>
      <c r="M7" s="11">
        <v>9534436554</v>
      </c>
      <c r="N7" s="12" t="s">
        <v>56</v>
      </c>
      <c r="O7" t="s">
        <v>57</v>
      </c>
    </row>
    <row r="8" spans="1:15" x14ac:dyDescent="0.25">
      <c r="A8" s="4">
        <v>7</v>
      </c>
      <c r="B8" t="s">
        <v>58</v>
      </c>
      <c r="C8" s="7">
        <v>76600000</v>
      </c>
      <c r="D8" t="s">
        <v>122</v>
      </c>
      <c r="E8" s="4">
        <v>692</v>
      </c>
      <c r="F8" t="s">
        <v>123</v>
      </c>
      <c r="G8" s="4" t="s">
        <v>124</v>
      </c>
      <c r="H8" t="s">
        <v>40</v>
      </c>
      <c r="I8" t="s">
        <v>107</v>
      </c>
      <c r="J8" s="8">
        <v>41719</v>
      </c>
      <c r="K8" s="9">
        <v>62</v>
      </c>
      <c r="L8" s="10">
        <v>34448192</v>
      </c>
      <c r="M8" s="11">
        <v>6234448192</v>
      </c>
      <c r="N8" s="12" t="s">
        <v>59</v>
      </c>
      <c r="O8" t="s">
        <v>60</v>
      </c>
    </row>
    <row r="9" spans="1:15" x14ac:dyDescent="0.25">
      <c r="A9" s="4">
        <v>8</v>
      </c>
      <c r="B9" t="s">
        <v>61</v>
      </c>
      <c r="C9" s="7">
        <v>90570020</v>
      </c>
      <c r="D9" t="s">
        <v>125</v>
      </c>
      <c r="E9" s="4">
        <v>691</v>
      </c>
      <c r="F9" t="s">
        <v>126</v>
      </c>
      <c r="G9" s="4" t="s">
        <v>127</v>
      </c>
      <c r="H9" t="s">
        <v>40</v>
      </c>
      <c r="I9" t="s">
        <v>128</v>
      </c>
      <c r="J9" s="8">
        <v>41738</v>
      </c>
      <c r="K9" s="9">
        <v>51</v>
      </c>
      <c r="L9" s="10">
        <v>34421603</v>
      </c>
      <c r="M9" s="11">
        <v>5134421603</v>
      </c>
      <c r="N9" s="12" t="s">
        <v>62</v>
      </c>
      <c r="O9" t="s">
        <v>63</v>
      </c>
    </row>
    <row r="10" spans="1:15" x14ac:dyDescent="0.25">
      <c r="A10" s="4">
        <v>9</v>
      </c>
      <c r="B10" t="s">
        <v>64</v>
      </c>
      <c r="C10" s="7">
        <v>29030185</v>
      </c>
      <c r="D10" t="s">
        <v>129</v>
      </c>
      <c r="E10" s="4">
        <v>195</v>
      </c>
      <c r="F10" t="s">
        <v>130</v>
      </c>
      <c r="G10" s="4" t="s">
        <v>131</v>
      </c>
      <c r="H10" t="s">
        <v>40</v>
      </c>
      <c r="I10" t="s">
        <v>115</v>
      </c>
      <c r="J10" s="8">
        <v>41741</v>
      </c>
      <c r="K10" s="9">
        <v>27</v>
      </c>
      <c r="L10" s="10">
        <v>34431777</v>
      </c>
      <c r="M10" s="11">
        <v>2734431777</v>
      </c>
      <c r="N10" s="12" t="s">
        <v>65</v>
      </c>
      <c r="O10" t="s">
        <v>66</v>
      </c>
    </row>
    <row r="11" spans="1:15" x14ac:dyDescent="0.25">
      <c r="A11" s="4">
        <v>10</v>
      </c>
      <c r="B11" t="s">
        <v>67</v>
      </c>
      <c r="C11" s="7">
        <v>58123000</v>
      </c>
      <c r="D11" t="s">
        <v>132</v>
      </c>
      <c r="E11" s="4">
        <v>67</v>
      </c>
      <c r="F11" t="s">
        <v>133</v>
      </c>
      <c r="G11" s="4" t="s">
        <v>134</v>
      </c>
      <c r="H11" t="s">
        <v>40</v>
      </c>
      <c r="I11" t="s">
        <v>111</v>
      </c>
      <c r="J11" s="8">
        <v>41760</v>
      </c>
      <c r="K11" s="9">
        <v>95</v>
      </c>
      <c r="L11" s="10">
        <v>34412003</v>
      </c>
      <c r="M11" s="11">
        <v>9534412003</v>
      </c>
      <c r="N11" s="12" t="s">
        <v>68</v>
      </c>
      <c r="O11" t="s">
        <v>69</v>
      </c>
    </row>
    <row r="12" spans="1:15" x14ac:dyDescent="0.25">
      <c r="A12" s="4">
        <v>11</v>
      </c>
      <c r="B12" t="s">
        <v>70</v>
      </c>
      <c r="C12" s="7">
        <v>80410140</v>
      </c>
      <c r="D12" t="s">
        <v>135</v>
      </c>
      <c r="E12" s="4">
        <v>754</v>
      </c>
      <c r="F12" t="s">
        <v>136</v>
      </c>
      <c r="G12" s="4" t="s">
        <v>137</v>
      </c>
      <c r="H12" t="s">
        <v>40</v>
      </c>
      <c r="I12" t="s">
        <v>128</v>
      </c>
      <c r="J12" s="8">
        <v>41775</v>
      </c>
      <c r="K12" s="9">
        <v>41</v>
      </c>
      <c r="L12" s="10">
        <v>34428122</v>
      </c>
      <c r="M12" s="11">
        <v>4134428122</v>
      </c>
      <c r="N12" s="12" t="s">
        <v>71</v>
      </c>
      <c r="O12" t="s">
        <v>72</v>
      </c>
    </row>
    <row r="13" spans="1:15" x14ac:dyDescent="0.25">
      <c r="A13" s="4">
        <v>12</v>
      </c>
      <c r="B13" t="s">
        <v>73</v>
      </c>
      <c r="C13" s="7">
        <v>88010050</v>
      </c>
      <c r="D13" t="s">
        <v>138</v>
      </c>
      <c r="E13" s="4">
        <v>489</v>
      </c>
      <c r="F13" t="s">
        <v>139</v>
      </c>
      <c r="G13" s="4" t="s">
        <v>140</v>
      </c>
      <c r="H13" t="s">
        <v>40</v>
      </c>
      <c r="I13" t="s">
        <v>128</v>
      </c>
      <c r="J13" s="8">
        <v>41817</v>
      </c>
      <c r="K13" s="9">
        <v>48</v>
      </c>
      <c r="L13" s="10">
        <v>34424930</v>
      </c>
      <c r="M13" s="11">
        <v>4834424930</v>
      </c>
      <c r="N13" s="12" t="s">
        <v>74</v>
      </c>
      <c r="O13" t="s">
        <v>75</v>
      </c>
    </row>
    <row r="14" spans="1:15" x14ac:dyDescent="0.25">
      <c r="A14" s="4">
        <v>13</v>
      </c>
      <c r="B14" t="s">
        <v>76</v>
      </c>
      <c r="C14" s="7">
        <v>59014016</v>
      </c>
      <c r="D14" t="s">
        <v>141</v>
      </c>
      <c r="E14" s="4">
        <v>590</v>
      </c>
      <c r="F14" t="s">
        <v>142</v>
      </c>
      <c r="G14" s="4" t="s">
        <v>143</v>
      </c>
      <c r="H14" t="s">
        <v>40</v>
      </c>
      <c r="I14" t="s">
        <v>111</v>
      </c>
      <c r="J14" s="8">
        <v>41827</v>
      </c>
      <c r="K14" s="9">
        <v>84</v>
      </c>
      <c r="L14" s="10">
        <v>34416589</v>
      </c>
      <c r="M14" s="11">
        <v>8434416589</v>
      </c>
      <c r="N14" s="12" t="s">
        <v>77</v>
      </c>
      <c r="O14" t="s">
        <v>78</v>
      </c>
    </row>
    <row r="15" spans="1:15" x14ac:dyDescent="0.25">
      <c r="A15" s="4">
        <v>14</v>
      </c>
      <c r="B15" t="s">
        <v>79</v>
      </c>
      <c r="C15" s="7">
        <v>78916620</v>
      </c>
      <c r="D15" t="s">
        <v>144</v>
      </c>
      <c r="E15" s="4">
        <v>643</v>
      </c>
      <c r="F15" t="s">
        <v>145</v>
      </c>
      <c r="G15" s="4" t="s">
        <v>146</v>
      </c>
      <c r="H15" t="s">
        <v>40</v>
      </c>
      <c r="I15" t="s">
        <v>103</v>
      </c>
      <c r="J15" s="8">
        <v>41870</v>
      </c>
      <c r="K15" s="9">
        <v>69</v>
      </c>
      <c r="L15" s="10">
        <v>34420808</v>
      </c>
      <c r="M15" s="11">
        <v>6934420808</v>
      </c>
      <c r="N15" s="12" t="s">
        <v>80</v>
      </c>
      <c r="O15" t="s">
        <v>81</v>
      </c>
    </row>
    <row r="16" spans="1:15" x14ac:dyDescent="0.25">
      <c r="A16" s="4">
        <v>15</v>
      </c>
      <c r="B16" t="s">
        <v>82</v>
      </c>
      <c r="C16" s="7">
        <v>88010140</v>
      </c>
      <c r="D16" t="s">
        <v>147</v>
      </c>
      <c r="E16" s="4">
        <v>894</v>
      </c>
      <c r="F16" t="s">
        <v>139</v>
      </c>
      <c r="G16" s="4" t="s">
        <v>140</v>
      </c>
      <c r="H16" t="s">
        <v>40</v>
      </c>
      <c r="I16" t="s">
        <v>128</v>
      </c>
      <c r="J16" s="8">
        <v>41881</v>
      </c>
      <c r="K16" s="9">
        <v>48</v>
      </c>
      <c r="L16" s="10">
        <v>34432597</v>
      </c>
      <c r="M16" s="11">
        <v>4834432597</v>
      </c>
      <c r="N16" s="12" t="s">
        <v>83</v>
      </c>
      <c r="O16" t="s">
        <v>84</v>
      </c>
    </row>
    <row r="17" spans="1:15" x14ac:dyDescent="0.25">
      <c r="A17" s="4">
        <v>16</v>
      </c>
      <c r="B17" t="s">
        <v>85</v>
      </c>
      <c r="C17" s="7">
        <v>58010020</v>
      </c>
      <c r="D17" t="s">
        <v>148</v>
      </c>
      <c r="E17" s="4">
        <v>372</v>
      </c>
      <c r="F17" t="s">
        <v>149</v>
      </c>
      <c r="G17" s="4" t="s">
        <v>134</v>
      </c>
      <c r="H17" t="s">
        <v>40</v>
      </c>
      <c r="I17" t="s">
        <v>111</v>
      </c>
      <c r="J17" s="8">
        <v>41907</v>
      </c>
      <c r="K17" s="9">
        <v>83</v>
      </c>
      <c r="L17" s="10">
        <v>34439040</v>
      </c>
      <c r="M17" s="11">
        <v>8334439040</v>
      </c>
      <c r="N17" s="12" t="s">
        <v>86</v>
      </c>
      <c r="O17" t="s">
        <v>87</v>
      </c>
    </row>
    <row r="18" spans="1:15" x14ac:dyDescent="0.25">
      <c r="A18" s="4">
        <v>17</v>
      </c>
      <c r="B18" t="s">
        <v>88</v>
      </c>
      <c r="C18" s="7">
        <v>49027390</v>
      </c>
      <c r="D18" t="s">
        <v>104</v>
      </c>
      <c r="E18" s="4">
        <v>793</v>
      </c>
      <c r="F18" t="s">
        <v>150</v>
      </c>
      <c r="G18" s="4" t="s">
        <v>151</v>
      </c>
      <c r="H18" t="s">
        <v>40</v>
      </c>
      <c r="I18" t="s">
        <v>111</v>
      </c>
      <c r="J18" s="8">
        <v>41939</v>
      </c>
      <c r="K18" s="9">
        <v>79</v>
      </c>
      <c r="L18" s="10">
        <v>34431418</v>
      </c>
      <c r="M18" s="11">
        <v>7934431418</v>
      </c>
      <c r="N18" s="12" t="s">
        <v>89</v>
      </c>
      <c r="O18" t="s">
        <v>90</v>
      </c>
    </row>
    <row r="19" spans="1:15" x14ac:dyDescent="0.25">
      <c r="A19" s="4">
        <v>18</v>
      </c>
      <c r="B19" t="s">
        <v>91</v>
      </c>
      <c r="C19" s="7">
        <v>69911710</v>
      </c>
      <c r="D19" t="s">
        <v>152</v>
      </c>
      <c r="E19" s="4">
        <v>487</v>
      </c>
      <c r="F19" t="s">
        <v>153</v>
      </c>
      <c r="G19" s="4" t="s">
        <v>154</v>
      </c>
      <c r="H19" t="s">
        <v>40</v>
      </c>
      <c r="I19" t="s">
        <v>103</v>
      </c>
      <c r="J19" s="8">
        <v>41948</v>
      </c>
      <c r="K19" s="9">
        <v>68</v>
      </c>
      <c r="L19" s="10">
        <v>34431406</v>
      </c>
      <c r="M19" s="11">
        <v>6834431406</v>
      </c>
      <c r="N19" s="12" t="s">
        <v>92</v>
      </c>
      <c r="O19" t="s">
        <v>93</v>
      </c>
    </row>
    <row r="20" spans="1:15" x14ac:dyDescent="0.25">
      <c r="A20" s="4">
        <v>19</v>
      </c>
      <c r="B20" t="s">
        <v>94</v>
      </c>
      <c r="C20" s="7">
        <v>1005000</v>
      </c>
      <c r="D20" t="s">
        <v>155</v>
      </c>
      <c r="E20" s="4">
        <v>13</v>
      </c>
      <c r="F20" t="s">
        <v>156</v>
      </c>
      <c r="G20" s="4" t="s">
        <v>157</v>
      </c>
      <c r="H20" t="s">
        <v>40</v>
      </c>
      <c r="I20" t="s">
        <v>115</v>
      </c>
      <c r="J20" s="8">
        <v>41969</v>
      </c>
      <c r="K20" s="9">
        <v>11</v>
      </c>
      <c r="L20" s="10">
        <v>34416428</v>
      </c>
      <c r="M20" s="11">
        <v>1134416428</v>
      </c>
      <c r="N20" s="12" t="s">
        <v>95</v>
      </c>
      <c r="O20" t="s">
        <v>96</v>
      </c>
    </row>
    <row r="21" spans="1:15" x14ac:dyDescent="0.25">
      <c r="A21" s="22">
        <v>20</v>
      </c>
      <c r="B21" s="23" t="s">
        <v>97</v>
      </c>
      <c r="C21" s="24">
        <v>60010010</v>
      </c>
      <c r="D21" s="23" t="s">
        <v>158</v>
      </c>
      <c r="E21" s="22">
        <v>772</v>
      </c>
      <c r="F21" s="23" t="s">
        <v>159</v>
      </c>
      <c r="G21" s="22" t="s">
        <v>160</v>
      </c>
      <c r="H21" s="23" t="s">
        <v>40</v>
      </c>
      <c r="I21" s="23" t="s">
        <v>111</v>
      </c>
      <c r="J21" s="25">
        <v>41995</v>
      </c>
      <c r="K21" s="26">
        <v>85</v>
      </c>
      <c r="L21" s="27">
        <v>34436477</v>
      </c>
      <c r="M21" s="28">
        <v>8534436477</v>
      </c>
      <c r="N21" s="29" t="s">
        <v>98</v>
      </c>
      <c r="O21" s="23" t="s">
        <v>99</v>
      </c>
    </row>
  </sheetData>
  <hyperlinks>
    <hyperlink ref="N5" r:id="rId1" xr:uid="{00000000-0004-0000-0200-000000000000}"/>
    <hyperlink ref="N6" r:id="rId2" xr:uid="{00000000-0004-0000-0200-000001000000}"/>
    <hyperlink ref="N9" r:id="rId3" xr:uid="{00000000-0004-0000-0200-000002000000}"/>
    <hyperlink ref="N13" r:id="rId4" xr:uid="{00000000-0004-0000-0200-000003000000}"/>
    <hyperlink ref="N14" r:id="rId5" xr:uid="{00000000-0004-0000-0200-000004000000}"/>
    <hyperlink ref="N16" r:id="rId6" xr:uid="{00000000-0004-0000-0200-000005000000}"/>
    <hyperlink ref="N19" r:id="rId7" xr:uid="{00000000-0004-0000-0200-000006000000}"/>
    <hyperlink ref="N20" r:id="rId8" xr:uid="{00000000-0004-0000-0200-000007000000}"/>
    <hyperlink ref="N21" r:id="rId9" xr:uid="{00000000-0004-0000-0200-000008000000}"/>
    <hyperlink ref="N8" r:id="rId10" xr:uid="{00000000-0004-0000-0200-000009000000}"/>
    <hyperlink ref="N7" r:id="rId11" xr:uid="{00000000-0004-0000-0200-00000A000000}"/>
    <hyperlink ref="N2" r:id="rId12" xr:uid="{00000000-0004-0000-0200-00000B000000}"/>
    <hyperlink ref="N3" r:id="rId13" xr:uid="{00000000-0004-0000-0200-00000C000000}"/>
    <hyperlink ref="N4" r:id="rId14" xr:uid="{00000000-0004-0000-0200-00000D000000}"/>
    <hyperlink ref="N10" r:id="rId15" xr:uid="{00000000-0004-0000-0200-00000E000000}"/>
    <hyperlink ref="N11" r:id="rId16" xr:uid="{00000000-0004-0000-0200-00000F000000}"/>
    <hyperlink ref="N12" r:id="rId17" xr:uid="{00000000-0004-0000-0200-000010000000}"/>
    <hyperlink ref="N15" r:id="rId18" xr:uid="{00000000-0004-0000-0200-000011000000}"/>
    <hyperlink ref="N17" r:id="rId19" xr:uid="{00000000-0004-0000-0200-000012000000}"/>
    <hyperlink ref="N18" r:id="rId20" xr:uid="{00000000-0004-0000-0200-000013000000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H16"/>
  <sheetViews>
    <sheetView workbookViewId="0">
      <selection activeCell="F18" sqref="F18"/>
    </sheetView>
  </sheetViews>
  <sheetFormatPr defaultRowHeight="15" x14ac:dyDescent="0.25"/>
  <cols>
    <col min="1" max="1" width="9.42578125" bestFit="1" customWidth="1"/>
    <col min="2" max="2" width="9.140625" bestFit="1" customWidth="1"/>
    <col min="3" max="3" width="11.28515625" bestFit="1" customWidth="1"/>
    <col min="4" max="4" width="13.140625" bestFit="1" customWidth="1"/>
    <col min="5" max="5" width="11.5703125" bestFit="1" customWidth="1"/>
    <col min="6" max="6" width="39.5703125" bestFit="1" customWidth="1"/>
    <col min="7" max="7" width="9.85546875" bestFit="1" customWidth="1"/>
    <col min="8" max="8" width="8.85546875" bestFit="1" customWidth="1"/>
  </cols>
  <sheetData>
    <row r="1" spans="1:8" x14ac:dyDescent="0.25">
      <c r="A1" s="5" t="s">
        <v>189</v>
      </c>
      <c r="B1" s="6" t="s">
        <v>166</v>
      </c>
      <c r="C1" s="6" t="s">
        <v>167</v>
      </c>
      <c r="D1" s="5" t="s">
        <v>168</v>
      </c>
      <c r="E1" s="6" t="s">
        <v>169</v>
      </c>
      <c r="F1" s="6" t="s">
        <v>37</v>
      </c>
      <c r="G1" s="6" t="s">
        <v>190</v>
      </c>
      <c r="H1" s="6" t="s">
        <v>191</v>
      </c>
    </row>
    <row r="2" spans="1:8" x14ac:dyDescent="0.25">
      <c r="A2" s="4">
        <v>2</v>
      </c>
      <c r="B2" t="s">
        <v>178</v>
      </c>
      <c r="C2" t="s">
        <v>179</v>
      </c>
      <c r="D2" s="15">
        <v>41333</v>
      </c>
      <c r="E2" s="15">
        <v>33746</v>
      </c>
      <c r="F2" t="s">
        <v>192</v>
      </c>
      <c r="G2" t="s">
        <v>7</v>
      </c>
      <c r="H2" s="17">
        <v>3000</v>
      </c>
    </row>
    <row r="3" spans="1:8" x14ac:dyDescent="0.25">
      <c r="A3" s="4">
        <v>3</v>
      </c>
      <c r="B3" t="s">
        <v>176</v>
      </c>
      <c r="C3" t="s">
        <v>174</v>
      </c>
      <c r="D3" s="15">
        <v>41353</v>
      </c>
      <c r="E3" s="15">
        <v>28640</v>
      </c>
      <c r="F3" t="s">
        <v>193</v>
      </c>
      <c r="G3" t="s">
        <v>7</v>
      </c>
      <c r="H3" s="17">
        <v>3000</v>
      </c>
    </row>
    <row r="4" spans="1:8" x14ac:dyDescent="0.25">
      <c r="A4" s="4">
        <v>4</v>
      </c>
      <c r="B4" t="s">
        <v>173</v>
      </c>
      <c r="C4" t="s">
        <v>184</v>
      </c>
      <c r="D4" s="15">
        <v>41407</v>
      </c>
      <c r="E4" s="15">
        <v>26584</v>
      </c>
      <c r="F4" t="s">
        <v>194</v>
      </c>
      <c r="G4" t="s">
        <v>7</v>
      </c>
      <c r="H4" s="17">
        <v>3000</v>
      </c>
    </row>
    <row r="5" spans="1:8" x14ac:dyDescent="0.25">
      <c r="A5" s="4">
        <v>6</v>
      </c>
      <c r="B5" t="s">
        <v>176</v>
      </c>
      <c r="C5" t="s">
        <v>183</v>
      </c>
      <c r="D5" s="15">
        <v>41435</v>
      </c>
      <c r="E5" s="15">
        <v>33566</v>
      </c>
      <c r="F5" t="s">
        <v>195</v>
      </c>
      <c r="G5" t="s">
        <v>7</v>
      </c>
      <c r="H5" s="17">
        <v>2500</v>
      </c>
    </row>
    <row r="6" spans="1:8" x14ac:dyDescent="0.25">
      <c r="A6" s="4">
        <v>7</v>
      </c>
      <c r="B6" t="s">
        <v>185</v>
      </c>
      <c r="C6" t="s">
        <v>177</v>
      </c>
      <c r="D6" s="15">
        <v>41449</v>
      </c>
      <c r="E6" s="15">
        <v>29783</v>
      </c>
      <c r="F6" t="s">
        <v>196</v>
      </c>
      <c r="G6" t="s">
        <v>7</v>
      </c>
      <c r="H6" s="17">
        <v>2500</v>
      </c>
    </row>
    <row r="7" spans="1:8" x14ac:dyDescent="0.25">
      <c r="A7" s="4">
        <v>8</v>
      </c>
      <c r="B7" t="s">
        <v>181</v>
      </c>
      <c r="C7" t="s">
        <v>182</v>
      </c>
      <c r="D7" s="15">
        <v>41470</v>
      </c>
      <c r="E7" s="15">
        <v>28198</v>
      </c>
      <c r="F7" t="s">
        <v>197</v>
      </c>
      <c r="G7" t="s">
        <v>7</v>
      </c>
      <c r="H7" s="17">
        <v>2500</v>
      </c>
    </row>
    <row r="8" spans="1:8" x14ac:dyDescent="0.25">
      <c r="A8" s="4">
        <v>9</v>
      </c>
      <c r="B8" t="s">
        <v>172</v>
      </c>
      <c r="C8" t="s">
        <v>170</v>
      </c>
      <c r="D8" s="15">
        <v>41573</v>
      </c>
      <c r="E8" s="15">
        <v>29663</v>
      </c>
      <c r="F8" t="s">
        <v>198</v>
      </c>
      <c r="G8" t="s">
        <v>7</v>
      </c>
      <c r="H8" s="17">
        <v>2500</v>
      </c>
    </row>
    <row r="9" spans="1:8" x14ac:dyDescent="0.25">
      <c r="A9" s="4">
        <v>12</v>
      </c>
      <c r="B9" t="s">
        <v>171</v>
      </c>
      <c r="C9" t="s">
        <v>186</v>
      </c>
      <c r="D9" s="15">
        <v>41859</v>
      </c>
      <c r="E9" s="15">
        <v>29287</v>
      </c>
      <c r="F9" t="s">
        <v>199</v>
      </c>
      <c r="G9" t="s">
        <v>7</v>
      </c>
      <c r="H9" s="17">
        <v>2000</v>
      </c>
    </row>
    <row r="10" spans="1:8" x14ac:dyDescent="0.25">
      <c r="A10" s="4">
        <v>13</v>
      </c>
      <c r="B10" t="s">
        <v>187</v>
      </c>
      <c r="C10" t="s">
        <v>175</v>
      </c>
      <c r="D10" s="15">
        <v>41914</v>
      </c>
      <c r="E10" s="15">
        <v>31339</v>
      </c>
      <c r="F10" t="s">
        <v>200</v>
      </c>
      <c r="G10" t="s">
        <v>7</v>
      </c>
      <c r="H10" s="17">
        <v>2000</v>
      </c>
    </row>
    <row r="11" spans="1:8" x14ac:dyDescent="0.25">
      <c r="A11" s="4">
        <v>15</v>
      </c>
      <c r="B11" t="s">
        <v>178</v>
      </c>
      <c r="C11" t="s">
        <v>180</v>
      </c>
      <c r="D11" s="15">
        <v>41985</v>
      </c>
      <c r="E11" s="15">
        <v>26079</v>
      </c>
      <c r="F11" t="s">
        <v>201</v>
      </c>
      <c r="G11" t="s">
        <v>7</v>
      </c>
      <c r="H11" s="17">
        <v>2000</v>
      </c>
    </row>
    <row r="12" spans="1:8" x14ac:dyDescent="0.25">
      <c r="A12" s="4">
        <v>16</v>
      </c>
      <c r="B12" t="s">
        <v>188</v>
      </c>
      <c r="C12" t="s">
        <v>174</v>
      </c>
      <c r="D12" s="15">
        <v>42021</v>
      </c>
      <c r="E12" s="15">
        <v>26659</v>
      </c>
      <c r="F12" t="s">
        <v>202</v>
      </c>
      <c r="G12" t="s">
        <v>7</v>
      </c>
      <c r="H12" s="17">
        <v>2000</v>
      </c>
    </row>
    <row r="13" spans="1:8" x14ac:dyDescent="0.25">
      <c r="D13" s="15"/>
      <c r="E13" s="15"/>
    </row>
    <row r="14" spans="1:8" x14ac:dyDescent="0.25">
      <c r="D14" s="15"/>
      <c r="E14" s="15"/>
    </row>
    <row r="15" spans="1:8" x14ac:dyDescent="0.25">
      <c r="D15" s="15"/>
      <c r="E15" s="15"/>
    </row>
    <row r="16" spans="1:8" x14ac:dyDescent="0.25">
      <c r="D16" s="15"/>
      <c r="E16" s="15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Vendas</vt:lpstr>
      <vt:lpstr>Cadastro Produtos</vt:lpstr>
      <vt:lpstr>Cadatro Clientes</vt:lpstr>
      <vt:lpstr>Cadastro Vendedores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dcterms:created xsi:type="dcterms:W3CDTF">2015-01-20T22:03:12Z</dcterms:created>
  <dcterms:modified xsi:type="dcterms:W3CDTF">2023-07-08T20:27:40Z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004f7614-3585-4ece-99ef-5989785de7ed</vt:lpwstr>
  </property>
</Properties>
</file>