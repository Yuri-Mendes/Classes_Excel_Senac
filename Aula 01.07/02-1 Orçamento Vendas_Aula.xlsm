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yuri.smendes\Downloads\"/>
    </mc:Choice>
  </mc:AlternateContent>
  <xr:revisionPtr revIDLastSave="0" documentId="13_ncr:1_{258111DA-BC2B-476C-A536-05F0FF69A5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Orçamento" sheetId="1" r:id="rId1"/>
    <sheet name="Preço Produtos" sheetId="4" r:id="rId2"/>
    <sheet name="Preços Fretes" sheetId="8" r:id="rId3"/>
    <sheet name="Clientes" sheetId="9" r:id="rId4"/>
    <sheet name="Anotações" sheetId="10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" l="1"/>
  <c r="B19" i="1"/>
  <c r="E11" i="1"/>
  <c r="E10" i="1"/>
  <c r="E9" i="1"/>
  <c r="C11" i="1"/>
  <c r="C10" i="1"/>
  <c r="B9" i="1"/>
  <c r="C9" i="1" s="1"/>
  <c r="B10" i="1"/>
  <c r="B11" i="1"/>
  <c r="E8" i="1"/>
  <c r="B8" i="1"/>
  <c r="C8" i="1" s="1"/>
  <c r="C19" i="1"/>
  <c r="E20" i="1" l="1"/>
  <c r="E12" i="1"/>
</calcChain>
</file>

<file path=xl/sharedStrings.xml><?xml version="1.0" encoding="utf-8"?>
<sst xmlns="http://schemas.openxmlformats.org/spreadsheetml/2006/main" count="64" uniqueCount="48">
  <si>
    <t>Cliente</t>
  </si>
  <si>
    <t>Total</t>
  </si>
  <si>
    <t>item</t>
  </si>
  <si>
    <t>Preço
Unitário</t>
  </si>
  <si>
    <t>Qtd</t>
  </si>
  <si>
    <t>id</t>
  </si>
  <si>
    <t>Produto</t>
  </si>
  <si>
    <t>Preço Venda</t>
  </si>
  <si>
    <t>Limonada Alfa com Açúcar 500 ml</t>
  </si>
  <si>
    <t>Limonada Beta com Açúcar 500 ml</t>
  </si>
  <si>
    <t>Limonada Alfa Zero 500 ml</t>
  </si>
  <si>
    <t>Limonada Beta Zero 500 ml</t>
  </si>
  <si>
    <t>Limonada Alfa com Açúcar 1 L</t>
  </si>
  <si>
    <t>Limonada Beta com Açúcar 1 L</t>
  </si>
  <si>
    <t>Limonada Alfa Zero 1 L</t>
  </si>
  <si>
    <t>Limonada Beta Zero 1 L</t>
  </si>
  <si>
    <t>Limonada Alfa com Hortelã e Açúcar 1 L</t>
  </si>
  <si>
    <t>Limonada Alfa com Hortelã Zero 1 L</t>
  </si>
  <si>
    <t>Produtos</t>
  </si>
  <si>
    <t>Fretes</t>
  </si>
  <si>
    <t>500 ml</t>
  </si>
  <si>
    <t>1 L</t>
  </si>
  <si>
    <t>Tamanho</t>
  </si>
  <si>
    <t>Região</t>
  </si>
  <si>
    <t>Preço</t>
  </si>
  <si>
    <t>Norte</t>
  </si>
  <si>
    <t>Centro-Oeste</t>
  </si>
  <si>
    <t>Nordeste</t>
  </si>
  <si>
    <t>Sudeste</t>
  </si>
  <si>
    <t>Sul</t>
  </si>
  <si>
    <t>Destino</t>
  </si>
  <si>
    <t>ID
Produto</t>
  </si>
  <si>
    <t>Orçamento de Vendas</t>
  </si>
  <si>
    <t>ID</t>
  </si>
  <si>
    <t>CLIENTES</t>
  </si>
  <si>
    <t>SOFT TECH</t>
  </si>
  <si>
    <t>PARTYIE</t>
  </si>
  <si>
    <t>HOGSON</t>
  </si>
  <si>
    <t>DAP CENTER</t>
  </si>
  <si>
    <t>SHOPPING 10</t>
  </si>
  <si>
    <t>SHOPPING 11</t>
  </si>
  <si>
    <t>SHOPPING 12</t>
  </si>
  <si>
    <t>DAX MAX</t>
  </si>
  <si>
    <t>RUT HOUSE</t>
  </si>
  <si>
    <t>CLOCK MAP</t>
  </si>
  <si>
    <t>HOUSEROOM</t>
  </si>
  <si>
    <t>BLASTSHOP</t>
  </si>
  <si>
    <t>PETSHOPOX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</si>
</sst>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R$&quot;\ * #,##0.00_);_(&quot;R$&quot;\ * \(#,##0.00\);_(&quot;R$&quot;\ * &quot;-&quot;??_);_(@_)"/>
    <numFmt numFmtId="165" formatCode="_(* #,##0.00_);_(* \(#,##0.00\);_(* &quot;-&quot;??_);_(@_)"/>
    <numFmt numFmtId="166" formatCode="&quot;R$&quot;\ 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64" fontId="0" fillId="0" borderId="0" xfId="2" applyFont="1"/>
    <xf numFmtId="16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6" fontId="5" fillId="2" borderId="1" xfId="1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22" fontId="6" fillId="0" borderId="0" xfId="0" applyNumberFormat="1" applyFont="1" applyAlignment="1">
      <alignment horizontal="left" vertical="center"/>
    </xf>
    <xf numFmtId="3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center"/>
    </xf>
    <xf numFmtId="164" fontId="0" fillId="0" borderId="1" xfId="2" applyFont="1" applyBorder="1" applyAlignment="1">
      <alignment horizontal="left"/>
    </xf>
    <xf numFmtId="0" fontId="8" fillId="2" borderId="0" xfId="0" applyFont="1" applyFill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3"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0</xdr:row>
      <xdr:rowOff>228599</xdr:rowOff>
    </xdr:from>
    <xdr:to>
      <xdr:col>7</xdr:col>
      <xdr:colOff>295275</xdr:colOff>
      <xdr:row>2</xdr:row>
      <xdr:rowOff>114300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8E9D5C0-50C8-E77D-A357-9CFE4EEDD3C9}"/>
            </a:ext>
          </a:extLst>
        </xdr:cNvPr>
        <xdr:cNvGrpSpPr/>
      </xdr:nvGrpSpPr>
      <xdr:grpSpPr>
        <a:xfrm>
          <a:off x="6858000" y="228599"/>
          <a:ext cx="1390650" cy="542926"/>
          <a:chOff x="8867775" y="1581149"/>
          <a:chExt cx="1409700" cy="533401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D036443D-6A04-F836-B50D-8AF53520E961}"/>
              </a:ext>
            </a:extLst>
          </xdr:cNvPr>
          <xdr:cNvSpPr/>
        </xdr:nvSpPr>
        <xdr:spPr>
          <a:xfrm>
            <a:off x="8867775" y="1581149"/>
            <a:ext cx="1409700" cy="533401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8963025" y="1657350"/>
                <a:ext cx="1238250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Gerar PDF</a:t>
                </a:r>
              </a:p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Gerar PDF</a:t>
                </a:r>
              </a:p>
            </xdr:txBody>
          </xdr:sp>
        </mc:Choice>
        <mc:Fallback/>
      </mc:AlternateContent>
      <xdr:pic>
        <xdr:nvPicPr>
          <xdr:cNvPr id="13" name="Gráfico 12" descr="Selo Tick1 com preenchimento sólido">
            <a:extLst>
              <a:ext uri="{FF2B5EF4-FFF2-40B4-BE49-F238E27FC236}">
                <a16:creationId xmlns:a16="http://schemas.microsoft.com/office/drawing/2014/main" id="{6DE64F33-7343-E284-40C4-48471810FF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867900" y="1685924"/>
            <a:ext cx="352425" cy="35242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9</xdr:col>
      <xdr:colOff>28038</xdr:colOff>
      <xdr:row>12</xdr:row>
      <xdr:rowOff>18881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B649027-BF05-4D32-8E6E-4D663837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952500"/>
          <a:ext cx="4295238" cy="1352381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15</xdr:row>
      <xdr:rowOff>104775</xdr:rowOff>
    </xdr:from>
    <xdr:ext cx="4276725" cy="749821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0682E5E-7BCB-45E1-BD25-F65930891FF7}"/>
            </a:ext>
          </a:extLst>
        </xdr:cNvPr>
        <xdr:cNvSpPr txBox="1"/>
      </xdr:nvSpPr>
      <xdr:spPr>
        <a:xfrm>
          <a:off x="1238250" y="2962275"/>
          <a:ext cx="4276725" cy="749821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tx1"/>
              </a:solidFill>
            </a:rPr>
            <a:t>=SERRO</a:t>
          </a:r>
          <a:r>
            <a:rPr lang="pt-BR" sz="1400" b="1" baseline="0">
              <a:solidFill>
                <a:schemeClr val="tx1"/>
              </a:solidFill>
            </a:rPr>
            <a:t>(...);"") </a:t>
          </a:r>
          <a:r>
            <a:rPr lang="pt-BR" sz="1400" baseline="0">
              <a:solidFill>
                <a:schemeClr val="tx1"/>
              </a:solidFill>
            </a:rPr>
            <a:t>- para retornar vazio ao invés de #ND, caso uma célula da linha fique vazia, deletada, em branco. </a:t>
          </a:r>
        </a:p>
      </xdr:txBody>
    </xdr:sp>
    <xdr:clientData/>
  </xdr:oneCellAnchor>
  <xdr:twoCellAnchor editAs="oneCell">
    <xdr:from>
      <xdr:col>10</xdr:col>
      <xdr:colOff>104775</xdr:colOff>
      <xdr:row>1</xdr:row>
      <xdr:rowOff>53952</xdr:rowOff>
    </xdr:from>
    <xdr:to>
      <xdr:col>23</xdr:col>
      <xdr:colOff>179670</xdr:colOff>
      <xdr:row>16</xdr:row>
      <xdr:rowOff>123348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13DE229-D2DB-AE36-7E57-57C756FCA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00775" y="244452"/>
          <a:ext cx="7999695" cy="2926896"/>
        </a:xfrm>
        <a:prstGeom prst="rect">
          <a:avLst/>
        </a:prstGeom>
      </xdr:spPr>
    </xdr:pic>
    <xdr:clientData/>
  </xdr:twoCellAnchor>
  <xdr:oneCellAnchor>
    <xdr:from>
      <xdr:col>13</xdr:col>
      <xdr:colOff>114300</xdr:colOff>
      <xdr:row>21</xdr:row>
      <xdr:rowOff>19050</xdr:rowOff>
    </xdr:from>
    <xdr:ext cx="4276725" cy="118814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D603A2DB-6EA6-43AC-997F-AEE263D9BE10}"/>
            </a:ext>
          </a:extLst>
        </xdr:cNvPr>
        <xdr:cNvSpPr txBox="1"/>
      </xdr:nvSpPr>
      <xdr:spPr>
        <a:xfrm>
          <a:off x="8039100" y="4019550"/>
          <a:ext cx="4276725" cy="1188146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tx1"/>
              </a:solidFill>
            </a:rPr>
            <a:t>Gravar Macro - executar as ações e parar a gravação.</a:t>
          </a:r>
        </a:p>
        <a:p>
          <a:endParaRPr lang="pt-BR" sz="1400" b="1">
            <a:solidFill>
              <a:schemeClr val="tx1"/>
            </a:solidFill>
          </a:endParaRPr>
        </a:p>
        <a:p>
          <a:r>
            <a:rPr lang="pt-BR" sz="1400" b="1">
              <a:solidFill>
                <a:schemeClr val="tx1"/>
              </a:solidFill>
            </a:rPr>
            <a:t>Criar</a:t>
          </a:r>
          <a:r>
            <a:rPr lang="pt-BR" sz="1400" b="1" baseline="0">
              <a:solidFill>
                <a:schemeClr val="tx1"/>
              </a:solidFill>
            </a:rPr>
            <a:t> o botão em Inserir, clicar em Botão(Controle de Formulário), Atribuir ao nome da gravação salva, e OK</a:t>
          </a:r>
          <a:endParaRPr lang="pt-BR" sz="1400" b="1">
            <a:solidFill>
              <a:schemeClr val="tx1"/>
            </a:solidFill>
          </a:endParaRPr>
        </a:p>
        <a:p>
          <a:endParaRPr lang="pt-BR" sz="1400" baseline="0">
            <a:solidFill>
              <a:schemeClr val="tx1"/>
            </a:solidFill>
          </a:endParaRPr>
        </a:p>
      </xdr:txBody>
    </xdr:sp>
    <xdr:clientData/>
  </xdr:oneCellAnchor>
  <xdr:twoCellAnchor>
    <xdr:from>
      <xdr:col>20</xdr:col>
      <xdr:colOff>6</xdr:colOff>
      <xdr:row>11</xdr:row>
      <xdr:rowOff>104775</xdr:rowOff>
    </xdr:from>
    <xdr:to>
      <xdr:col>21</xdr:col>
      <xdr:colOff>361951</xdr:colOff>
      <xdr:row>22</xdr:row>
      <xdr:rowOff>123826</xdr:rowOff>
    </xdr:to>
    <xdr:cxnSp macro="">
      <xdr:nvCxnSpPr>
        <xdr:cNvPr id="3" name="Conector: Angulado 2">
          <a:extLst>
            <a:ext uri="{FF2B5EF4-FFF2-40B4-BE49-F238E27FC236}">
              <a16:creationId xmlns:a16="http://schemas.microsoft.com/office/drawing/2014/main" id="{9D5C33AE-D229-454C-9311-F92BDE2710E1}"/>
            </a:ext>
          </a:extLst>
        </xdr:cNvPr>
        <xdr:cNvCxnSpPr/>
      </xdr:nvCxnSpPr>
      <xdr:spPr>
        <a:xfrm rot="5400000">
          <a:off x="11620503" y="2771778"/>
          <a:ext cx="2114551" cy="971545"/>
        </a:xfrm>
        <a:prstGeom prst="bentConnector3">
          <a:avLst>
            <a:gd name="adj1" fmla="val 100000"/>
          </a:avLst>
        </a:prstGeom>
        <a:ln>
          <a:headEnd type="triangle"/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390525</xdr:colOff>
      <xdr:row>29</xdr:row>
      <xdr:rowOff>28575</xdr:rowOff>
    </xdr:from>
    <xdr:to>
      <xdr:col>22</xdr:col>
      <xdr:colOff>446677</xdr:colOff>
      <xdr:row>45</xdr:row>
      <xdr:rowOff>123432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92CE8646-701A-91E4-B716-DBE9ADE5B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76925" y="5553075"/>
          <a:ext cx="7980952" cy="3142857"/>
        </a:xfrm>
        <a:prstGeom prst="rect">
          <a:avLst/>
        </a:prstGeom>
      </xdr:spPr>
    </xdr:pic>
    <xdr:clientData/>
  </xdr:twoCellAnchor>
  <xdr:twoCellAnchor>
    <xdr:from>
      <xdr:col>13</xdr:col>
      <xdr:colOff>171450</xdr:colOff>
      <xdr:row>24</xdr:row>
      <xdr:rowOff>41622</xdr:rowOff>
    </xdr:from>
    <xdr:to>
      <xdr:col>14</xdr:col>
      <xdr:colOff>76196</xdr:colOff>
      <xdr:row>30</xdr:row>
      <xdr:rowOff>133345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BE772D66-5E9D-FA0A-CF73-BAE4AE38683F}"/>
            </a:ext>
          </a:extLst>
        </xdr:cNvPr>
        <xdr:cNvCxnSpPr/>
      </xdr:nvCxnSpPr>
      <xdr:spPr>
        <a:xfrm rot="10800000" flipH="1" flipV="1">
          <a:off x="8096250" y="4613622"/>
          <a:ext cx="514346" cy="1234723"/>
        </a:xfrm>
        <a:prstGeom prst="bentConnector4">
          <a:avLst>
            <a:gd name="adj1" fmla="val -44445"/>
            <a:gd name="adj2" fmla="val 74057"/>
          </a:avLst>
        </a:prstGeom>
        <a:ln>
          <a:solidFill>
            <a:srgbClr val="FF0000"/>
          </a:solidFill>
          <a:headEnd type="triangle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238123</xdr:colOff>
      <xdr:row>7</xdr:row>
      <xdr:rowOff>66674</xdr:rowOff>
    </xdr:from>
    <xdr:to>
      <xdr:col>4</xdr:col>
      <xdr:colOff>257174</xdr:colOff>
      <xdr:row>16</xdr:row>
      <xdr:rowOff>19050</xdr:rowOff>
    </xdr:to>
    <xdr:cxnSp macro="">
      <xdr:nvCxnSpPr>
        <xdr:cNvPr id="34" name="Conector: Angulado 33">
          <a:extLst>
            <a:ext uri="{FF2B5EF4-FFF2-40B4-BE49-F238E27FC236}">
              <a16:creationId xmlns:a16="http://schemas.microsoft.com/office/drawing/2014/main" id="{535FAA27-4B6B-47F4-B935-114BB8EA161C}"/>
            </a:ext>
          </a:extLst>
        </xdr:cNvPr>
        <xdr:cNvCxnSpPr/>
      </xdr:nvCxnSpPr>
      <xdr:spPr>
        <a:xfrm rot="16200000" flipH="1">
          <a:off x="1547811" y="1919286"/>
          <a:ext cx="1666876" cy="628651"/>
        </a:xfrm>
        <a:prstGeom prst="bentConnector3">
          <a:avLst>
            <a:gd name="adj1" fmla="val 50000"/>
          </a:avLst>
        </a:prstGeom>
        <a:ln>
          <a:headEnd type="triangle"/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E20"/>
  <sheetViews>
    <sheetView showGridLines="0" tabSelected="1" workbookViewId="0">
      <selection activeCell="G8" sqref="G8"/>
    </sheetView>
  </sheetViews>
  <sheetFormatPr defaultRowHeight="15" x14ac:dyDescent="0.25"/>
  <cols>
    <col min="1" max="1" width="8.140625" bestFit="1" customWidth="1"/>
    <col min="2" max="2" width="32.5703125" bestFit="1" customWidth="1"/>
    <col min="3" max="3" width="20.85546875" bestFit="1" customWidth="1"/>
    <col min="4" max="4" width="15.5703125" bestFit="1" customWidth="1"/>
    <col min="5" max="5" width="20.42578125" bestFit="1" customWidth="1"/>
    <col min="7" max="7" width="12.5703125" bestFit="1" customWidth="1"/>
  </cols>
  <sheetData>
    <row r="1" spans="1:5" ht="36.75" customHeight="1" x14ac:dyDescent="0.25">
      <c r="A1" s="25" t="s">
        <v>32</v>
      </c>
      <c r="B1" s="25"/>
      <c r="C1" s="25"/>
      <c r="D1" s="25"/>
      <c r="E1" s="25"/>
    </row>
    <row r="3" spans="1:5" x14ac:dyDescent="0.25">
      <c r="A3" s="6" t="s">
        <v>0</v>
      </c>
      <c r="B3" s="22" t="s">
        <v>35</v>
      </c>
      <c r="C3" s="22"/>
      <c r="D3" s="22"/>
      <c r="E3" s="22"/>
    </row>
    <row r="4" spans="1:5" x14ac:dyDescent="0.25">
      <c r="A4" s="18"/>
      <c r="B4" s="5"/>
      <c r="C4" s="5"/>
    </row>
    <row r="6" spans="1:5" x14ac:dyDescent="0.25">
      <c r="A6" s="11" t="s">
        <v>18</v>
      </c>
    </row>
    <row r="7" spans="1:5" s="4" customFormat="1" ht="30" x14ac:dyDescent="0.25">
      <c r="A7" s="12" t="s">
        <v>31</v>
      </c>
      <c r="B7" s="13" t="s">
        <v>2</v>
      </c>
      <c r="C7" s="12" t="s">
        <v>3</v>
      </c>
      <c r="D7" s="13" t="s">
        <v>4</v>
      </c>
      <c r="E7" s="13" t="s">
        <v>1</v>
      </c>
    </row>
    <row r="8" spans="1:5" x14ac:dyDescent="0.25">
      <c r="A8" s="20">
        <v>1</v>
      </c>
      <c r="B8" s="3" t="str">
        <f>IFERROR(VLOOKUP(A8,'Preço Produtos'!A:D,2,2),"")</f>
        <v>Limonada Alfa com Açúcar 500 ml</v>
      </c>
      <c r="C8" s="3" t="str">
        <f>IFERROR(VLOOKUP(B8,'Preço Produtos'!B:E,2,2),"")</f>
        <v>500 ml</v>
      </c>
      <c r="D8" s="19">
        <v>46</v>
      </c>
      <c r="E8" s="24">
        <f>IFERROR(VLOOKUP(A8,'Preço Produtos'!A:D,4,)*D8,"")</f>
        <v>230</v>
      </c>
    </row>
    <row r="9" spans="1:5" x14ac:dyDescent="0.25">
      <c r="A9" s="20">
        <v>7</v>
      </c>
      <c r="B9" s="3" t="str">
        <f>IFERROR(VLOOKUP(A9,'Preço Produtos'!A:D,2,2),"")</f>
        <v>Limonada Alfa Zero 1 L</v>
      </c>
      <c r="C9" s="3" t="str">
        <f>IFERROR(VLOOKUP(B9,'Preço Produtos'!B:E,2,2),"")</f>
        <v>1 L</v>
      </c>
      <c r="D9" s="19">
        <v>17</v>
      </c>
      <c r="E9" s="24">
        <f>IFERROR(VLOOKUP(A9,'Preço Produtos'!A:D,4,)*D9,"")</f>
        <v>68</v>
      </c>
    </row>
    <row r="10" spans="1:5" x14ac:dyDescent="0.25">
      <c r="A10" s="20">
        <v>10</v>
      </c>
      <c r="B10" s="3" t="str">
        <f>IFERROR(VLOOKUP(A10,'Preço Produtos'!A:D,2,2),"")</f>
        <v>Limonada Alfa com Hortelã Zero 1 L</v>
      </c>
      <c r="C10" s="3" t="str">
        <f>IFERROR(VLOOKUP(B10,'Preço Produtos'!B:E,2,2),"")</f>
        <v>500 ml</v>
      </c>
      <c r="D10" s="19">
        <v>13</v>
      </c>
      <c r="E10" s="24">
        <f>IFERROR(VLOOKUP(A10,'Preço Produtos'!A:D,4,)*D10,"")</f>
        <v>78</v>
      </c>
    </row>
    <row r="11" spans="1:5" x14ac:dyDescent="0.25">
      <c r="A11" s="20">
        <v>3</v>
      </c>
      <c r="B11" s="3" t="str">
        <f>IFERROR(VLOOKUP(A11,'Preço Produtos'!A:D,2,2),"")</f>
        <v>Limonada Alfa Zero 500 ml</v>
      </c>
      <c r="C11" s="3" t="str">
        <f>IFERROR(VLOOKUP(B11,'Preço Produtos'!B:E,2,2),"")</f>
        <v>1 L</v>
      </c>
      <c r="D11" s="19">
        <v>21</v>
      </c>
      <c r="E11" s="24">
        <f>IFERROR(VLOOKUP(A11,'Preço Produtos'!A:D,4,)*D11,"")</f>
        <v>73.5</v>
      </c>
    </row>
    <row r="12" spans="1:5" ht="15.75" x14ac:dyDescent="0.25">
      <c r="A12" s="15"/>
      <c r="B12" s="15"/>
      <c r="C12" s="15"/>
      <c r="D12" s="17" t="s">
        <v>1</v>
      </c>
      <c r="E12" s="16">
        <f>SUM(E8:E11)</f>
        <v>449.5</v>
      </c>
    </row>
    <row r="14" spans="1:5" x14ac:dyDescent="0.25">
      <c r="A14" s="1"/>
    </row>
    <row r="15" spans="1:5" x14ac:dyDescent="0.25">
      <c r="A15" s="11" t="s">
        <v>19</v>
      </c>
      <c r="B15" s="1"/>
    </row>
    <row r="16" spans="1:5" x14ac:dyDescent="0.25">
      <c r="A16" s="6" t="s">
        <v>30</v>
      </c>
      <c r="B16" s="22" t="s">
        <v>25</v>
      </c>
      <c r="C16" s="22"/>
      <c r="D16" s="22"/>
      <c r="E16" s="22"/>
    </row>
    <row r="17" spans="1:5" x14ac:dyDescent="0.25">
      <c r="A17" s="1"/>
    </row>
    <row r="18" spans="1:5" ht="30" x14ac:dyDescent="0.25">
      <c r="A18" s="13"/>
      <c r="B18" s="13" t="s">
        <v>2</v>
      </c>
      <c r="C18" s="12" t="s">
        <v>3</v>
      </c>
      <c r="D18" s="13" t="s">
        <v>4</v>
      </c>
      <c r="E18" s="13" t="s">
        <v>1</v>
      </c>
    </row>
    <row r="19" spans="1:5" x14ac:dyDescent="0.25">
      <c r="A19" s="10"/>
      <c r="B19" s="3" t="str">
        <f>IF(E12=0,"","Frete para "&amp;B16)</f>
        <v>Frete para Norte</v>
      </c>
      <c r="C19" s="9">
        <f>IF(B16="","Selecione o Destino",VLOOKUP(B16,'Preços Fretes'!A:B,2,0))</f>
        <v>500</v>
      </c>
      <c r="D19" s="21">
        <v>1</v>
      </c>
      <c r="E19" s="14">
        <f>IF(B16="",0,D19*C19)</f>
        <v>500</v>
      </c>
    </row>
    <row r="20" spans="1:5" ht="15.75" x14ac:dyDescent="0.25">
      <c r="A20" s="15"/>
      <c r="B20" s="15"/>
      <c r="C20" s="15"/>
      <c r="D20" s="17" t="s">
        <v>1</v>
      </c>
      <c r="E20" s="16">
        <f>E19</f>
        <v>500</v>
      </c>
    </row>
  </sheetData>
  <mergeCells count="3">
    <mergeCell ref="A1:E1"/>
    <mergeCell ref="B3:E3"/>
    <mergeCell ref="B16:E16"/>
  </mergeCells>
  <conditionalFormatting sqref="C19">
    <cfRule type="cellIs" dxfId="0" priority="1" operator="equal">
      <formula>$C$19</formula>
    </cfRule>
  </conditionalFormatting>
  <printOptions horizontalCentered="1"/>
  <pageMargins left="0.51181102362204722" right="0.51181102362204722" top="1.1811023622047245" bottom="0.78740157480314965" header="0.31496062992125984" footer="0.31496062992125984"/>
  <pageSetup paperSize="9" scale="7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autoFill="0" autoPict="0" macro="[0]!Exportar_PDF">
                <anchor moveWithCells="1">
                  <from>
                    <xdr:col>5</xdr:col>
                    <xdr:colOff>447675</xdr:colOff>
                    <xdr:row>0</xdr:row>
                    <xdr:rowOff>304800</xdr:rowOff>
                  </from>
                  <to>
                    <xdr:col>7</xdr:col>
                    <xdr:colOff>219075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6DF2E37-0E85-4BC1-B420-5B635B4AF0AD}">
          <x14:formula1>
            <xm:f>'Preço Produtos'!$A$2:$A$11</xm:f>
          </x14:formula1>
          <xm:sqref>A8:A11</xm:sqref>
        </x14:dataValidation>
        <x14:dataValidation type="list" allowBlank="1" showInputMessage="1" showErrorMessage="1" xr:uid="{CB48BFEF-1B7D-4E0E-9BA7-C5C2F69796D9}">
          <x14:formula1>
            <xm:f>Clientes!$B$2:$B$14</xm:f>
          </x14:formula1>
          <xm:sqref>B3:E3</xm:sqref>
        </x14:dataValidation>
        <x14:dataValidation type="list" allowBlank="1" showInputMessage="1" showErrorMessage="1" xr:uid="{D120B8BF-ABEA-4232-B5AA-5FFF88ED9B87}">
          <x14:formula1>
            <xm:f>'Preços Fretes'!$A$2:$A$6</xm:f>
          </x14:formula1>
          <xm:sqref>B16:E16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11"/>
  <sheetViews>
    <sheetView workbookViewId="0">
      <selection activeCell="D2" sqref="D2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9.140625" style="1" bestFit="1" customWidth="1"/>
    <col min="4" max="4" width="9.5703125" bestFit="1" customWidth="1"/>
  </cols>
  <sheetData>
    <row r="1" spans="1:4" ht="30" x14ac:dyDescent="0.25">
      <c r="A1" s="7" t="s">
        <v>5</v>
      </c>
      <c r="B1" s="7" t="s">
        <v>6</v>
      </c>
      <c r="C1" s="7" t="s">
        <v>22</v>
      </c>
      <c r="D1" s="7" t="s">
        <v>7</v>
      </c>
    </row>
    <row r="2" spans="1:4" x14ac:dyDescent="0.25">
      <c r="A2">
        <v>1</v>
      </c>
      <c r="B2" t="s">
        <v>8</v>
      </c>
      <c r="C2" s="1" t="s">
        <v>20</v>
      </c>
      <c r="D2" s="8">
        <v>5</v>
      </c>
    </row>
    <row r="3" spans="1:4" x14ac:dyDescent="0.25">
      <c r="A3">
        <v>2</v>
      </c>
      <c r="B3" t="s">
        <v>9</v>
      </c>
      <c r="C3" s="1" t="s">
        <v>20</v>
      </c>
      <c r="D3" s="8">
        <v>4</v>
      </c>
    </row>
    <row r="4" spans="1:4" x14ac:dyDescent="0.25">
      <c r="A4">
        <v>3</v>
      </c>
      <c r="B4" t="s">
        <v>10</v>
      </c>
      <c r="C4" s="1" t="s">
        <v>20</v>
      </c>
      <c r="D4" s="8">
        <v>3.5</v>
      </c>
    </row>
    <row r="5" spans="1:4" x14ac:dyDescent="0.25">
      <c r="A5">
        <v>4</v>
      </c>
      <c r="B5" t="s">
        <v>11</v>
      </c>
      <c r="C5" s="1" t="s">
        <v>20</v>
      </c>
      <c r="D5" s="8">
        <v>2.5</v>
      </c>
    </row>
    <row r="6" spans="1:4" x14ac:dyDescent="0.25">
      <c r="A6">
        <v>5</v>
      </c>
      <c r="B6" t="s">
        <v>12</v>
      </c>
      <c r="C6" s="1" t="s">
        <v>21</v>
      </c>
      <c r="D6" s="8">
        <v>8.5</v>
      </c>
    </row>
    <row r="7" spans="1:4" x14ac:dyDescent="0.25">
      <c r="A7">
        <v>6</v>
      </c>
      <c r="B7" t="s">
        <v>13</v>
      </c>
      <c r="C7" s="1" t="s">
        <v>21</v>
      </c>
      <c r="D7" s="8">
        <v>6.5</v>
      </c>
    </row>
    <row r="8" spans="1:4" x14ac:dyDescent="0.25">
      <c r="A8">
        <v>7</v>
      </c>
      <c r="B8" t="s">
        <v>14</v>
      </c>
      <c r="C8" s="1" t="s">
        <v>21</v>
      </c>
      <c r="D8" s="8">
        <v>4</v>
      </c>
    </row>
    <row r="9" spans="1:4" x14ac:dyDescent="0.25">
      <c r="A9">
        <v>8</v>
      </c>
      <c r="B9" t="s">
        <v>15</v>
      </c>
      <c r="C9" s="1" t="s">
        <v>21</v>
      </c>
      <c r="D9" s="8">
        <v>3</v>
      </c>
    </row>
    <row r="10" spans="1:4" x14ac:dyDescent="0.25">
      <c r="A10">
        <v>9</v>
      </c>
      <c r="B10" t="s">
        <v>16</v>
      </c>
      <c r="C10" s="1" t="s">
        <v>21</v>
      </c>
      <c r="D10" s="8">
        <v>10</v>
      </c>
    </row>
    <row r="11" spans="1:4" x14ac:dyDescent="0.25">
      <c r="A11">
        <v>10</v>
      </c>
      <c r="B11" t="s">
        <v>17</v>
      </c>
      <c r="C11" s="1" t="s">
        <v>21</v>
      </c>
      <c r="D11" s="8">
        <v>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6"/>
  <sheetViews>
    <sheetView workbookViewId="0">
      <selection activeCell="A7" sqref="A7"/>
    </sheetView>
  </sheetViews>
  <sheetFormatPr defaultRowHeight="15" x14ac:dyDescent="0.25"/>
  <cols>
    <col min="1" max="1" width="16.7109375" bestFit="1" customWidth="1"/>
    <col min="2" max="2" width="10.7109375" bestFit="1" customWidth="1"/>
  </cols>
  <sheetData>
    <row r="1" spans="1:2" x14ac:dyDescent="0.25">
      <c r="A1" s="12" t="s">
        <v>23</v>
      </c>
      <c r="B1" s="13" t="s">
        <v>24</v>
      </c>
    </row>
    <row r="2" spans="1:2" x14ac:dyDescent="0.25">
      <c r="A2" t="s">
        <v>25</v>
      </c>
      <c r="B2" s="2">
        <v>500</v>
      </c>
    </row>
    <row r="3" spans="1:2" x14ac:dyDescent="0.25">
      <c r="A3" t="s">
        <v>26</v>
      </c>
      <c r="B3" s="2">
        <v>300</v>
      </c>
    </row>
    <row r="4" spans="1:2" x14ac:dyDescent="0.25">
      <c r="A4" t="s">
        <v>27</v>
      </c>
      <c r="B4" s="2">
        <v>400</v>
      </c>
    </row>
    <row r="5" spans="1:2" x14ac:dyDescent="0.25">
      <c r="A5" t="s">
        <v>28</v>
      </c>
      <c r="B5" s="2">
        <v>200</v>
      </c>
    </row>
    <row r="6" spans="1:2" x14ac:dyDescent="0.25">
      <c r="A6" t="s">
        <v>29</v>
      </c>
      <c r="B6" s="2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DF025-750E-45FC-BAEE-24F940C711A2}">
  <sheetPr codeName="Planilha4"/>
  <dimension ref="A1:B14"/>
  <sheetViews>
    <sheetView workbookViewId="0">
      <selection activeCell="F10" sqref="F10"/>
    </sheetView>
  </sheetViews>
  <sheetFormatPr defaultRowHeight="15" x14ac:dyDescent="0.25"/>
  <cols>
    <col min="2" max="2" width="12.7109375" bestFit="1" customWidth="1"/>
  </cols>
  <sheetData>
    <row r="1" spans="1:2" x14ac:dyDescent="0.25">
      <c r="A1" s="23" t="s">
        <v>33</v>
      </c>
      <c r="B1" s="23" t="s">
        <v>34</v>
      </c>
    </row>
    <row r="2" spans="1:2" x14ac:dyDescent="0.25">
      <c r="A2" s="1">
        <v>1</v>
      </c>
      <c r="B2" s="1" t="s">
        <v>35</v>
      </c>
    </row>
    <row r="3" spans="1:2" x14ac:dyDescent="0.25">
      <c r="A3" s="1">
        <v>2</v>
      </c>
      <c r="B3" s="1" t="s">
        <v>36</v>
      </c>
    </row>
    <row r="4" spans="1:2" x14ac:dyDescent="0.25">
      <c r="A4" s="1">
        <v>3</v>
      </c>
      <c r="B4" s="1" t="s">
        <v>37</v>
      </c>
    </row>
    <row r="5" spans="1:2" x14ac:dyDescent="0.25">
      <c r="A5" s="1">
        <v>4</v>
      </c>
      <c r="B5" s="1" t="s">
        <v>38</v>
      </c>
    </row>
    <row r="6" spans="1:2" x14ac:dyDescent="0.25">
      <c r="A6" s="1">
        <v>5</v>
      </c>
      <c r="B6" s="1" t="s">
        <v>39</v>
      </c>
    </row>
    <row r="7" spans="1:2" x14ac:dyDescent="0.25">
      <c r="A7" s="1">
        <v>6</v>
      </c>
      <c r="B7" s="1" t="s">
        <v>40</v>
      </c>
    </row>
    <row r="8" spans="1:2" x14ac:dyDescent="0.25">
      <c r="A8" s="1">
        <v>7</v>
      </c>
      <c r="B8" s="1" t="s">
        <v>41</v>
      </c>
    </row>
    <row r="9" spans="1:2" x14ac:dyDescent="0.25">
      <c r="A9" s="1">
        <v>8</v>
      </c>
      <c r="B9" s="1" t="s">
        <v>42</v>
      </c>
    </row>
    <row r="10" spans="1:2" x14ac:dyDescent="0.25">
      <c r="A10" s="1">
        <v>9</v>
      </c>
      <c r="B10" s="1" t="s">
        <v>43</v>
      </c>
    </row>
    <row r="11" spans="1:2" x14ac:dyDescent="0.25">
      <c r="A11" s="1">
        <v>10</v>
      </c>
      <c r="B11" s="1" t="s">
        <v>44</v>
      </c>
    </row>
    <row r="12" spans="1:2" x14ac:dyDescent="0.25">
      <c r="A12" s="1">
        <v>11</v>
      </c>
      <c r="B12" s="1" t="s">
        <v>45</v>
      </c>
    </row>
    <row r="13" spans="1:2" x14ac:dyDescent="0.25">
      <c r="A13" s="1">
        <v>12</v>
      </c>
      <c r="B13" s="1" t="s">
        <v>46</v>
      </c>
    </row>
    <row r="14" spans="1:2" x14ac:dyDescent="0.25">
      <c r="A14" s="1">
        <v>13</v>
      </c>
      <c r="B14" s="1" t="s">
        <v>47</v>
      </c>
    </row>
  </sheetData>
  <phoneticPr fontId="7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1C48-FB83-4332-8F85-D1C0B655EA61}">
  <sheetPr codeName="Planilha5"/>
  <dimension ref="A1"/>
  <sheetViews>
    <sheetView topLeftCell="A7" workbookViewId="0">
      <selection activeCell="G14" sqref="G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Orçamento</vt:lpstr>
      <vt:lpstr>Preço Produtos</vt:lpstr>
      <vt:lpstr>Preços Fretes</vt:lpstr>
      <vt:lpstr>Clientes</vt:lpstr>
      <vt:lpstr>Anotações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 DA SILVA MENDES</cp:lastModifiedBy>
  <cp:lastPrinted>2023-07-01T19:49:24Z</cp:lastPrinted>
  <dcterms:created xsi:type="dcterms:W3CDTF">2015-02-15T19:13:43Z</dcterms:created>
  <dcterms:modified xsi:type="dcterms:W3CDTF">2023-07-01T20:00:37Z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3e1aee13-c2a0-43b8-9d95-f01201b681fa</vt:lpwstr>
  </property>
</Properties>
</file>