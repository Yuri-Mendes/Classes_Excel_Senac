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cuments\Aulas24.06\"/>
    </mc:Choice>
  </mc:AlternateContent>
  <xr:revisionPtr revIDLastSave="0" documentId="13_ncr:1_{34342D40-AFE1-4CF9-BEB8-761E16760C5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Decisão Compra" sheetId="1" r:id="rId1"/>
    <sheet name="Informações" sheetId="2" r:id="rId2"/>
  </sheets>
  <definedNames>
    <definedName name="_xlnm._FilterDatabase" localSheetId="0" hidden="1">'Decisão Compra'!$A$1:$J$11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2" i="1"/>
  <c r="G3" i="1"/>
  <c r="G4" i="1"/>
  <c r="G5" i="1"/>
  <c r="G6" i="1"/>
  <c r="G7" i="1"/>
  <c r="G8" i="1"/>
  <c r="G9" i="1"/>
  <c r="G10" i="1"/>
  <c r="G11" i="1"/>
  <c r="G2" i="1"/>
  <c r="E2" i="1"/>
  <c r="F2" i="1" s="1"/>
  <c r="E3" i="1"/>
  <c r="F3" i="1" s="1"/>
  <c r="E4" i="1"/>
  <c r="F4" i="1" s="1"/>
  <c r="E5" i="1"/>
  <c r="F5" i="1" s="1"/>
  <c r="E6" i="1"/>
  <c r="I6" i="1" s="1"/>
  <c r="J6" i="1" s="1"/>
  <c r="E7" i="1"/>
  <c r="F7" i="1" s="1"/>
  <c r="E8" i="1"/>
  <c r="F8" i="1" s="1"/>
  <c r="E9" i="1"/>
  <c r="I9" i="1" s="1"/>
  <c r="J9" i="1" s="1"/>
  <c r="E10" i="1"/>
  <c r="I10" i="1" s="1"/>
  <c r="J10" i="1" s="1"/>
  <c r="E11" i="1"/>
  <c r="F11" i="1" s="1"/>
  <c r="I3" i="1"/>
  <c r="J3" i="1" s="1"/>
  <c r="I5" i="1"/>
  <c r="J5" i="1" s="1"/>
  <c r="I7" i="1"/>
  <c r="J7" i="1" s="1"/>
  <c r="F6" i="1" l="1"/>
  <c r="I8" i="1"/>
  <c r="J8" i="1" s="1"/>
  <c r="F10" i="1"/>
  <c r="I4" i="1"/>
  <c r="J4" i="1" s="1"/>
  <c r="F9" i="1"/>
  <c r="I11" i="1"/>
  <c r="J11" i="1" s="1"/>
  <c r="I2" i="1"/>
  <c r="J2" i="1" s="1"/>
</calcChain>
</file>

<file path=xl/sharedStrings.xml><?xml version="1.0" encoding="utf-8"?>
<sst xmlns="http://schemas.openxmlformats.org/spreadsheetml/2006/main" count="46" uniqueCount="38">
  <si>
    <t>Equipamento</t>
  </si>
  <si>
    <t>Preço</t>
  </si>
  <si>
    <t>Potência</t>
  </si>
  <si>
    <t>Fornecedor</t>
  </si>
  <si>
    <t>Score Preço</t>
  </si>
  <si>
    <t>Score Potência</t>
  </si>
  <si>
    <t>Ótimo</t>
  </si>
  <si>
    <t>Bom</t>
  </si>
  <si>
    <t>Caro</t>
  </si>
  <si>
    <t>Muito Caro</t>
  </si>
  <si>
    <t>Ruim</t>
  </si>
  <si>
    <t>Muito Ruim</t>
  </si>
  <si>
    <t>Score Final</t>
  </si>
  <si>
    <t>Lemon 480 Ultra Power</t>
  </si>
  <si>
    <t>AlfaTec Soluções</t>
  </si>
  <si>
    <t>MC 70</t>
  </si>
  <si>
    <t>Mec Equip</t>
  </si>
  <si>
    <t>LT 460 W</t>
  </si>
  <si>
    <t>Lab Tecnologias</t>
  </si>
  <si>
    <t>SS 200 Power</t>
  </si>
  <si>
    <t>Schmitd Solutions</t>
  </si>
  <si>
    <t>Beta 270</t>
  </si>
  <si>
    <t>Beta Máquinas</t>
  </si>
  <si>
    <t>Cia 340</t>
  </si>
  <si>
    <t>Máquinas e Cia Ltda.</t>
  </si>
  <si>
    <t>MS 450 Mega Power</t>
  </si>
  <si>
    <t>MS Solutions</t>
  </si>
  <si>
    <t>JJ 330</t>
  </si>
  <si>
    <t>JJ Equipments</t>
  </si>
  <si>
    <t>JM 0080</t>
  </si>
  <si>
    <t>Juice Machines</t>
  </si>
  <si>
    <t>TechJuice 330</t>
  </si>
  <si>
    <t>Techno Juice</t>
  </si>
  <si>
    <t>Final</t>
  </si>
  <si>
    <t>verdadeiro = valor aproximado</t>
  </si>
  <si>
    <t>falso = valor exato</t>
  </si>
  <si>
    <t>FIXAR (F4) PARA PODER ARRASTAR OS VALORES NA COLUNA C</t>
  </si>
  <si>
    <t>condição SE (último parêntese fica preto significa que as condições fecharam)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</si>
</sst>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R$&quot;\ * #,##0.00_);_(&quot;R$&quot;\ * \(#,##0.00\);_(&quot;R$&quot;\ 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164" fontId="0" fillId="0" borderId="1" xfId="1" applyFont="1" applyBorder="1"/>
    <xf numFmtId="0" fontId="2" fillId="2" borderId="2" xfId="0" applyFont="1" applyFill="1" applyBorder="1"/>
    <xf numFmtId="0" fontId="0" fillId="0" borderId="3" xfId="0" applyBorder="1"/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5" fillId="8" borderId="0" xfId="0" applyFont="1" applyFill="1"/>
    <xf numFmtId="0" fontId="0" fillId="0" borderId="5" xfId="0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Moeda" xfId="1" builtinId="4"/>
    <cellStyle name="Normal" xfId="0" builtinId="0"/>
  </cellStyles>
  <dxfs count="18"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3</xdr:row>
      <xdr:rowOff>180975</xdr:rowOff>
    </xdr:from>
    <xdr:to>
      <xdr:col>4</xdr:col>
      <xdr:colOff>523284</xdr:colOff>
      <xdr:row>9</xdr:row>
      <xdr:rowOff>180832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7888F2C-C39D-BB22-F9A0-A5FA5D387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752475"/>
          <a:ext cx="4723809" cy="11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12</xdr:row>
      <xdr:rowOff>114300</xdr:rowOff>
    </xdr:from>
    <xdr:to>
      <xdr:col>8</xdr:col>
      <xdr:colOff>380125</xdr:colOff>
      <xdr:row>28</xdr:row>
      <xdr:rowOff>18681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C15681B-F1E7-35E6-FF03-FE9DCC002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2400300"/>
          <a:ext cx="7000000" cy="29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32</xdr:row>
      <xdr:rowOff>16178</xdr:rowOff>
    </xdr:from>
    <xdr:to>
      <xdr:col>14</xdr:col>
      <xdr:colOff>512722</xdr:colOff>
      <xdr:row>45</xdr:row>
      <xdr:rowOff>94863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815A511-988C-BCA5-7344-A50BDCA98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" y="6236003"/>
          <a:ext cx="10780672" cy="2555185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46</xdr:row>
      <xdr:rowOff>142876</xdr:rowOff>
    </xdr:from>
    <xdr:to>
      <xdr:col>14</xdr:col>
      <xdr:colOff>552450</xdr:colOff>
      <xdr:row>55</xdr:row>
      <xdr:rowOff>115890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9585A875-C8F7-E2A7-BAF7-81DAA9A75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775" y="9029701"/>
          <a:ext cx="10820400" cy="1687514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133351</xdr:colOff>
      <xdr:row>57</xdr:row>
      <xdr:rowOff>57150</xdr:rowOff>
    </xdr:from>
    <xdr:to>
      <xdr:col>14</xdr:col>
      <xdr:colOff>513854</xdr:colOff>
      <xdr:row>67</xdr:row>
      <xdr:rowOff>85725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8ED30C8-C857-EF71-54DE-66A81E720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351" y="11039475"/>
          <a:ext cx="10753228" cy="1933575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68</xdr:row>
      <xdr:rowOff>69262</xdr:rowOff>
    </xdr:from>
    <xdr:to>
      <xdr:col>12</xdr:col>
      <xdr:colOff>341524</xdr:colOff>
      <xdr:row>86</xdr:row>
      <xdr:rowOff>94742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C13ADB81-F9A6-C701-DF57-9D1AC8192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875" y="13147087"/>
          <a:ext cx="9352174" cy="34544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11"/>
  <sheetViews>
    <sheetView workbookViewId="0">
      <selection activeCell="N11" sqref="N11"/>
    </sheetView>
  </sheetViews>
  <sheetFormatPr defaultRowHeight="15" x14ac:dyDescent="0.25"/>
  <cols>
    <col min="1" max="1" width="21.7109375" bestFit="1" customWidth="1"/>
    <col min="2" max="2" width="19.28515625" bestFit="1" customWidth="1"/>
    <col min="3" max="3" width="12.140625" bestFit="1" customWidth="1"/>
    <col min="4" max="4" width="8.7109375" customWidth="1"/>
    <col min="5" max="5" width="8.5703125" bestFit="1" customWidth="1"/>
    <col min="6" max="6" width="10.7109375" bestFit="1" customWidth="1"/>
    <col min="7" max="7" width="2" bestFit="1" customWidth="1"/>
    <col min="8" max="8" width="11.28515625" bestFit="1" customWidth="1"/>
    <col min="9" max="9" width="6.140625" customWidth="1"/>
    <col min="10" max="10" width="11.28515625" bestFit="1" customWidth="1"/>
    <col min="12" max="12" width="5" bestFit="1" customWidth="1"/>
    <col min="13" max="13" width="2" bestFit="1" customWidth="1"/>
    <col min="14" max="14" width="10.7109375" bestFit="1" customWidth="1"/>
    <col min="15" max="15" width="5.7109375" customWidth="1"/>
    <col min="16" max="16" width="4" bestFit="1" customWidth="1"/>
    <col min="17" max="17" width="2" bestFit="1" customWidth="1"/>
    <col min="18" max="18" width="11.28515625" bestFit="1" customWidth="1"/>
    <col min="19" max="19" width="5.7109375" customWidth="1"/>
    <col min="20" max="20" width="3" bestFit="1" customWidth="1"/>
    <col min="21" max="21" width="11.28515625" bestFit="1" customWidth="1"/>
    <col min="22" max="23" width="8.5703125" bestFit="1" customWidth="1"/>
    <col min="24" max="24" width="11.28515625" bestFit="1" customWidth="1"/>
  </cols>
  <sheetData>
    <row r="1" spans="1:22" x14ac:dyDescent="0.25">
      <c r="A1" s="3" t="s">
        <v>0</v>
      </c>
      <c r="B1" s="3" t="s">
        <v>3</v>
      </c>
      <c r="C1" s="3" t="s">
        <v>1</v>
      </c>
      <c r="D1" s="3" t="s">
        <v>2</v>
      </c>
      <c r="E1" s="17" t="s">
        <v>4</v>
      </c>
      <c r="F1" s="18"/>
      <c r="G1" s="17" t="s">
        <v>5</v>
      </c>
      <c r="H1" s="18"/>
      <c r="I1" s="17" t="s">
        <v>12</v>
      </c>
      <c r="J1" s="17"/>
      <c r="L1" s="16" t="s">
        <v>1</v>
      </c>
      <c r="M1" s="16"/>
      <c r="N1" s="16"/>
      <c r="P1" s="16" t="s">
        <v>2</v>
      </c>
      <c r="Q1" s="16"/>
      <c r="R1" s="16"/>
      <c r="T1" s="16" t="s">
        <v>33</v>
      </c>
      <c r="U1" s="16"/>
      <c r="V1" s="16"/>
    </row>
    <row r="2" spans="1:22" x14ac:dyDescent="0.25">
      <c r="A2" s="1" t="s">
        <v>13</v>
      </c>
      <c r="B2" s="1" t="s">
        <v>14</v>
      </c>
      <c r="C2" s="2">
        <v>780</v>
      </c>
      <c r="D2" s="11">
        <v>480</v>
      </c>
      <c r="E2" s="14">
        <f>VLOOKUP(C2,$L:$N,2,1)</f>
        <v>4</v>
      </c>
      <c r="F2" s="15" t="str">
        <f>IF(E2=1,"Muito Caro",IF(E2=2,"Caro",IF(E2=3,"Bom",IF(E2=4,"Ótimo",))))</f>
        <v>Ótimo</v>
      </c>
      <c r="G2" s="14">
        <f>VLOOKUP(D2,P:R,2,1)</f>
        <v>4</v>
      </c>
      <c r="H2" s="15" t="str">
        <f>IF(G2=1,"Muito Ruim",IF(G2=2,"Ruim",IF(G2=3,"Bom",IF(G2=4,"Ótimo",))))</f>
        <v>Ótimo</v>
      </c>
      <c r="I2" s="12">
        <f>E2*G2</f>
        <v>16</v>
      </c>
      <c r="J2" s="21" t="str">
        <f>IF(AND(I2&gt;0,I2&lt;3.9),"Muito Ruim",IF(AND(I2&gt;3.9,I2&lt;8.9),"Ruim",IF(AND(I2&gt;8.9,I2&lt;15.9),"Bom","Ótimo")))</f>
        <v>Ótimo</v>
      </c>
      <c r="L2" s="5">
        <v>0</v>
      </c>
      <c r="M2" s="5">
        <v>4</v>
      </c>
      <c r="N2" s="5" t="s">
        <v>6</v>
      </c>
      <c r="O2" s="5"/>
      <c r="P2" s="5">
        <v>0</v>
      </c>
      <c r="Q2" s="5">
        <v>1</v>
      </c>
      <c r="R2" s="5" t="s">
        <v>11</v>
      </c>
      <c r="S2" s="5"/>
      <c r="T2" s="5">
        <v>1</v>
      </c>
      <c r="U2" s="5" t="s">
        <v>11</v>
      </c>
      <c r="V2" s="6"/>
    </row>
    <row r="3" spans="1:22" x14ac:dyDescent="0.25">
      <c r="A3" s="1" t="s">
        <v>15</v>
      </c>
      <c r="B3" s="1" t="s">
        <v>16</v>
      </c>
      <c r="C3" s="2">
        <v>1990</v>
      </c>
      <c r="D3" s="11">
        <v>70</v>
      </c>
      <c r="E3" s="14">
        <f t="shared" ref="E3:E11" si="0">VLOOKUP(C3,$L:$N,2,1)</f>
        <v>3</v>
      </c>
      <c r="F3" s="15" t="str">
        <f t="shared" ref="F3:F11" si="1">IF(E3=1,"Muito Caro",IF(E3=2,"Caro",IF(E3=3,"Bom",IF(E3=4,"Ótimo",))))</f>
        <v>Bom</v>
      </c>
      <c r="G3" s="14">
        <f t="shared" ref="G3:G11" si="2">VLOOKUP(D3,P:R,2,1)</f>
        <v>1</v>
      </c>
      <c r="H3" s="15" t="str">
        <f t="shared" ref="H3:H11" si="3">IF(G3=1,"Muito Ruim",IF(G3=2,"Ruim",IF(G3=3,"Bom",IF(G3=4,"Ótimo",))))</f>
        <v>Muito Ruim</v>
      </c>
      <c r="I3" s="12">
        <f t="shared" ref="I3:I11" si="4">E3*G3</f>
        <v>3</v>
      </c>
      <c r="J3" s="21" t="str">
        <f t="shared" ref="J3:J11" si="5">IF(AND(I3&gt;0,I3&lt;3.9),"Muito Ruim",IF(AND(I3&gt;3.9,I3&lt;8.9),"Ruim",IF(AND(I3&gt;8.9,I3&lt;15.9),"Bom","Ótimo")))</f>
        <v>Muito Ruim</v>
      </c>
      <c r="L3" s="5">
        <v>1000</v>
      </c>
      <c r="M3" s="5">
        <v>3</v>
      </c>
      <c r="N3" s="5" t="s">
        <v>7</v>
      </c>
      <c r="O3" s="5"/>
      <c r="P3" s="5">
        <v>200</v>
      </c>
      <c r="Q3" s="5">
        <v>2</v>
      </c>
      <c r="R3" s="5" t="s">
        <v>10</v>
      </c>
      <c r="S3" s="5"/>
      <c r="T3" s="5">
        <v>4</v>
      </c>
      <c r="U3" s="5" t="s">
        <v>10</v>
      </c>
      <c r="V3" s="7"/>
    </row>
    <row r="4" spans="1:22" x14ac:dyDescent="0.25">
      <c r="A4" s="1" t="s">
        <v>17</v>
      </c>
      <c r="B4" s="1" t="s">
        <v>18</v>
      </c>
      <c r="C4" s="2">
        <v>3420</v>
      </c>
      <c r="D4" s="11">
        <v>460</v>
      </c>
      <c r="E4" s="14">
        <f t="shared" si="0"/>
        <v>1</v>
      </c>
      <c r="F4" s="15" t="str">
        <f t="shared" si="1"/>
        <v>Muito Caro</v>
      </c>
      <c r="G4" s="14">
        <f t="shared" si="2"/>
        <v>4</v>
      </c>
      <c r="H4" s="15" t="str">
        <f t="shared" si="3"/>
        <v>Ótimo</v>
      </c>
      <c r="I4" s="12">
        <f t="shared" si="4"/>
        <v>4</v>
      </c>
      <c r="J4" s="21" t="str">
        <f t="shared" si="5"/>
        <v>Ruim</v>
      </c>
      <c r="L4" s="5">
        <v>2000</v>
      </c>
      <c r="M4" s="5">
        <v>2</v>
      </c>
      <c r="N4" s="5" t="s">
        <v>8</v>
      </c>
      <c r="O4" s="5"/>
      <c r="P4" s="5">
        <v>300</v>
      </c>
      <c r="Q4" s="5">
        <v>3</v>
      </c>
      <c r="R4" s="5" t="s">
        <v>7</v>
      </c>
      <c r="S4" s="5"/>
      <c r="T4" s="5">
        <v>9</v>
      </c>
      <c r="U4" s="5" t="s">
        <v>7</v>
      </c>
      <c r="V4" s="8"/>
    </row>
    <row r="5" spans="1:22" x14ac:dyDescent="0.25">
      <c r="A5" s="1" t="s">
        <v>19</v>
      </c>
      <c r="B5" s="1" t="s">
        <v>20</v>
      </c>
      <c r="C5" s="2">
        <v>1490</v>
      </c>
      <c r="D5" s="11">
        <v>200</v>
      </c>
      <c r="E5" s="14">
        <f t="shared" si="0"/>
        <v>3</v>
      </c>
      <c r="F5" s="15" t="str">
        <f t="shared" si="1"/>
        <v>Bom</v>
      </c>
      <c r="G5" s="14">
        <f t="shared" si="2"/>
        <v>2</v>
      </c>
      <c r="H5" s="15" t="str">
        <f t="shared" si="3"/>
        <v>Ruim</v>
      </c>
      <c r="I5" s="12">
        <f t="shared" si="4"/>
        <v>6</v>
      </c>
      <c r="J5" s="21" t="str">
        <f t="shared" si="5"/>
        <v>Ruim</v>
      </c>
      <c r="L5" s="5">
        <v>3000</v>
      </c>
      <c r="M5" s="5">
        <v>1</v>
      </c>
      <c r="N5" s="5" t="s">
        <v>9</v>
      </c>
      <c r="O5" s="5"/>
      <c r="P5" s="5">
        <v>400</v>
      </c>
      <c r="Q5" s="5">
        <v>4</v>
      </c>
      <c r="R5" s="5" t="s">
        <v>6</v>
      </c>
      <c r="S5" s="5"/>
      <c r="T5" s="5">
        <v>16</v>
      </c>
      <c r="U5" s="5" t="s">
        <v>6</v>
      </c>
      <c r="V5" s="9"/>
    </row>
    <row r="6" spans="1:22" x14ac:dyDescent="0.25">
      <c r="A6" s="1" t="s">
        <v>21</v>
      </c>
      <c r="B6" s="1" t="s">
        <v>22</v>
      </c>
      <c r="C6" s="2">
        <v>510</v>
      </c>
      <c r="D6" s="11">
        <v>270</v>
      </c>
      <c r="E6" s="14">
        <f t="shared" si="0"/>
        <v>4</v>
      </c>
      <c r="F6" s="15" t="str">
        <f t="shared" si="1"/>
        <v>Ótimo</v>
      </c>
      <c r="G6" s="14">
        <f t="shared" si="2"/>
        <v>2</v>
      </c>
      <c r="H6" s="15" t="str">
        <f t="shared" si="3"/>
        <v>Ruim</v>
      </c>
      <c r="I6" s="12">
        <f t="shared" si="4"/>
        <v>8</v>
      </c>
      <c r="J6" s="21" t="str">
        <f t="shared" si="5"/>
        <v>Ruim</v>
      </c>
    </row>
    <row r="7" spans="1:22" x14ac:dyDescent="0.25">
      <c r="A7" s="1" t="s">
        <v>23</v>
      </c>
      <c r="B7" s="1" t="s">
        <v>24</v>
      </c>
      <c r="C7" s="2">
        <v>150</v>
      </c>
      <c r="D7" s="11">
        <v>340</v>
      </c>
      <c r="E7" s="14">
        <f t="shared" si="0"/>
        <v>4</v>
      </c>
      <c r="F7" s="15" t="str">
        <f t="shared" si="1"/>
        <v>Ótimo</v>
      </c>
      <c r="G7" s="14">
        <f t="shared" si="2"/>
        <v>3</v>
      </c>
      <c r="H7" s="15" t="str">
        <f t="shared" si="3"/>
        <v>Bom</v>
      </c>
      <c r="I7" s="12">
        <f t="shared" si="4"/>
        <v>12</v>
      </c>
      <c r="J7" s="21" t="str">
        <f t="shared" si="5"/>
        <v>Bom</v>
      </c>
    </row>
    <row r="8" spans="1:22" x14ac:dyDescent="0.25">
      <c r="A8" s="1" t="s">
        <v>25</v>
      </c>
      <c r="B8" s="1" t="s">
        <v>26</v>
      </c>
      <c r="C8" s="2">
        <v>3220</v>
      </c>
      <c r="D8" s="11">
        <v>450</v>
      </c>
      <c r="E8" s="14">
        <f t="shared" si="0"/>
        <v>1</v>
      </c>
      <c r="F8" s="15" t="str">
        <f t="shared" si="1"/>
        <v>Muito Caro</v>
      </c>
      <c r="G8" s="14">
        <f t="shared" si="2"/>
        <v>4</v>
      </c>
      <c r="H8" s="15" t="str">
        <f t="shared" si="3"/>
        <v>Ótimo</v>
      </c>
      <c r="I8" s="12">
        <f t="shared" si="4"/>
        <v>4</v>
      </c>
      <c r="J8" s="21" t="str">
        <f t="shared" si="5"/>
        <v>Ruim</v>
      </c>
    </row>
    <row r="9" spans="1:22" x14ac:dyDescent="0.25">
      <c r="A9" s="1" t="s">
        <v>27</v>
      </c>
      <c r="B9" s="1" t="s">
        <v>28</v>
      </c>
      <c r="C9" s="2">
        <v>380</v>
      </c>
      <c r="D9" s="11">
        <v>330</v>
      </c>
      <c r="E9" s="14">
        <f t="shared" si="0"/>
        <v>4</v>
      </c>
      <c r="F9" s="15" t="str">
        <f t="shared" si="1"/>
        <v>Ótimo</v>
      </c>
      <c r="G9" s="14">
        <f t="shared" si="2"/>
        <v>3</v>
      </c>
      <c r="H9" s="15" t="str">
        <f t="shared" si="3"/>
        <v>Bom</v>
      </c>
      <c r="I9" s="12">
        <f t="shared" si="4"/>
        <v>12</v>
      </c>
      <c r="J9" s="21" t="str">
        <f t="shared" si="5"/>
        <v>Bom</v>
      </c>
    </row>
    <row r="10" spans="1:22" x14ac:dyDescent="0.25">
      <c r="A10" s="1" t="s">
        <v>29</v>
      </c>
      <c r="B10" s="1" t="s">
        <v>30</v>
      </c>
      <c r="C10" s="2">
        <v>2040</v>
      </c>
      <c r="D10" s="11">
        <v>80</v>
      </c>
      <c r="E10" s="14">
        <f t="shared" si="0"/>
        <v>2</v>
      </c>
      <c r="F10" s="15" t="str">
        <f t="shared" si="1"/>
        <v>Caro</v>
      </c>
      <c r="G10" s="14">
        <f t="shared" si="2"/>
        <v>1</v>
      </c>
      <c r="H10" s="15" t="str">
        <f t="shared" si="3"/>
        <v>Muito Ruim</v>
      </c>
      <c r="I10" s="12">
        <f t="shared" si="4"/>
        <v>2</v>
      </c>
      <c r="J10" s="21" t="str">
        <f t="shared" si="5"/>
        <v>Muito Ruim</v>
      </c>
    </row>
    <row r="11" spans="1:22" x14ac:dyDescent="0.25">
      <c r="A11" s="4" t="s">
        <v>31</v>
      </c>
      <c r="B11" s="4" t="s">
        <v>32</v>
      </c>
      <c r="C11" s="2">
        <v>1340</v>
      </c>
      <c r="D11" s="13">
        <v>330</v>
      </c>
      <c r="E11" s="14">
        <f t="shared" si="0"/>
        <v>3</v>
      </c>
      <c r="F11" s="15" t="str">
        <f t="shared" si="1"/>
        <v>Bom</v>
      </c>
      <c r="G11" s="14">
        <f t="shared" si="2"/>
        <v>3</v>
      </c>
      <c r="H11" s="15" t="str">
        <f t="shared" si="3"/>
        <v>Bom</v>
      </c>
      <c r="I11" s="12">
        <f t="shared" si="4"/>
        <v>9</v>
      </c>
      <c r="J11" s="21" t="str">
        <f t="shared" si="5"/>
        <v>Bom</v>
      </c>
    </row>
  </sheetData>
  <mergeCells count="6">
    <mergeCell ref="T1:V1"/>
    <mergeCell ref="E1:F1"/>
    <mergeCell ref="G1:H1"/>
    <mergeCell ref="I1:J1"/>
    <mergeCell ref="L1:N1"/>
    <mergeCell ref="P1:R1"/>
  </mergeCells>
  <conditionalFormatting sqref="E2:E11">
    <cfRule type="cellIs" dxfId="15" priority="19" operator="equal">
      <formula>2</formula>
    </cfRule>
    <cfRule type="cellIs" dxfId="14" priority="20" operator="equal">
      <formula>1</formula>
    </cfRule>
    <cfRule type="cellIs" dxfId="13" priority="21" operator="equal">
      <formula>3</formula>
    </cfRule>
    <cfRule type="cellIs" dxfId="12" priority="22" operator="equal">
      <formula>4</formula>
    </cfRule>
  </conditionalFormatting>
  <conditionalFormatting sqref="G2:G11">
    <cfRule type="cellIs" dxfId="11" priority="10" operator="equal">
      <formula>2</formula>
    </cfRule>
    <cfRule type="cellIs" dxfId="10" priority="11" operator="equal">
      <formula>1</formula>
    </cfRule>
    <cfRule type="cellIs" dxfId="9" priority="12" operator="equal">
      <formula>3</formula>
    </cfRule>
    <cfRule type="cellIs" dxfId="8" priority="13" operator="equal">
      <formula>4</formula>
    </cfRule>
  </conditionalFormatting>
  <conditionalFormatting sqref="I2:I11">
    <cfRule type="cellIs" dxfId="7" priority="5" operator="equal">
      <formula>16</formula>
    </cfRule>
    <cfRule type="cellIs" dxfId="6" priority="6" operator="between">
      <formula>9</formula>
      <formula>15.9</formula>
    </cfRule>
    <cfRule type="cellIs" dxfId="5" priority="7" operator="between">
      <formula>4</formula>
      <formula>8.9</formula>
    </cfRule>
    <cfRule type="cellIs" dxfId="4" priority="9" operator="between">
      <formula>0</formula>
      <formula>3.9</formula>
    </cfRule>
  </conditionalFormatting>
  <conditionalFormatting sqref="J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1">
    <cfRule type="cellIs" dxfId="3" priority="1" operator="equal">
      <formula>"Ótimo"</formula>
    </cfRule>
    <cfRule type="cellIs" dxfId="2" priority="2" operator="equal">
      <formula>"Bom"</formula>
    </cfRule>
    <cfRule type="cellIs" dxfId="1" priority="3" operator="equal">
      <formula>"Ruim"</formula>
    </cfRule>
    <cfRule type="containsText" dxfId="0" priority="4" operator="containsText" text="Muito Ruim">
      <formula>NOT(ISERROR(SEARCH("Muito Ruim",J2)))</formula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8FEC-4BA7-4EAA-8941-6963D18502D4}">
  <sheetPr codeName="Planilha2"/>
  <dimension ref="A2:H32"/>
  <sheetViews>
    <sheetView tabSelected="1" workbookViewId="0">
      <selection activeCell="O84" sqref="O84"/>
    </sheetView>
  </sheetViews>
  <sheetFormatPr defaultRowHeight="15" x14ac:dyDescent="0.25"/>
  <cols>
    <col min="1" max="1" width="36.7109375" bestFit="1" customWidth="1"/>
  </cols>
  <sheetData>
    <row r="2" spans="1:8" ht="18.75" x14ac:dyDescent="0.3">
      <c r="A2" s="10" t="s">
        <v>34</v>
      </c>
    </row>
    <row r="3" spans="1:8" ht="18.75" x14ac:dyDescent="0.3">
      <c r="A3" s="10" t="s">
        <v>35</v>
      </c>
    </row>
    <row r="12" spans="1:8" ht="15.75" x14ac:dyDescent="0.25">
      <c r="A12" s="19" t="s">
        <v>36</v>
      </c>
      <c r="B12" s="19"/>
      <c r="C12" s="19"/>
      <c r="D12" s="19"/>
      <c r="E12" s="19"/>
      <c r="F12" s="19"/>
      <c r="G12" s="19"/>
      <c r="H12" s="19"/>
    </row>
    <row r="31" spans="1:8" ht="15.75" x14ac:dyDescent="0.25">
      <c r="A31" s="20" t="s">
        <v>37</v>
      </c>
      <c r="B31" s="20"/>
      <c r="C31" s="20"/>
      <c r="D31" s="20"/>
      <c r="E31" s="20"/>
      <c r="F31" s="20"/>
      <c r="G31" s="20"/>
      <c r="H31" s="20"/>
    </row>
    <row r="32" spans="1:8" ht="15.75" customHeight="1" x14ac:dyDescent="0.25"/>
  </sheetData>
  <mergeCells count="2">
    <mergeCell ref="A12:H12"/>
    <mergeCell ref="A31:H31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Decisão Compra</vt:lpstr>
      <vt:lpstr>Informações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dcterms:created xsi:type="dcterms:W3CDTF">2015-01-20T21:04:21Z</dcterms:created>
  <dcterms:modified xsi:type="dcterms:W3CDTF">2023-06-24T19:11:13Z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aec4a583-7dea-41f5-be4b-2a43662ccd15</vt:lpwstr>
  </property>
</Properties>
</file>