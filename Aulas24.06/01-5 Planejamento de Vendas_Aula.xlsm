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yuri.smendes\Documents\Aulas24.06\"/>
    </mc:Choice>
  </mc:AlternateContent>
  <xr:revisionPtr revIDLastSave="0" documentId="13_ncr:1_{0D2725CD-1012-4E09-B0DD-83C6A9418C3A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Resumo Executivo" sheetId="3" r:id="rId1"/>
    <sheet name="Planejamento Vendas" sheetId="1" r:id="rId2"/>
    <sheet name="Preço Produtos" sheetId="2" r:id="rId3"/>
    <sheet name="AUXILIAR" sheetId="4" r:id="rId4"/>
  </sheets>
  <definedNames>
    <definedName name="_xlnm._FilterDatabase" localSheetId="1" hidden="1">'Planejamento Vendas'!#REF!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4" l="1"/>
  <c r="B10" i="4"/>
  <c r="B9" i="4"/>
  <c r="B8" i="4"/>
  <c r="B7" i="4"/>
  <c r="B6" i="4"/>
  <c r="B5" i="4"/>
  <c r="B4" i="4"/>
  <c r="B3" i="4"/>
  <c r="B2" i="4"/>
  <c r="C18" i="3"/>
  <c r="C19" i="3"/>
  <c r="C20" i="3"/>
  <c r="C21" i="3"/>
  <c r="C22" i="3"/>
  <c r="C23" i="3"/>
  <c r="C17" i="3"/>
  <c r="C6" i="3" l="1"/>
  <c r="C7" i="3"/>
  <c r="C8" i="3"/>
  <c r="C9" i="3"/>
  <c r="C10" i="3"/>
  <c r="C11" i="3"/>
  <c r="C5" i="3"/>
  <c r="B3" i="1"/>
  <c r="B4" i="1"/>
  <c r="B5" i="1"/>
  <c r="B6" i="1"/>
  <c r="B7" i="1"/>
  <c r="B8" i="1"/>
  <c r="B9" i="1"/>
  <c r="B10" i="1"/>
  <c r="B11" i="1"/>
  <c r="B2" i="1"/>
  <c r="I12" i="1"/>
  <c r="G12" i="1"/>
  <c r="H12" i="1"/>
  <c r="E12" i="1"/>
  <c r="D12" i="1"/>
  <c r="C12" i="1"/>
  <c r="F12" i="1"/>
</calcChain>
</file>

<file path=xl/sharedStrings.xml><?xml version="1.0" encoding="utf-8"?>
<sst xmlns="http://schemas.openxmlformats.org/spreadsheetml/2006/main" count="47" uniqueCount="29">
  <si>
    <t>id</t>
  </si>
  <si>
    <t>Produto</t>
  </si>
  <si>
    <t>Tamanho</t>
  </si>
  <si>
    <t>Preço Venda</t>
  </si>
  <si>
    <t>Limonada Alfa com Açúcar 500 ml</t>
  </si>
  <si>
    <t>500 ml</t>
  </si>
  <si>
    <t>Limonada Beta com Açúcar 500 ml</t>
  </si>
  <si>
    <t>Limonada Alfa Zero 500 ml</t>
  </si>
  <si>
    <t>Limonada Beta Zero 500 ml</t>
  </si>
  <si>
    <t>Limonada Alfa com Açúcar 1 L</t>
  </si>
  <si>
    <t>1 L</t>
  </si>
  <si>
    <t>Limonada Beta com Açúcar 1 L</t>
  </si>
  <si>
    <t>Limonada Alfa Zero 1 L</t>
  </si>
  <si>
    <t>Limonada Beta Zero 1 L</t>
  </si>
  <si>
    <t>Limonada Alfa com Hortelã e Açúcar 1 L</t>
  </si>
  <si>
    <t>Limonada Alfa com Hortelã Zero 1 L</t>
  </si>
  <si>
    <t>Total</t>
  </si>
  <si>
    <t>Ano</t>
  </si>
  <si>
    <t>Valor planejado</t>
  </si>
  <si>
    <t>Coluna</t>
  </si>
  <si>
    <t>PROCH</t>
  </si>
  <si>
    <t>PROCV</t>
  </si>
  <si>
    <t>JUNTA INFORMAÇÕES</t>
  </si>
  <si>
    <t>PROCURA POR COLUNA</t>
  </si>
  <si>
    <t>PROCURA POR LINHA</t>
  </si>
  <si>
    <t>&amp; OU CONCAT {</t>
  </si>
  <si>
    <t>DADOS &gt; VALIDAÇÃO DE DADOS</t>
  </si>
  <si>
    <t>VALIDAÇÃO DE DADOS = OBTENDO OS VALORES DA LISTA SUSPENSA E ATUALIZANDO OS VALORES POR PRODUTO</t>
  </si>
  <si>
    <t>PROCH &gt; LINHAS PRECISAM FIXAR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</si>
</sst>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R$&quot;\ * #,##0.00_);_(&quot;R$&quot;\ * \(#,##0.00\);_(&quot;R$&quot;\ 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 wrapText="1"/>
    </xf>
    <xf numFmtId="164" fontId="0" fillId="0" borderId="0" xfId="1" applyFont="1"/>
    <xf numFmtId="164" fontId="2" fillId="2" borderId="0" xfId="1" applyFont="1" applyFill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1" applyFont="1" applyAlignment="1">
      <alignment horizontal="center" wrapText="1"/>
    </xf>
    <xf numFmtId="0" fontId="0" fillId="3" borderId="1" xfId="0" applyFill="1" applyBorder="1"/>
    <xf numFmtId="0" fontId="4" fillId="4" borderId="1" xfId="0" applyFont="1" applyFill="1" applyBorder="1"/>
    <xf numFmtId="0" fontId="4" fillId="4" borderId="0" xfId="0" applyFont="1" applyFill="1" applyAlignment="1">
      <alignment horizontal="center"/>
    </xf>
    <xf numFmtId="0" fontId="2" fillId="4" borderId="0" xfId="0" applyFont="1" applyFill="1"/>
  </cellXfs>
  <cellStyles count="2">
    <cellStyle name="Moeda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114299</xdr:colOff>
      <xdr:row>7</xdr:row>
      <xdr:rowOff>110074</xdr:rowOff>
    </xdr:from>
    <xdr:to>
      <xdr:col>17</xdr:col>
      <xdr:colOff>56011</xdr:colOff>
      <xdr:row>28</xdr:row>
      <xdr:rowOff>170687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7DD2BDE-7197-6E2A-8506-3BBAA7FFB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05524" y="1443574"/>
          <a:ext cx="6066287" cy="4061113"/>
        </a:xfrm>
        <a:prstGeom prst="rect">
          <a:avLst/>
        </a:prstGeom>
      </xdr:spPr>
    </xdr:pic>
    <xdr:clientData/>
  </xdr:twoCellAnchor>
  <xdr:twoCellAnchor editAs="oneCell">
    <xdr:from>
      <xdr:col>9</xdr:col>
      <xdr:colOff>95249</xdr:colOff>
      <xdr:row>33</xdr:row>
      <xdr:rowOff>127644</xdr:rowOff>
    </xdr:from>
    <xdr:to>
      <xdr:col>17</xdr:col>
      <xdr:colOff>364373</xdr:colOff>
      <xdr:row>46</xdr:row>
      <xdr:rowOff>180975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0BBBA68-C964-D814-ABE0-F98DD5DEE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86474" y="6033144"/>
          <a:ext cx="6393699" cy="2529831"/>
        </a:xfrm>
        <a:prstGeom prst="rect">
          <a:avLst/>
        </a:prstGeom>
      </xdr:spPr>
    </xdr:pic>
    <xdr:clientData/>
  </xdr:twoCellAnchor>
  <xdr:twoCellAnchor editAs="oneCell">
    <xdr:from>
      <xdr:col>9</xdr:col>
      <xdr:colOff>76200</xdr:colOff>
      <xdr:row>49</xdr:row>
      <xdr:rowOff>114300</xdr:rowOff>
    </xdr:from>
    <xdr:to>
      <xdr:col>16</xdr:col>
      <xdr:colOff>332654</xdr:colOff>
      <xdr:row>64</xdr:row>
      <xdr:rowOff>113943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0EF06ED-EEF1-7419-D4C9-66E1E4D4F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7425" y="9448800"/>
          <a:ext cx="5771429" cy="28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R49"/>
  <sheetViews>
    <sheetView tabSelected="1" topLeftCell="A4" workbookViewId="0">
      <selection activeCell="G17" sqref="G17"/>
    </sheetView>
  </sheetViews>
  <sheetFormatPr defaultRowHeight="15" x14ac:dyDescent="0.25"/>
  <cols>
    <col min="2" max="2" width="10" customWidth="1"/>
    <col min="3" max="3" width="15.85546875" bestFit="1" customWidth="1"/>
    <col min="10" max="10" width="15" bestFit="1" customWidth="1"/>
    <col min="11" max="11" width="22" bestFit="1" customWidth="1"/>
  </cols>
  <sheetData>
    <row r="1" spans="2:11" x14ac:dyDescent="0.25">
      <c r="C1" t="s">
        <v>16</v>
      </c>
    </row>
    <row r="3" spans="2:11" x14ac:dyDescent="0.25">
      <c r="B3" t="s">
        <v>21</v>
      </c>
      <c r="J3" s="9" t="s">
        <v>21</v>
      </c>
      <c r="K3" s="8" t="s">
        <v>23</v>
      </c>
    </row>
    <row r="4" spans="2:11" x14ac:dyDescent="0.25">
      <c r="B4" s="2" t="s">
        <v>17</v>
      </c>
      <c r="C4" s="2" t="s">
        <v>18</v>
      </c>
      <c r="D4" s="2" t="s">
        <v>19</v>
      </c>
      <c r="J4" s="9" t="s">
        <v>20</v>
      </c>
      <c r="K4" s="8" t="s">
        <v>24</v>
      </c>
    </row>
    <row r="5" spans="2:11" x14ac:dyDescent="0.25">
      <c r="B5" s="6">
        <v>2014</v>
      </c>
      <c r="C5" s="7">
        <f>VLOOKUP($C$1,'Planejamento Vendas'!B:I,'Resumo Executivo'!D5,0)</f>
        <v>3251075</v>
      </c>
      <c r="D5" s="1">
        <v>2</v>
      </c>
      <c r="J5" s="9" t="s">
        <v>25</v>
      </c>
      <c r="K5" s="8" t="s">
        <v>22</v>
      </c>
    </row>
    <row r="6" spans="2:11" x14ac:dyDescent="0.25">
      <c r="B6" s="6">
        <v>2015</v>
      </c>
      <c r="C6" s="7">
        <f>VLOOKUP($C$1,'Planejamento Vendas'!B:I,'Resumo Executivo'!D6,0)</f>
        <v>3273388</v>
      </c>
      <c r="D6" s="1">
        <v>3</v>
      </c>
    </row>
    <row r="7" spans="2:11" x14ac:dyDescent="0.25">
      <c r="B7" s="6">
        <v>2016</v>
      </c>
      <c r="C7" s="7">
        <f>VLOOKUP($C$1,'Planejamento Vendas'!B:I,'Resumo Executivo'!D7,0)</f>
        <v>2634744</v>
      </c>
      <c r="D7" s="1">
        <v>4</v>
      </c>
      <c r="J7" s="10" t="s">
        <v>26</v>
      </c>
      <c r="K7" s="10"/>
    </row>
    <row r="8" spans="2:11" x14ac:dyDescent="0.25">
      <c r="B8" s="6">
        <v>2017</v>
      </c>
      <c r="C8" s="7">
        <f>VLOOKUP($C$1,'Planejamento Vendas'!B:I,'Resumo Executivo'!D8,0)</f>
        <v>2979643</v>
      </c>
      <c r="D8" s="1">
        <v>5</v>
      </c>
    </row>
    <row r="9" spans="2:11" x14ac:dyDescent="0.25">
      <c r="B9" s="6">
        <v>2018</v>
      </c>
      <c r="C9" s="7">
        <f>VLOOKUP($C$1,'Planejamento Vendas'!B:I,'Resumo Executivo'!D9,0)</f>
        <v>2257581</v>
      </c>
      <c r="D9" s="1">
        <v>6</v>
      </c>
    </row>
    <row r="10" spans="2:11" x14ac:dyDescent="0.25">
      <c r="B10" s="6">
        <v>2019</v>
      </c>
      <c r="C10" s="7">
        <f>VLOOKUP($C$1,'Planejamento Vendas'!B:I,'Resumo Executivo'!D10,0)</f>
        <v>2606659</v>
      </c>
      <c r="D10" s="1">
        <v>7</v>
      </c>
    </row>
    <row r="11" spans="2:11" x14ac:dyDescent="0.25">
      <c r="B11" s="6">
        <v>2020</v>
      </c>
      <c r="C11" s="7">
        <f>VLOOKUP($C$1,'Planejamento Vendas'!B:I,'Resumo Executivo'!D11,0)</f>
        <v>2930115</v>
      </c>
      <c r="D11" s="1">
        <v>8</v>
      </c>
    </row>
    <row r="14" spans="2:11" x14ac:dyDescent="0.25">
      <c r="D14" s="11">
        <v>1</v>
      </c>
    </row>
    <row r="15" spans="2:11" x14ac:dyDescent="0.25">
      <c r="B15" t="s">
        <v>20</v>
      </c>
    </row>
    <row r="16" spans="2:11" x14ac:dyDescent="0.25">
      <c r="B16" s="2" t="s">
        <v>17</v>
      </c>
      <c r="C16" s="2" t="s">
        <v>18</v>
      </c>
    </row>
    <row r="17" spans="2:3" x14ac:dyDescent="0.25">
      <c r="B17" s="6">
        <v>2014</v>
      </c>
      <c r="C17" s="7">
        <f>HLOOKUP(B17,'Planejamento Vendas'!$1:$12,12,0)</f>
        <v>3251075</v>
      </c>
    </row>
    <row r="18" spans="2:3" x14ac:dyDescent="0.25">
      <c r="B18" s="6">
        <v>2015</v>
      </c>
      <c r="C18" s="7">
        <f>HLOOKUP(B18,'Planejamento Vendas'!$1:$12,12,0)</f>
        <v>3273388</v>
      </c>
    </row>
    <row r="19" spans="2:3" x14ac:dyDescent="0.25">
      <c r="B19" s="6">
        <v>2016</v>
      </c>
      <c r="C19" s="7">
        <f>HLOOKUP(B19,'Planejamento Vendas'!$1:$12,12,0)</f>
        <v>2634744</v>
      </c>
    </row>
    <row r="20" spans="2:3" x14ac:dyDescent="0.25">
      <c r="B20" s="6">
        <v>2017</v>
      </c>
      <c r="C20" s="7">
        <f>HLOOKUP(B20,'Planejamento Vendas'!$1:$12,12,0)</f>
        <v>2979643</v>
      </c>
    </row>
    <row r="21" spans="2:3" x14ac:dyDescent="0.25">
      <c r="B21" s="6">
        <v>2018</v>
      </c>
      <c r="C21" s="7">
        <f>HLOOKUP(B21,'Planejamento Vendas'!$1:$12,12,0)</f>
        <v>2257581</v>
      </c>
    </row>
    <row r="22" spans="2:3" x14ac:dyDescent="0.25">
      <c r="B22" s="6">
        <v>2019</v>
      </c>
      <c r="C22" s="7">
        <f>HLOOKUP(B22,'Planejamento Vendas'!$1:$12,12,0)</f>
        <v>2606659</v>
      </c>
    </row>
    <row r="23" spans="2:3" x14ac:dyDescent="0.25">
      <c r="B23" s="6">
        <v>2020</v>
      </c>
      <c r="C23" s="7">
        <f>HLOOKUP(B23,'Planejamento Vendas'!$1:$12,12,0)</f>
        <v>2930115</v>
      </c>
    </row>
    <row r="33" spans="10:18" x14ac:dyDescent="0.25">
      <c r="J33" s="10" t="s">
        <v>27</v>
      </c>
      <c r="K33" s="10"/>
      <c r="L33" s="10"/>
      <c r="M33" s="10"/>
      <c r="N33" s="10"/>
      <c r="O33" s="10"/>
      <c r="P33" s="10"/>
      <c r="Q33" s="10"/>
      <c r="R33" s="10"/>
    </row>
    <row r="49" spans="10:17" x14ac:dyDescent="0.25">
      <c r="J49" s="10" t="s">
        <v>28</v>
      </c>
      <c r="K49" s="10"/>
      <c r="L49" s="10"/>
      <c r="M49" s="10"/>
      <c r="N49" s="10"/>
      <c r="O49" s="10"/>
      <c r="P49" s="10"/>
      <c r="Q49" s="10"/>
    </row>
  </sheetData>
  <mergeCells count="3">
    <mergeCell ref="J7:K7"/>
    <mergeCell ref="J33:R33"/>
    <mergeCell ref="J49:Q49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864E966-6AC7-48E0-BF7B-00584B7A5B58}">
          <x14:formula1>
            <xm:f>'Planejamento Vendas'!$B$2:$B$12</xm:f>
          </x14:formula1>
          <xm:sqref>C1</xm:sqref>
        </x14:dataValidation>
        <x14:dataValidation type="list" allowBlank="1" showInputMessage="1" showErrorMessage="1" xr:uid="{B9FEBA52-AAA5-4C0E-97A9-4526856BDF36}">
          <x14:formula1>
            <xm:f>AUXILIAR!$C$1:$C$12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2"/>
  <sheetViews>
    <sheetView workbookViewId="0">
      <selection sqref="A1:B12"/>
    </sheetView>
  </sheetViews>
  <sheetFormatPr defaultRowHeight="15" x14ac:dyDescent="0.25"/>
  <cols>
    <col min="2" max="2" width="33.85546875" customWidth="1"/>
    <col min="3" max="9" width="15.85546875" bestFit="1" customWidth="1"/>
  </cols>
  <sheetData>
    <row r="1" spans="1:9" x14ac:dyDescent="0.25">
      <c r="A1" s="3" t="s">
        <v>0</v>
      </c>
      <c r="B1" s="3" t="s">
        <v>1</v>
      </c>
      <c r="C1" s="2">
        <v>2014</v>
      </c>
      <c r="D1" s="2">
        <v>2015</v>
      </c>
      <c r="E1" s="2">
        <v>2016</v>
      </c>
      <c r="F1" s="2">
        <v>2017</v>
      </c>
      <c r="G1" s="2">
        <v>2018</v>
      </c>
      <c r="H1" s="2">
        <v>2019</v>
      </c>
      <c r="I1" s="2">
        <v>2020</v>
      </c>
    </row>
    <row r="2" spans="1:9" x14ac:dyDescent="0.25">
      <c r="A2" s="1">
        <v>1</v>
      </c>
      <c r="B2" t="str">
        <f>VLOOKUP(A2,'Preço Produtos'!A:B,2,0)</f>
        <v>Limonada Alfa com Açúcar 500 ml</v>
      </c>
      <c r="C2" s="4">
        <v>339962</v>
      </c>
      <c r="D2" s="4">
        <v>424483</v>
      </c>
      <c r="E2" s="4">
        <v>397834</v>
      </c>
      <c r="F2" s="4">
        <v>264740</v>
      </c>
      <c r="G2" s="4">
        <v>408094</v>
      </c>
      <c r="H2" s="4">
        <v>382933</v>
      </c>
      <c r="I2" s="4">
        <v>369968</v>
      </c>
    </row>
    <row r="3" spans="1:9" x14ac:dyDescent="0.25">
      <c r="A3" s="1">
        <v>2</v>
      </c>
      <c r="B3" t="str">
        <f>VLOOKUP(A3,'Preço Produtos'!A:B,2,0)</f>
        <v>Limonada Beta com Açúcar 500 ml</v>
      </c>
      <c r="C3" s="4">
        <v>458092</v>
      </c>
      <c r="D3" s="4">
        <v>209414</v>
      </c>
      <c r="E3" s="4">
        <v>208892</v>
      </c>
      <c r="F3" s="4">
        <v>199297</v>
      </c>
      <c r="G3" s="4">
        <v>122279</v>
      </c>
      <c r="H3" s="4">
        <v>204089</v>
      </c>
      <c r="I3" s="4">
        <v>242368</v>
      </c>
    </row>
    <row r="4" spans="1:9" x14ac:dyDescent="0.25">
      <c r="A4" s="1">
        <v>3</v>
      </c>
      <c r="B4" t="str">
        <f>VLOOKUP(A4,'Preço Produtos'!A:B,2,0)</f>
        <v>Limonada Alfa Zero 500 ml</v>
      </c>
      <c r="C4" s="4">
        <v>378448</v>
      </c>
      <c r="D4" s="4">
        <v>369094</v>
      </c>
      <c r="E4" s="4">
        <v>168769</v>
      </c>
      <c r="F4" s="4">
        <v>474250</v>
      </c>
      <c r="G4" s="4">
        <v>208911</v>
      </c>
      <c r="H4" s="4">
        <v>160381</v>
      </c>
      <c r="I4" s="4">
        <v>308426</v>
      </c>
    </row>
    <row r="5" spans="1:9" x14ac:dyDescent="0.25">
      <c r="A5" s="1">
        <v>4</v>
      </c>
      <c r="B5" t="str">
        <f>VLOOKUP(A5,'Preço Produtos'!A:B,2,0)</f>
        <v>Limonada Beta Zero 500 ml</v>
      </c>
      <c r="C5" s="4">
        <v>497028</v>
      </c>
      <c r="D5" s="4">
        <v>204495</v>
      </c>
      <c r="E5" s="4">
        <v>383617</v>
      </c>
      <c r="F5" s="4">
        <v>363666</v>
      </c>
      <c r="G5" s="4">
        <v>204341</v>
      </c>
      <c r="H5" s="4">
        <v>232149</v>
      </c>
      <c r="I5" s="4">
        <v>460916</v>
      </c>
    </row>
    <row r="6" spans="1:9" x14ac:dyDescent="0.25">
      <c r="A6" s="1">
        <v>5</v>
      </c>
      <c r="B6" t="str">
        <f>VLOOKUP(A6,'Preço Produtos'!A:B,2,0)</f>
        <v>Limonada Alfa com Açúcar 1 L</v>
      </c>
      <c r="C6" s="4">
        <v>490789</v>
      </c>
      <c r="D6" s="4">
        <v>216323</v>
      </c>
      <c r="E6" s="4">
        <v>157983</v>
      </c>
      <c r="F6" s="4">
        <v>243590</v>
      </c>
      <c r="G6" s="4">
        <v>132280</v>
      </c>
      <c r="H6" s="4">
        <v>214057</v>
      </c>
      <c r="I6" s="4">
        <v>218931</v>
      </c>
    </row>
    <row r="7" spans="1:9" x14ac:dyDescent="0.25">
      <c r="A7" s="1">
        <v>6</v>
      </c>
      <c r="B7" t="str">
        <f>VLOOKUP(A7,'Preço Produtos'!A:B,2,0)</f>
        <v>Limonada Beta com Açúcar 1 L</v>
      </c>
      <c r="C7" s="4">
        <v>281053</v>
      </c>
      <c r="D7" s="4">
        <v>174693</v>
      </c>
      <c r="E7" s="4">
        <v>111824</v>
      </c>
      <c r="F7" s="4">
        <v>362851</v>
      </c>
      <c r="G7" s="4">
        <v>187792</v>
      </c>
      <c r="H7" s="4">
        <v>414523</v>
      </c>
      <c r="I7" s="4">
        <v>269790</v>
      </c>
    </row>
    <row r="8" spans="1:9" x14ac:dyDescent="0.25">
      <c r="A8" s="1">
        <v>7</v>
      </c>
      <c r="B8" t="str">
        <f>VLOOKUP(A8,'Preço Produtos'!A:B,2,0)</f>
        <v>Limonada Alfa Zero 1 L</v>
      </c>
      <c r="C8" s="4">
        <v>208619</v>
      </c>
      <c r="D8" s="4">
        <v>470210</v>
      </c>
      <c r="E8" s="4">
        <v>480337</v>
      </c>
      <c r="F8" s="4">
        <v>112104</v>
      </c>
      <c r="G8" s="4">
        <v>267636</v>
      </c>
      <c r="H8" s="4">
        <v>218762</v>
      </c>
      <c r="I8" s="4">
        <v>170209</v>
      </c>
    </row>
    <row r="9" spans="1:9" x14ac:dyDescent="0.25">
      <c r="A9" s="1">
        <v>8</v>
      </c>
      <c r="B9" t="str">
        <f>VLOOKUP(A9,'Preço Produtos'!A:B,2,0)</f>
        <v>Limonada Beta Zero 1 L</v>
      </c>
      <c r="C9" s="4">
        <v>124732</v>
      </c>
      <c r="D9" s="4">
        <v>449246</v>
      </c>
      <c r="E9" s="4">
        <v>156466</v>
      </c>
      <c r="F9" s="4">
        <v>454835</v>
      </c>
      <c r="G9" s="4">
        <v>441744</v>
      </c>
      <c r="H9" s="4">
        <v>342557</v>
      </c>
      <c r="I9" s="4">
        <v>186531</v>
      </c>
    </row>
    <row r="10" spans="1:9" x14ac:dyDescent="0.25">
      <c r="A10" s="1">
        <v>9</v>
      </c>
      <c r="B10" t="str">
        <f>VLOOKUP(A10,'Preço Produtos'!A:B,2,0)</f>
        <v>Limonada Alfa com Hortelã e Açúcar 1 L</v>
      </c>
      <c r="C10" s="4">
        <v>261177</v>
      </c>
      <c r="D10" s="4">
        <v>268069</v>
      </c>
      <c r="E10" s="4">
        <v>319862</v>
      </c>
      <c r="F10" s="4">
        <v>141430</v>
      </c>
      <c r="G10" s="4">
        <v>182741</v>
      </c>
      <c r="H10" s="4">
        <v>163254</v>
      </c>
      <c r="I10" s="4">
        <v>238622</v>
      </c>
    </row>
    <row r="11" spans="1:9" x14ac:dyDescent="0.25">
      <c r="A11" s="1">
        <v>10</v>
      </c>
      <c r="B11" t="str">
        <f>VLOOKUP(A11,'Preço Produtos'!A:B,2,0)</f>
        <v>Limonada Alfa com Hortelã Zero 1 L</v>
      </c>
      <c r="C11" s="4">
        <v>211175</v>
      </c>
      <c r="D11" s="4">
        <v>487361</v>
      </c>
      <c r="E11" s="4">
        <v>249160</v>
      </c>
      <c r="F11" s="4">
        <v>362880</v>
      </c>
      <c r="G11" s="4">
        <v>101763</v>
      </c>
      <c r="H11" s="4">
        <v>273954</v>
      </c>
      <c r="I11" s="4">
        <v>464354</v>
      </c>
    </row>
    <row r="12" spans="1:9" x14ac:dyDescent="0.25">
      <c r="A12" s="3"/>
      <c r="B12" s="3" t="s">
        <v>16</v>
      </c>
      <c r="C12" s="5">
        <f t="shared" ref="C12:I12" si="0">SUM(C2:C11)</f>
        <v>3251075</v>
      </c>
      <c r="D12" s="5">
        <f t="shared" si="0"/>
        <v>3273388</v>
      </c>
      <c r="E12" s="5">
        <f t="shared" si="0"/>
        <v>2634744</v>
      </c>
      <c r="F12" s="5">
        <f t="shared" si="0"/>
        <v>2979643</v>
      </c>
      <c r="G12" s="5">
        <f t="shared" si="0"/>
        <v>2257581</v>
      </c>
      <c r="H12" s="5">
        <f t="shared" si="0"/>
        <v>2606659</v>
      </c>
      <c r="I12" s="5">
        <f t="shared" si="0"/>
        <v>2930115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11"/>
  <sheetViews>
    <sheetView workbookViewId="0">
      <selection activeCell="B4" sqref="B4"/>
    </sheetView>
  </sheetViews>
  <sheetFormatPr defaultRowHeight="15" x14ac:dyDescent="0.25"/>
  <cols>
    <col min="1" max="1" width="3" style="1" bestFit="1" customWidth="1"/>
    <col min="2" max="2" width="36" customWidth="1"/>
    <col min="4" max="4" width="9.5703125" bestFit="1" customWidth="1"/>
  </cols>
  <sheetData>
    <row r="1" spans="1:4" ht="30" x14ac:dyDescent="0.25">
      <c r="A1" s="3" t="s">
        <v>0</v>
      </c>
      <c r="B1" s="3" t="s">
        <v>1</v>
      </c>
      <c r="C1" s="3" t="s">
        <v>2</v>
      </c>
      <c r="D1" s="3" t="s">
        <v>3</v>
      </c>
    </row>
    <row r="2" spans="1:4" x14ac:dyDescent="0.25">
      <c r="A2" s="1">
        <v>1</v>
      </c>
      <c r="B2" t="s">
        <v>4</v>
      </c>
      <c r="C2" s="1" t="s">
        <v>5</v>
      </c>
      <c r="D2" s="4">
        <v>5</v>
      </c>
    </row>
    <row r="3" spans="1:4" x14ac:dyDescent="0.25">
      <c r="A3" s="1">
        <v>2</v>
      </c>
      <c r="B3" t="s">
        <v>6</v>
      </c>
      <c r="C3" s="1" t="s">
        <v>5</v>
      </c>
      <c r="D3" s="4">
        <v>4</v>
      </c>
    </row>
    <row r="4" spans="1:4" x14ac:dyDescent="0.25">
      <c r="A4" s="1">
        <v>3</v>
      </c>
      <c r="B4" t="s">
        <v>7</v>
      </c>
      <c r="C4" s="1" t="s">
        <v>5</v>
      </c>
      <c r="D4" s="4">
        <v>3.5</v>
      </c>
    </row>
    <row r="5" spans="1:4" x14ac:dyDescent="0.25">
      <c r="A5" s="1">
        <v>4</v>
      </c>
      <c r="B5" t="s">
        <v>8</v>
      </c>
      <c r="C5" s="1" t="s">
        <v>5</v>
      </c>
      <c r="D5" s="4">
        <v>2.5</v>
      </c>
    </row>
    <row r="6" spans="1:4" x14ac:dyDescent="0.25">
      <c r="A6" s="1">
        <v>5</v>
      </c>
      <c r="B6" t="s">
        <v>9</v>
      </c>
      <c r="C6" s="1" t="s">
        <v>10</v>
      </c>
      <c r="D6" s="4">
        <v>8.5</v>
      </c>
    </row>
    <row r="7" spans="1:4" x14ac:dyDescent="0.25">
      <c r="A7" s="1">
        <v>6</v>
      </c>
      <c r="B7" t="s">
        <v>11</v>
      </c>
      <c r="C7" s="1" t="s">
        <v>10</v>
      </c>
      <c r="D7" s="4">
        <v>6.5</v>
      </c>
    </row>
    <row r="8" spans="1:4" x14ac:dyDescent="0.25">
      <c r="A8" s="1">
        <v>7</v>
      </c>
      <c r="B8" t="s">
        <v>12</v>
      </c>
      <c r="C8" s="1" t="s">
        <v>10</v>
      </c>
      <c r="D8" s="4">
        <v>4</v>
      </c>
    </row>
    <row r="9" spans="1:4" x14ac:dyDescent="0.25">
      <c r="A9" s="1">
        <v>8</v>
      </c>
      <c r="B9" t="s">
        <v>13</v>
      </c>
      <c r="C9" s="1" t="s">
        <v>10</v>
      </c>
      <c r="D9" s="4">
        <v>3</v>
      </c>
    </row>
    <row r="10" spans="1:4" x14ac:dyDescent="0.25">
      <c r="A10" s="1">
        <v>9</v>
      </c>
      <c r="B10" t="s">
        <v>14</v>
      </c>
      <c r="C10" s="1" t="s">
        <v>10</v>
      </c>
      <c r="D10" s="4">
        <v>10</v>
      </c>
    </row>
    <row r="11" spans="1:4" x14ac:dyDescent="0.25">
      <c r="A11" s="1">
        <v>10</v>
      </c>
      <c r="B11" t="s">
        <v>15</v>
      </c>
      <c r="C11" s="1" t="s">
        <v>10</v>
      </c>
      <c r="D11" s="4">
        <v>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FB7EF-77E2-4FDC-A50B-DDF5B559DCEE}">
  <dimension ref="A1:C12"/>
  <sheetViews>
    <sheetView workbookViewId="0">
      <selection activeCell="F13" sqref="F13"/>
    </sheetView>
  </sheetViews>
  <sheetFormatPr defaultRowHeight="15" x14ac:dyDescent="0.25"/>
  <cols>
    <col min="2" max="2" width="36.140625" bestFit="1" customWidth="1"/>
  </cols>
  <sheetData>
    <row r="1" spans="1:3" x14ac:dyDescent="0.25">
      <c r="A1" s="3" t="s">
        <v>0</v>
      </c>
      <c r="B1" s="3" t="s">
        <v>1</v>
      </c>
      <c r="C1">
        <v>1</v>
      </c>
    </row>
    <row r="2" spans="1:3" x14ac:dyDescent="0.25">
      <c r="A2" s="1">
        <v>1</v>
      </c>
      <c r="B2" t="str">
        <f>VLOOKUP(A2,'Preço Produtos'!A:B,2,0)</f>
        <v>Limonada Alfa com Açúcar 500 ml</v>
      </c>
      <c r="C2">
        <v>2</v>
      </c>
    </row>
    <row r="3" spans="1:3" x14ac:dyDescent="0.25">
      <c r="A3" s="1">
        <v>2</v>
      </c>
      <c r="B3" t="str">
        <f>VLOOKUP(A3,'Preço Produtos'!A:B,2,0)</f>
        <v>Limonada Beta com Açúcar 500 ml</v>
      </c>
      <c r="C3">
        <v>3</v>
      </c>
    </row>
    <row r="4" spans="1:3" x14ac:dyDescent="0.25">
      <c r="A4" s="1">
        <v>3</v>
      </c>
      <c r="B4" t="str">
        <f>VLOOKUP(A4,'Preço Produtos'!A:B,2,0)</f>
        <v>Limonada Alfa Zero 500 ml</v>
      </c>
      <c r="C4">
        <v>4</v>
      </c>
    </row>
    <row r="5" spans="1:3" x14ac:dyDescent="0.25">
      <c r="A5" s="1">
        <v>4</v>
      </c>
      <c r="B5" t="str">
        <f>VLOOKUP(A5,'Preço Produtos'!A:B,2,0)</f>
        <v>Limonada Beta Zero 500 ml</v>
      </c>
      <c r="C5">
        <v>5</v>
      </c>
    </row>
    <row r="6" spans="1:3" x14ac:dyDescent="0.25">
      <c r="A6" s="1">
        <v>5</v>
      </c>
      <c r="B6" t="str">
        <f>VLOOKUP(A6,'Preço Produtos'!A:B,2,0)</f>
        <v>Limonada Alfa com Açúcar 1 L</v>
      </c>
      <c r="C6">
        <v>6</v>
      </c>
    </row>
    <row r="7" spans="1:3" x14ac:dyDescent="0.25">
      <c r="A7" s="1">
        <v>6</v>
      </c>
      <c r="B7" t="str">
        <f>VLOOKUP(A7,'Preço Produtos'!A:B,2,0)</f>
        <v>Limonada Beta com Açúcar 1 L</v>
      </c>
      <c r="C7">
        <v>7</v>
      </c>
    </row>
    <row r="8" spans="1:3" x14ac:dyDescent="0.25">
      <c r="A8" s="1">
        <v>7</v>
      </c>
      <c r="B8" t="str">
        <f>VLOOKUP(A8,'Preço Produtos'!A:B,2,0)</f>
        <v>Limonada Alfa Zero 1 L</v>
      </c>
      <c r="C8">
        <v>8</v>
      </c>
    </row>
    <row r="9" spans="1:3" x14ac:dyDescent="0.25">
      <c r="A9" s="1">
        <v>8</v>
      </c>
      <c r="B9" t="str">
        <f>VLOOKUP(A9,'Preço Produtos'!A:B,2,0)</f>
        <v>Limonada Beta Zero 1 L</v>
      </c>
      <c r="C9">
        <v>9</v>
      </c>
    </row>
    <row r="10" spans="1:3" x14ac:dyDescent="0.25">
      <c r="A10" s="1">
        <v>9</v>
      </c>
      <c r="B10" t="str">
        <f>VLOOKUP(A10,'Preço Produtos'!A:B,2,0)</f>
        <v>Limonada Alfa com Hortelã e Açúcar 1 L</v>
      </c>
      <c r="C10">
        <v>10</v>
      </c>
    </row>
    <row r="11" spans="1:3" x14ac:dyDescent="0.25">
      <c r="A11" s="1">
        <v>10</v>
      </c>
      <c r="B11" t="str">
        <f>VLOOKUP(A11,'Preço Produtos'!A:B,2,0)</f>
        <v>Limonada Alfa com Hortelã Zero 1 L</v>
      </c>
      <c r="C11">
        <v>11</v>
      </c>
    </row>
    <row r="12" spans="1:3" x14ac:dyDescent="0.25">
      <c r="A12" s="3"/>
      <c r="B12" s="3" t="s">
        <v>16</v>
      </c>
      <c r="C12">
        <v>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Resumo Executivo</vt:lpstr>
      <vt:lpstr>Planejamento Vendas</vt:lpstr>
      <vt:lpstr>Preço Produtos</vt:lpstr>
      <vt:lpstr>AUXILIAR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Sandro Wiggers</dc:creator>
  <cp:lastModifiedBy>YURI DA SILVA MENDES</cp:lastModifiedBy>
  <dcterms:created xsi:type="dcterms:W3CDTF">2015-01-20T21:04:21Z</dcterms:created>
  <dcterms:modified xsi:type="dcterms:W3CDTF">2023-06-24T20:33:57Z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aec4a583-7dea-41f5-be4b-2a43662ccd15</vt:lpwstr>
  </property>
</Properties>
</file>