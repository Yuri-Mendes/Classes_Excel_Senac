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urim\Documents\Aulas Excel Advanced 2019\"/>
    </mc:Choice>
  </mc:AlternateContent>
  <xr:revisionPtr revIDLastSave="0" documentId="13_ncr:1_{4801739F-FA5D-4275-90E1-A4BE480B11D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dastro Funcionários" sheetId="1" r:id="rId1"/>
    <sheet name="Anotações" sheetId="2" r:id="rId2"/>
  </sheets>
  <externalReferences>
    <externalReference r:id="rId3"/>
  </externalReferences>
  <definedNames>
    <definedName name="_xlnm._FilterDatabase" localSheetId="0" hidden="1">'Cadastro Funcionários'!$A$1:$I$17</definedName>
    <definedName name="_xlnm.Extract" localSheetId="0">'[1]Cadastro Vendedores'!$A$1:$H$1</definedName>
    <definedName name="_xlnm.Criteria" localSheetId="0">'Cadastro Funcionários'!#REF!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</calcChain>
</file>

<file path=xl/sharedStrings.xml><?xml version="1.0" encoding="utf-8"?>
<sst xmlns="http://schemas.openxmlformats.org/spreadsheetml/2006/main" count="65" uniqueCount="50">
  <si>
    <t>Nome</t>
  </si>
  <si>
    <t>Sobrenome</t>
  </si>
  <si>
    <t>Data de Início</t>
  </si>
  <si>
    <t>Nascimento</t>
  </si>
  <si>
    <t>E-mail</t>
  </si>
  <si>
    <t>Matrícula</t>
  </si>
  <si>
    <t>Cargo</t>
  </si>
  <si>
    <t>Salário</t>
  </si>
  <si>
    <t>Luis</t>
  </si>
  <si>
    <t>Antônia</t>
  </si>
  <si>
    <t>José</t>
  </si>
  <si>
    <t>Benedito</t>
  </si>
  <si>
    <t>Sérgio</t>
  </si>
  <si>
    <t>Adriana</t>
  </si>
  <si>
    <t>Eduardo</t>
  </si>
  <si>
    <t>Ana</t>
  </si>
  <si>
    <t>Paulo</t>
  </si>
  <si>
    <t>Andre</t>
  </si>
  <si>
    <t>Rosa</t>
  </si>
  <si>
    <t>Jose</t>
  </si>
  <si>
    <t>Vendedor</t>
  </si>
  <si>
    <t>Sandro</t>
  </si>
  <si>
    <t>Marcia</t>
  </si>
  <si>
    <t>Secretária</t>
  </si>
  <si>
    <t>Engenheiro</t>
  </si>
  <si>
    <t>Gerente de Vendas</t>
  </si>
  <si>
    <t>Gerente de Marketing</t>
  </si>
  <si>
    <t>Diretor</t>
  </si>
  <si>
    <t>Fabio</t>
  </si>
  <si>
    <t>Estagiário</t>
  </si>
  <si>
    <t>Número de Dependentes</t>
  </si>
  <si>
    <t>Vieira Wiggers</t>
  </si>
  <si>
    <t>Almeida Arruda</t>
  </si>
  <si>
    <t>Cardoso Gome</t>
  </si>
  <si>
    <t>Alves Moura</t>
  </si>
  <si>
    <t>Gomes Silva</t>
  </si>
  <si>
    <t>Moura Souza</t>
  </si>
  <si>
    <t>Lima Silva</t>
  </si>
  <si>
    <t>Souza Junior</t>
  </si>
  <si>
    <t>Rodrigues Castro</t>
  </si>
  <si>
    <t>Araujo Silva</t>
  </si>
  <si>
    <t>Castro Rocha</t>
  </si>
  <si>
    <t>Lima Duarte</t>
  </si>
  <si>
    <t>Rocha Quintin</t>
  </si>
  <si>
    <t>Alencar Neruda</t>
  </si>
  <si>
    <t>Schmitt Ferreira</t>
  </si>
  <si>
    <t>Espaço</t>
  </si>
  <si>
    <t>Cardoso Moraes</t>
  </si>
  <si>
    <t>Moura Medeiros</t>
  </si>
  <si>
    <t>CONCAT e &amp; TEM A MESMA FUNÇÃO DE UNIR AS INFORMAÇÕES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</si>
</sst>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_);[Red]\(&quot;R$&quot;\ #,##0\)"/>
    <numFmt numFmtId="165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163606</xdr:rowOff>
    </xdr:from>
    <xdr:to>
      <xdr:col>9</xdr:col>
      <xdr:colOff>208573</xdr:colOff>
      <xdr:row>19</xdr:row>
      <xdr:rowOff>18439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925DDC-7FF2-5BC0-C50D-6EF0E1A8F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163606"/>
          <a:ext cx="5571148" cy="3474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taAzul/Downloads/excel-ninja-joinville-04-2016/Arquivos%20para%20Aula/Aula%2001/05%20Vend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turamento x Venda Produto (2)"/>
      <sheetName val="Faturamento x Venda Produto"/>
      <sheetName val="Faturamento por Região"/>
      <sheetName val="Unidades Vendidas por Região"/>
      <sheetName val="Faturamento por Cliente"/>
      <sheetName val="Unidades Vendidas por Cliente"/>
      <sheetName val="Faturamento por Mês"/>
      <sheetName val="Unidades Vendidas por Mês"/>
      <sheetName val="Plan4"/>
      <sheetName val="Vendas"/>
      <sheetName val="Cadastro Produtos"/>
      <sheetName val="Cadatro Clientes"/>
      <sheetName val="Cadastro Vendedores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Matrícula</v>
          </cell>
          <cell r="B1" t="str">
            <v>Nome</v>
          </cell>
          <cell r="C1" t="str">
            <v>Sobrenome</v>
          </cell>
          <cell r="D1" t="str">
            <v>Data de Início</v>
          </cell>
          <cell r="E1" t="str">
            <v>Nascimento</v>
          </cell>
          <cell r="F1" t="str">
            <v>E-mail</v>
          </cell>
          <cell r="G1" t="str">
            <v>Cargo</v>
          </cell>
          <cell r="H1" t="str">
            <v>Salário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3"/>
  <sheetViews>
    <sheetView tabSelected="1" workbookViewId="0">
      <selection activeCell="G2" sqref="G2"/>
    </sheetView>
  </sheetViews>
  <sheetFormatPr defaultRowHeight="15" x14ac:dyDescent="0.25"/>
  <cols>
    <col min="1" max="1" width="9.42578125" style="3" bestFit="1" customWidth="1"/>
    <col min="2" max="2" width="9.140625" bestFit="1" customWidth="1"/>
    <col min="3" max="3" width="18.5703125" bestFit="1" customWidth="1"/>
    <col min="4" max="4" width="13.140625" bestFit="1" customWidth="1"/>
    <col min="5" max="5" width="11.5703125" bestFit="1" customWidth="1"/>
    <col min="6" max="6" width="11.5703125" style="3" customWidth="1"/>
    <col min="7" max="7" width="46.42578125" bestFit="1" customWidth="1"/>
    <col min="8" max="8" width="20.7109375" bestFit="1" customWidth="1"/>
    <col min="9" max="9" width="9.85546875" bestFit="1" customWidth="1"/>
    <col min="10" max="10" width="13.140625" bestFit="1" customWidth="1"/>
  </cols>
  <sheetData>
    <row r="1" spans="1:10" ht="33" customHeight="1" x14ac:dyDescent="0.25">
      <c r="A1" s="5" t="s">
        <v>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46</v>
      </c>
      <c r="G1" s="5" t="s">
        <v>4</v>
      </c>
      <c r="H1" s="5" t="s">
        <v>6</v>
      </c>
      <c r="I1" s="5" t="s">
        <v>7</v>
      </c>
      <c r="J1" s="4" t="s">
        <v>30</v>
      </c>
    </row>
    <row r="2" spans="1:10" x14ac:dyDescent="0.25">
      <c r="A2" s="3">
        <v>1</v>
      </c>
      <c r="B2" t="s">
        <v>21</v>
      </c>
      <c r="C2" t="s">
        <v>31</v>
      </c>
      <c r="D2" s="1">
        <v>41275</v>
      </c>
      <c r="E2" s="1">
        <v>32948</v>
      </c>
      <c r="G2" t="str">
        <f>LOWER(B2&amp;"."&amp;LEFT(C2,1)&amp;"."&amp;LEFT(C2,SEARCH(" ",C2,1)-1)&amp;"@bancalimonada.com.br")</f>
        <v>sandro.v.vieira@bancalimonada.com.br</v>
      </c>
      <c r="H2" t="s">
        <v>27</v>
      </c>
      <c r="I2" s="2">
        <v>15000</v>
      </c>
      <c r="J2" s="6">
        <v>0</v>
      </c>
    </row>
    <row r="3" spans="1:10" x14ac:dyDescent="0.25">
      <c r="A3" s="3">
        <v>2</v>
      </c>
      <c r="B3" t="s">
        <v>8</v>
      </c>
      <c r="C3" t="s">
        <v>32</v>
      </c>
      <c r="D3" s="1">
        <v>41306</v>
      </c>
      <c r="E3" s="1">
        <v>33746</v>
      </c>
      <c r="G3" t="str">
        <f t="shared" ref="G3:G19" si="0">LOWER(B3&amp;"."&amp;LEFT(C3,1)&amp;"."&amp;LEFT(C3,SEARCH(" ",C3,1)-1)&amp;"@bancalimonada.com.br")</f>
        <v>luis.a.almeida@bancalimonada.com.br</v>
      </c>
      <c r="H3" t="s">
        <v>20</v>
      </c>
      <c r="I3" s="2">
        <v>3000</v>
      </c>
      <c r="J3" s="6">
        <v>3</v>
      </c>
    </row>
    <row r="4" spans="1:10" x14ac:dyDescent="0.25">
      <c r="A4" s="3">
        <v>3</v>
      </c>
      <c r="B4" t="s">
        <v>9</v>
      </c>
      <c r="C4" t="s">
        <v>33</v>
      </c>
      <c r="D4" s="1">
        <v>41334</v>
      </c>
      <c r="E4" s="1">
        <v>28640</v>
      </c>
      <c r="G4" t="str">
        <f t="shared" si="0"/>
        <v>antônia.c.cardoso@bancalimonada.com.br</v>
      </c>
      <c r="H4" t="s">
        <v>20</v>
      </c>
      <c r="I4" s="2">
        <v>3000</v>
      </c>
      <c r="J4" s="6">
        <v>0</v>
      </c>
    </row>
    <row r="5" spans="1:10" x14ac:dyDescent="0.25">
      <c r="A5" s="3">
        <v>4</v>
      </c>
      <c r="B5" t="s">
        <v>10</v>
      </c>
      <c r="C5" t="s">
        <v>34</v>
      </c>
      <c r="D5" s="1">
        <v>41396</v>
      </c>
      <c r="E5" s="1">
        <v>26584</v>
      </c>
      <c r="G5" t="str">
        <f t="shared" si="0"/>
        <v>josé.a.alves@bancalimonada.com.br</v>
      </c>
      <c r="H5" t="s">
        <v>20</v>
      </c>
      <c r="I5" s="2">
        <v>3000</v>
      </c>
      <c r="J5" s="6">
        <v>2</v>
      </c>
    </row>
    <row r="6" spans="1:10" x14ac:dyDescent="0.25">
      <c r="A6" s="3">
        <v>5</v>
      </c>
      <c r="B6" t="s">
        <v>22</v>
      </c>
      <c r="C6" t="s">
        <v>35</v>
      </c>
      <c r="D6" s="1">
        <v>41426</v>
      </c>
      <c r="E6" s="1">
        <v>33927</v>
      </c>
      <c r="G6" t="str">
        <f t="shared" si="0"/>
        <v>marcia.g.gomes@bancalimonada.com.br</v>
      </c>
      <c r="H6" t="s">
        <v>23</v>
      </c>
      <c r="I6" s="2">
        <v>1300</v>
      </c>
      <c r="J6" s="6">
        <v>3</v>
      </c>
    </row>
    <row r="7" spans="1:10" x14ac:dyDescent="0.25">
      <c r="A7" s="3">
        <v>6</v>
      </c>
      <c r="B7" t="s">
        <v>9</v>
      </c>
      <c r="C7" t="s">
        <v>36</v>
      </c>
      <c r="D7" s="1">
        <v>41426</v>
      </c>
      <c r="E7" s="1">
        <v>33566</v>
      </c>
      <c r="G7" t="str">
        <f t="shared" si="0"/>
        <v>antônia.m.moura@bancalimonada.com.br</v>
      </c>
      <c r="H7" t="s">
        <v>20</v>
      </c>
      <c r="I7" s="2">
        <v>2500</v>
      </c>
      <c r="J7" s="6">
        <v>2</v>
      </c>
    </row>
    <row r="8" spans="1:10" x14ac:dyDescent="0.25">
      <c r="A8" s="3">
        <v>7</v>
      </c>
      <c r="B8" t="s">
        <v>11</v>
      </c>
      <c r="C8" t="s">
        <v>37</v>
      </c>
      <c r="D8" s="1">
        <v>41426</v>
      </c>
      <c r="E8" s="1">
        <v>29783</v>
      </c>
      <c r="G8" t="str">
        <f t="shared" si="0"/>
        <v>benedito.l.lima@bancalimonada.com.br</v>
      </c>
      <c r="H8" t="s">
        <v>20</v>
      </c>
      <c r="I8" s="2">
        <v>2500</v>
      </c>
      <c r="J8" s="6">
        <v>3</v>
      </c>
    </row>
    <row r="9" spans="1:10" x14ac:dyDescent="0.25">
      <c r="A9" s="3">
        <v>8</v>
      </c>
      <c r="B9" t="s">
        <v>12</v>
      </c>
      <c r="C9" t="s">
        <v>38</v>
      </c>
      <c r="D9" s="1">
        <v>41456</v>
      </c>
      <c r="E9" s="1">
        <v>28198</v>
      </c>
      <c r="G9" t="str">
        <f t="shared" si="0"/>
        <v>sérgio.s.souza@bancalimonada.com.br</v>
      </c>
      <c r="H9" t="s">
        <v>20</v>
      </c>
      <c r="I9" s="2">
        <v>2500</v>
      </c>
      <c r="J9" s="6">
        <v>0</v>
      </c>
    </row>
    <row r="10" spans="1:10" x14ac:dyDescent="0.25">
      <c r="A10" s="3">
        <v>9</v>
      </c>
      <c r="B10" t="s">
        <v>13</v>
      </c>
      <c r="C10" t="s">
        <v>39</v>
      </c>
      <c r="D10" s="1">
        <v>41548</v>
      </c>
      <c r="E10" s="1">
        <v>29663</v>
      </c>
      <c r="G10" t="str">
        <f t="shared" si="0"/>
        <v>adriana.r.rodrigues@bancalimonada.com.br</v>
      </c>
      <c r="H10" t="s">
        <v>20</v>
      </c>
      <c r="I10" s="2">
        <v>2500</v>
      </c>
      <c r="J10" s="6">
        <v>0</v>
      </c>
    </row>
    <row r="11" spans="1:10" x14ac:dyDescent="0.25">
      <c r="A11" s="3">
        <v>10</v>
      </c>
      <c r="B11" t="s">
        <v>14</v>
      </c>
      <c r="C11" t="s">
        <v>39</v>
      </c>
      <c r="D11" s="1">
        <v>41579</v>
      </c>
      <c r="E11" s="1">
        <v>27537</v>
      </c>
      <c r="G11" t="str">
        <f t="shared" si="0"/>
        <v>eduardo.r.rodrigues@bancalimonada.com.br</v>
      </c>
      <c r="H11" t="s">
        <v>24</v>
      </c>
      <c r="I11" s="2">
        <v>6000</v>
      </c>
      <c r="J11" s="6">
        <v>2</v>
      </c>
    </row>
    <row r="12" spans="1:10" x14ac:dyDescent="0.25">
      <c r="A12" s="3">
        <v>11</v>
      </c>
      <c r="B12" t="s">
        <v>15</v>
      </c>
      <c r="C12" t="s">
        <v>48</v>
      </c>
      <c r="D12" s="1">
        <v>41671</v>
      </c>
      <c r="E12" s="1">
        <v>28633</v>
      </c>
      <c r="G12" t="str">
        <f t="shared" si="0"/>
        <v>ana.m.moura@bancalimonada.com.br</v>
      </c>
      <c r="H12" t="s">
        <v>25</v>
      </c>
      <c r="I12" s="2">
        <v>8500</v>
      </c>
      <c r="J12" s="6">
        <v>0</v>
      </c>
    </row>
    <row r="13" spans="1:10" x14ac:dyDescent="0.25">
      <c r="A13" s="3">
        <v>12</v>
      </c>
      <c r="B13" t="s">
        <v>16</v>
      </c>
      <c r="C13" t="s">
        <v>40</v>
      </c>
      <c r="D13" s="1">
        <v>41852</v>
      </c>
      <c r="E13" s="1">
        <v>29287</v>
      </c>
      <c r="G13" t="str">
        <f t="shared" si="0"/>
        <v>paulo.a.araujo@bancalimonada.com.br</v>
      </c>
      <c r="H13" t="s">
        <v>20</v>
      </c>
      <c r="I13" s="2">
        <v>2000</v>
      </c>
      <c r="J13" s="6">
        <v>3</v>
      </c>
    </row>
    <row r="14" spans="1:10" x14ac:dyDescent="0.25">
      <c r="A14" s="3">
        <v>13</v>
      </c>
      <c r="B14" t="s">
        <v>17</v>
      </c>
      <c r="C14" t="s">
        <v>41</v>
      </c>
      <c r="D14" s="1">
        <v>41913</v>
      </c>
      <c r="E14" s="1">
        <v>31339</v>
      </c>
      <c r="G14" t="str">
        <f t="shared" si="0"/>
        <v>andre.c.castro@bancalimonada.com.br</v>
      </c>
      <c r="H14" t="s">
        <v>20</v>
      </c>
      <c r="I14" s="2">
        <v>2000</v>
      </c>
      <c r="J14" s="6">
        <v>0</v>
      </c>
    </row>
    <row r="15" spans="1:10" x14ac:dyDescent="0.25">
      <c r="A15" s="3">
        <v>14</v>
      </c>
      <c r="B15" t="s">
        <v>18</v>
      </c>
      <c r="C15" t="s">
        <v>42</v>
      </c>
      <c r="D15" s="1">
        <v>41944</v>
      </c>
      <c r="E15" s="1">
        <v>26524</v>
      </c>
      <c r="G15" t="str">
        <f t="shared" si="0"/>
        <v>rosa.l.lima@bancalimonada.com.br</v>
      </c>
      <c r="H15" t="s">
        <v>26</v>
      </c>
      <c r="I15" s="2">
        <v>8000</v>
      </c>
      <c r="J15" s="6">
        <v>3</v>
      </c>
    </row>
    <row r="16" spans="1:10" x14ac:dyDescent="0.25">
      <c r="A16" s="3">
        <v>15</v>
      </c>
      <c r="B16" t="s">
        <v>8</v>
      </c>
      <c r="C16" t="s">
        <v>43</v>
      </c>
      <c r="D16" s="1">
        <v>41974</v>
      </c>
      <c r="E16" s="1">
        <v>26079</v>
      </c>
      <c r="G16" t="str">
        <f t="shared" si="0"/>
        <v>luis.r.rocha@bancalimonada.com.br</v>
      </c>
      <c r="H16" t="s">
        <v>20</v>
      </c>
      <c r="I16" s="2">
        <v>2000</v>
      </c>
      <c r="J16" s="6">
        <v>2</v>
      </c>
    </row>
    <row r="17" spans="1:10" x14ac:dyDescent="0.25">
      <c r="A17" s="3">
        <v>16</v>
      </c>
      <c r="B17" t="s">
        <v>19</v>
      </c>
      <c r="C17" t="s">
        <v>47</v>
      </c>
      <c r="D17" s="1">
        <v>42006</v>
      </c>
      <c r="E17" s="1">
        <v>26659</v>
      </c>
      <c r="G17" t="str">
        <f t="shared" si="0"/>
        <v>jose.c.cardoso@bancalimonada.com.br</v>
      </c>
      <c r="H17" t="s">
        <v>20</v>
      </c>
      <c r="I17" s="2">
        <v>2000</v>
      </c>
      <c r="J17" s="6">
        <v>0</v>
      </c>
    </row>
    <row r="18" spans="1:10" x14ac:dyDescent="0.25">
      <c r="A18" s="3">
        <v>17</v>
      </c>
      <c r="B18" t="s">
        <v>28</v>
      </c>
      <c r="C18" t="s">
        <v>44</v>
      </c>
      <c r="D18" s="1">
        <v>42036</v>
      </c>
      <c r="E18" s="1">
        <v>35144</v>
      </c>
      <c r="G18" t="str">
        <f t="shared" si="0"/>
        <v>fabio.a.alencar@bancalimonada.com.br</v>
      </c>
      <c r="H18" t="s">
        <v>29</v>
      </c>
      <c r="I18" s="2">
        <v>800</v>
      </c>
      <c r="J18" s="6">
        <v>1</v>
      </c>
    </row>
    <row r="19" spans="1:10" x14ac:dyDescent="0.25">
      <c r="A19" s="3">
        <v>18</v>
      </c>
      <c r="B19" t="s">
        <v>8</v>
      </c>
      <c r="C19" t="s">
        <v>45</v>
      </c>
      <c r="D19" s="1">
        <v>42036</v>
      </c>
      <c r="E19" s="1">
        <v>35950</v>
      </c>
      <c r="G19" t="str">
        <f t="shared" si="0"/>
        <v>luis.s.schmitt@bancalimonada.com.br</v>
      </c>
      <c r="H19" t="s">
        <v>29</v>
      </c>
      <c r="I19" s="2">
        <v>800</v>
      </c>
      <c r="J19" s="6">
        <v>2</v>
      </c>
    </row>
    <row r="23" spans="1:10" x14ac:dyDescent="0.25">
      <c r="G23" s="7" t="s">
        <v>49</v>
      </c>
      <c r="H23" s="7"/>
    </row>
  </sheetData>
  <mergeCells count="1">
    <mergeCell ref="G23:H2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6BDB-6272-458F-91A5-0AA451DF84BE}">
  <dimension ref="A1"/>
  <sheetViews>
    <sheetView workbookViewId="0">
      <selection activeCell="A2" sqref="A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 Funcionários</vt:lpstr>
      <vt:lpstr>Anotações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yurim</cp:lastModifiedBy>
  <dcterms:created xsi:type="dcterms:W3CDTF">2015-02-07T20:49:44Z</dcterms:created>
  <dcterms:modified xsi:type="dcterms:W3CDTF">2023-06-30T20:19:21Z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04f371e0-7e7a-4d99-a3fb-4b0f21fcc25a</vt:lpwstr>
  </property>
</Properties>
</file>