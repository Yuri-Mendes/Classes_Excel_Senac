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senacspedu.sharepoint.com/sites/Section_sec_276219900361495/Documentos Compartilhados/General/YuriMendes/"/>
    </mc:Choice>
  </mc:AlternateContent>
  <xr:revisionPtr revIDLastSave="215" documentId="13_ncr:1_{890AFD7E-7660-4B41-A59B-1C93A61E5777}" xr6:coauthVersionLast="47" xr6:coauthVersionMax="47" xr10:uidLastSave="{A4F3DD11-B68E-4C29-B02E-68F719BBEC56}"/>
  <bookViews>
    <workbookView xWindow="-120" yWindow="-120" windowWidth="24240" windowHeight="13020" activeTab="1" xr2:uid="{00000000-000D-0000-FFFF-FFFF00000000}"/>
  </bookViews>
  <sheets>
    <sheet name="Revisão inicial" sheetId="1" r:id="rId1"/>
    <sheet name="Revisão 2" sheetId="2" r:id="rId2"/>
  </sheets>
  <definedNames>
    <definedName name="meses">'Revisão 2'!$A$5:$A$19</definedName>
    <definedName name="quantidade">'Revisão 2'!$D$5:$D$19</definedName>
    <definedName name="região">'Revisão 2'!$B$5:$B$19</definedName>
    <definedName name="tabela">'Revisão 2'!$A$24:$C$29</definedName>
    <definedName name="valor">'Revisão 2'!$E$5:$E$19</definedName>
    <definedName name="vendedor">'Revisão 2'!$C$5:$C$19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5" i="2"/>
  <c r="H27" i="2"/>
  <c r="H28" i="2"/>
  <c r="H29" i="2"/>
  <c r="H30" i="2"/>
  <c r="H31" i="2"/>
  <c r="I18" i="2"/>
  <c r="I19" i="2"/>
  <c r="I20" i="2"/>
  <c r="I17" i="2"/>
  <c r="I25" i="2"/>
  <c r="J6" i="2"/>
  <c r="J7" i="2"/>
  <c r="J8" i="2"/>
  <c r="J9" i="2"/>
  <c r="J5" i="2"/>
  <c r="I6" i="2"/>
  <c r="I7" i="2"/>
  <c r="I8" i="2"/>
  <c r="I9" i="2"/>
  <c r="I5" i="2"/>
  <c r="H13" i="2"/>
  <c r="H14" i="2"/>
  <c r="H12" i="2"/>
  <c r="H18" i="2"/>
  <c r="H19" i="2"/>
  <c r="H20" i="2"/>
  <c r="H17" i="2"/>
  <c r="O11" i="2"/>
  <c r="O10" i="2"/>
  <c r="O9" i="2"/>
  <c r="O8" i="2"/>
  <c r="O7" i="2"/>
  <c r="O6" i="2"/>
  <c r="O5" i="2"/>
  <c r="P9" i="1"/>
  <c r="P8" i="1"/>
  <c r="P7" i="1"/>
  <c r="P6" i="1"/>
  <c r="P5" i="1"/>
  <c r="P4" i="1"/>
  <c r="P3" i="1"/>
  <c r="A22" i="2" l="1"/>
  <c r="D26" i="1" l="1" a="1"/>
  <c r="D26" i="1" s="1"/>
  <c r="E26" i="1" a="1"/>
  <c r="E26" i="1" s="1"/>
  <c r="F26" i="1" a="1"/>
  <c r="F26" i="1" s="1"/>
  <c r="G26" i="1" a="1"/>
  <c r="G26" i="1" s="1"/>
  <c r="C26" i="1" a="1"/>
  <c r="C26" i="1" s="1"/>
  <c r="B26" i="1" a="1"/>
  <c r="B26" i="1" s="1"/>
  <c r="G19" i="1"/>
  <c r="K10" i="1"/>
  <c r="F19" i="1"/>
  <c r="E19" i="1"/>
  <c r="D19" i="1"/>
  <c r="C19" i="1"/>
  <c r="B19" i="1"/>
  <c r="G18" i="1"/>
  <c r="F18" i="1"/>
  <c r="E18" i="1"/>
  <c r="D18" i="1"/>
  <c r="C18" i="1"/>
  <c r="B18" i="1"/>
  <c r="B17" i="1"/>
  <c r="G17" i="1"/>
  <c r="F17" i="1"/>
  <c r="E17" i="1"/>
  <c r="D17" i="1"/>
  <c r="C17" i="1"/>
  <c r="C16" i="1"/>
  <c r="D16" i="1"/>
  <c r="E16" i="1"/>
  <c r="F16" i="1"/>
  <c r="G16" i="1"/>
  <c r="B16" i="1"/>
  <c r="C15" i="1"/>
  <c r="D15" i="1"/>
  <c r="E15" i="1"/>
  <c r="F15" i="1"/>
  <c r="G15" i="1"/>
  <c r="B15" i="1"/>
  <c r="C14" i="1"/>
  <c r="D14" i="1"/>
  <c r="E14" i="1"/>
  <c r="F14" i="1"/>
  <c r="G14" i="1"/>
  <c r="B14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H3" i="1"/>
  <c r="K4" i="1"/>
  <c r="K5" i="1"/>
  <c r="K6" i="1"/>
  <c r="K7" i="1"/>
  <c r="K8" i="1"/>
  <c r="K9" i="1"/>
  <c r="K11" i="1"/>
  <c r="K12" i="1"/>
  <c r="K3" i="1"/>
  <c r="J4" i="1"/>
  <c r="J5" i="1"/>
  <c r="J6" i="1"/>
  <c r="J7" i="1"/>
  <c r="J8" i="1"/>
  <c r="J9" i="1"/>
  <c r="J10" i="1"/>
  <c r="J11" i="1"/>
  <c r="J12" i="1"/>
  <c r="I4" i="1"/>
  <c r="I5" i="1"/>
  <c r="I6" i="1"/>
  <c r="I7" i="1"/>
  <c r="I8" i="1"/>
  <c r="I9" i="1"/>
  <c r="I10" i="1"/>
  <c r="I11" i="1"/>
  <c r="I12" i="1"/>
  <c r="I3" i="1"/>
  <c r="J3" i="1"/>
  <c r="H4" i="1"/>
  <c r="H5" i="1"/>
  <c r="H6" i="1"/>
  <c r="H7" i="1"/>
  <c r="H8" i="1"/>
  <c r="H9" i="1"/>
  <c r="H10" i="1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<sst xmlns="http://schemas.openxmlformats.org/spreadsheetml/2006/main" count="138" uniqueCount="58">
  <si>
    <t>Compras</t>
  </si>
  <si>
    <t>Produtos/Preços</t>
  </si>
  <si>
    <t>Janeiro</t>
  </si>
  <si>
    <t>Fevereiro</t>
  </si>
  <si>
    <t>Março</t>
  </si>
  <si>
    <t>Abril</t>
  </si>
  <si>
    <t>Maio</t>
  </si>
  <si>
    <t>Junho</t>
  </si>
  <si>
    <t>Total</t>
  </si>
  <si>
    <t>Média</t>
  </si>
  <si>
    <t>Mínimo</t>
  </si>
  <si>
    <t>Maior preço</t>
  </si>
  <si>
    <t>2º preço mais barato</t>
  </si>
  <si>
    <t>3º preço mais caro</t>
  </si>
  <si>
    <t>Arroz</t>
  </si>
  <si>
    <t>Feijão</t>
  </si>
  <si>
    <t>Açúcar</t>
  </si>
  <si>
    <t>Milho para pipoca</t>
  </si>
  <si>
    <t>Farinha</t>
  </si>
  <si>
    <t>Fermento</t>
  </si>
  <si>
    <t>Sal</t>
  </si>
  <si>
    <t>Refrigerante</t>
  </si>
  <si>
    <t>Suco em pó</t>
  </si>
  <si>
    <t>Sobremesa</t>
  </si>
  <si>
    <t>Os produtos que forem iguais a 5,25 ou ultrapassarem este valor, devem ter seu preço aumentado em 35%.</t>
  </si>
  <si>
    <t>Complete com os novos valores a tabela a baixo:</t>
  </si>
  <si>
    <t>Valor do aumento</t>
  </si>
  <si>
    <t>Adubos e Fertilizantes</t>
  </si>
  <si>
    <t>Mês</t>
  </si>
  <si>
    <t>Região</t>
  </si>
  <si>
    <t>Vendedor</t>
  </si>
  <si>
    <t>Quantidade</t>
  </si>
  <si>
    <t>Valor</t>
  </si>
  <si>
    <t>Resumo por Região</t>
  </si>
  <si>
    <t>Preço</t>
  </si>
  <si>
    <t>Reajuste</t>
  </si>
  <si>
    <t>jan</t>
  </si>
  <si>
    <t>Norte</t>
  </si>
  <si>
    <t>Paulo</t>
  </si>
  <si>
    <t>Nordeste</t>
  </si>
  <si>
    <t>Centro-Oeste</t>
  </si>
  <si>
    <t>Willian</t>
  </si>
  <si>
    <t>Sudeste</t>
  </si>
  <si>
    <t>Jaime</t>
  </si>
  <si>
    <t>fev</t>
  </si>
  <si>
    <t>Sul</t>
  </si>
  <si>
    <t>Sérgio</t>
  </si>
  <si>
    <t>Resumo Mensal</t>
  </si>
  <si>
    <t>mar</t>
  </si>
  <si>
    <t>Resumo por Vendedor</t>
  </si>
  <si>
    <t>Qtde Vendas</t>
  </si>
  <si>
    <t>Total em kg</t>
  </si>
  <si>
    <t>Preço Unitário</t>
  </si>
  <si>
    <t>Taxa para Aumento</t>
  </si>
  <si>
    <t>Vendas</t>
  </si>
  <si>
    <t>Quantidade de Vendas</t>
  </si>
  <si>
    <t>Média de Quantidade Vendida por Região</t>
  </si>
  <si>
    <t>FÓRMULAS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</si>
</sst>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_(* #,##0.00_);_(* \(#,##0.00\);_(* &quot;-&quot;??_);_(@_)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name val="Arial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165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2"/>
    <xf numFmtId="0" fontId="6" fillId="0" borderId="0" xfId="2" applyFont="1"/>
    <xf numFmtId="0" fontId="7" fillId="2" borderId="0" xfId="2" applyFont="1" applyFill="1" applyAlignment="1">
      <alignment horizontal="center"/>
    </xf>
    <xf numFmtId="0" fontId="9" fillId="2" borderId="0" xfId="2" applyFont="1" applyFill="1" applyAlignment="1">
      <alignment horizontal="center"/>
    </xf>
    <xf numFmtId="3" fontId="10" fillId="0" borderId="0" xfId="2" applyNumberFormat="1" applyFont="1" applyAlignment="1">
      <alignment horizontal="right"/>
    </xf>
    <xf numFmtId="166" fontId="0" fillId="0" borderId="0" xfId="3" applyNumberFormat="1" applyFont="1"/>
    <xf numFmtId="44" fontId="0" fillId="0" borderId="0" xfId="4" applyFont="1"/>
    <xf numFmtId="0" fontId="11" fillId="3" borderId="0" xfId="2" applyFont="1" applyFill="1"/>
    <xf numFmtId="3" fontId="4" fillId="0" borderId="0" xfId="2" applyNumberFormat="1"/>
    <xf numFmtId="0" fontId="4" fillId="0" borderId="0" xfId="2" applyAlignment="1">
      <alignment horizontal="center"/>
    </xf>
    <xf numFmtId="3" fontId="6" fillId="0" borderId="0" xfId="2" applyNumberFormat="1" applyFont="1" applyAlignment="1">
      <alignment horizontal="right"/>
    </xf>
    <xf numFmtId="166" fontId="6" fillId="0" borderId="0" xfId="3" applyNumberFormat="1" applyFont="1"/>
    <xf numFmtId="0" fontId="3" fillId="4" borderId="4" xfId="2" applyFont="1" applyFill="1" applyBorder="1" applyAlignment="1">
      <alignment horizontal="center" vertical="center"/>
    </xf>
    <xf numFmtId="0" fontId="3" fillId="4" borderId="4" xfId="2" applyFont="1" applyFill="1" applyBorder="1" applyAlignment="1">
      <alignment horizontal="center" vertical="center" wrapText="1"/>
    </xf>
    <xf numFmtId="0" fontId="4" fillId="0" borderId="4" xfId="2" applyBorder="1"/>
    <xf numFmtId="44" fontId="0" fillId="0" borderId="4" xfId="4" applyFont="1" applyBorder="1" applyAlignment="1">
      <alignment horizontal="center"/>
    </xf>
    <xf numFmtId="9" fontId="4" fillId="0" borderId="4" xfId="2" applyNumberFormat="1" applyBorder="1" applyAlignment="1">
      <alignment horizontal="center"/>
    </xf>
    <xf numFmtId="0" fontId="10" fillId="0" borderId="0" xfId="2" applyFont="1"/>
    <xf numFmtId="166" fontId="0" fillId="0" borderId="0" xfId="3" applyNumberFormat="1" applyFont="1" applyAlignment="1"/>
    <xf numFmtId="0" fontId="11" fillId="3" borderId="0" xfId="2" applyFont="1" applyFill="1" applyAlignment="1">
      <alignment horizontal="center"/>
    </xf>
    <xf numFmtId="0" fontId="5" fillId="0" borderId="0" xfId="2" applyFont="1" applyAlignment="1">
      <alignment horizontal="center"/>
    </xf>
    <xf numFmtId="0" fontId="8" fillId="2" borderId="0" xfId="2" applyFont="1" applyFill="1" applyAlignment="1">
      <alignment horizontal="center"/>
    </xf>
    <xf numFmtId="0" fontId="11" fillId="3" borderId="0" xfId="2" applyFont="1" applyFill="1" applyAlignment="1">
      <alignment horizontal="center" vertical="center"/>
    </xf>
    <xf numFmtId="44" fontId="2" fillId="0" borderId="1" xfId="5" applyFont="1" applyBorder="1" applyAlignment="1">
      <alignment horizontal="center"/>
    </xf>
    <xf numFmtId="44" fontId="2" fillId="0" borderId="2" xfId="5" applyFont="1" applyBorder="1" applyAlignment="1">
      <alignment horizontal="center"/>
    </xf>
    <xf numFmtId="44" fontId="2" fillId="0" borderId="3" xfId="5" applyFont="1" applyBorder="1" applyAlignment="1">
      <alignment horizontal="center"/>
    </xf>
    <xf numFmtId="44" fontId="1" fillId="0" borderId="0" xfId="5"/>
    <xf numFmtId="44" fontId="1" fillId="0" borderId="4" xfId="5" applyBorder="1"/>
    <xf numFmtId="44" fontId="1" fillId="0" borderId="5" xfId="5" applyBorder="1"/>
    <xf numFmtId="44" fontId="3" fillId="0" borderId="0" xfId="5" applyFont="1"/>
    <xf numFmtId="44" fontId="1" fillId="0" borderId="1" xfId="5" applyBorder="1" applyAlignment="1">
      <alignment horizontal="center"/>
    </xf>
    <xf numFmtId="44" fontId="1" fillId="0" borderId="2" xfId="5" applyBorder="1" applyAlignment="1">
      <alignment horizontal="center"/>
    </xf>
    <xf numFmtId="44" fontId="1" fillId="0" borderId="3" xfId="5" applyBorder="1" applyAlignment="1">
      <alignment horizontal="center"/>
    </xf>
    <xf numFmtId="3" fontId="0" fillId="0" borderId="0" xfId="0" applyNumberFormat="1"/>
    <xf numFmtId="44" fontId="0" fillId="0" borderId="0" xfId="5" applyFont="1"/>
    <xf numFmtId="0" fontId="13" fillId="0" borderId="0" xfId="2" applyFont="1"/>
    <xf numFmtId="44" fontId="12" fillId="5" borderId="6" xfId="5" applyFont="1" applyFill="1" applyBorder="1"/>
    <xf numFmtId="44" fontId="12" fillId="6" borderId="5" xfId="5" applyFont="1" applyFill="1" applyBorder="1"/>
    <xf numFmtId="44" fontId="12" fillId="6" borderId="7" xfId="5" applyFont="1" applyFill="1" applyBorder="1"/>
    <xf numFmtId="0" fontId="3" fillId="5" borderId="0" xfId="2" applyFont="1" applyFill="1"/>
    <xf numFmtId="0" fontId="3" fillId="7" borderId="0" xfId="2" applyFont="1" applyFill="1"/>
    <xf numFmtId="44" fontId="10" fillId="0" borderId="0" xfId="5" applyFont="1" applyAlignment="1">
      <alignment horizontal="right"/>
    </xf>
  </cellXfs>
  <cellStyles count="6">
    <cellStyle name="Moeda" xfId="5" builtinId="4"/>
    <cellStyle name="Moeda 2" xfId="4" xr:uid="{250A3E2C-7F33-4DB3-8877-00C8C71B74E5}"/>
    <cellStyle name="Normal" xfId="0" builtinId="0"/>
    <cellStyle name="Normal 2" xfId="2" xr:uid="{85B05452-4F34-4B38-8476-E295A0751FC5}"/>
    <cellStyle name="Normal 3" xfId="1" xr:uid="{00000000-0005-0000-0000-000001000000}"/>
    <cellStyle name="Vírgula 2" xfId="3" xr:uid="{E0CBAEB8-D755-4720-A9F2-8D5A1F6F1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  <wetp:taskpane dockstate="right" visibility="0" width="350" row="1">
    <wetp:webextensionref xmlns:r="http://schemas.openxmlformats.org/officeDocument/2006/relationships" r:id="rId3"/>
  </wetp:taskpane>
  <wetp:taskpane dockstate="right" visibility="0" width="350" row="2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403BEE91-7AF1-4EDA-8198-A9568DC5BA20}">
  <we:reference id="wa200005171" version="1.0.0.0" store="pt-BR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EAC43CD-E61B-4FEA-B8D6-6AC131833757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K2hKjn95mRWyamVRdnkdo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233ABDE-327B-426E-8BB9-DC671040F689}">
  <we:reference id="wa200006230" version="1.0.0.0" store="pt-BR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BD7F4D19-A0BB-41B1-813B-29790F639CC7}">
  <we:reference id="wa200005107" version="1.1.0.0" store="pt-BR" storeType="OMEX"/>
  <we:alternateReferences>
    <we:reference id="wa200005107" version="1.1.0.0" store="wa20000510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zoomScaleNormal="100" workbookViewId="0">
      <selection activeCell="P17" sqref="P17"/>
    </sheetView>
  </sheetViews>
  <sheetFormatPr defaultRowHeight="15" x14ac:dyDescent="0.25"/>
  <cols>
    <col min="1" max="1" width="20.140625" style="27" customWidth="1"/>
    <col min="2" max="2" width="9.5703125" style="27" bestFit="1" customWidth="1"/>
    <col min="3" max="3" width="11" style="27" bestFit="1" customWidth="1"/>
    <col min="4" max="7" width="9.5703125" style="27" bestFit="1" customWidth="1"/>
    <col min="8" max="8" width="10.140625" style="27" bestFit="1" customWidth="1"/>
    <col min="9" max="9" width="9.5703125" style="27" bestFit="1" customWidth="1"/>
    <col min="10" max="10" width="9.140625" style="27" bestFit="1" customWidth="1"/>
    <col min="11" max="11" width="13.140625" style="27" bestFit="1" customWidth="1"/>
    <col min="12" max="12" width="20.7109375" style="27" bestFit="1" customWidth="1"/>
    <col min="13" max="13" width="18.7109375" style="27" bestFit="1" customWidth="1"/>
    <col min="14" max="15" width="8.85546875" style="27"/>
    <col min="16" max="16" width="28.85546875" style="27" bestFit="1" customWidth="1"/>
    <col min="17" max="256" width="8.85546875" style="27"/>
    <col min="257" max="257" width="18.140625" style="27" customWidth="1"/>
    <col min="258" max="258" width="6.85546875" style="27" bestFit="1" customWidth="1"/>
    <col min="259" max="259" width="8.42578125" style="27" bestFit="1" customWidth="1"/>
    <col min="260" max="260" width="9.140625" style="27" customWidth="1"/>
    <col min="261" max="261" width="7.42578125" style="27" customWidth="1"/>
    <col min="262" max="262" width="6.42578125" style="27" customWidth="1"/>
    <col min="263" max="263" width="8.140625" style="27" customWidth="1"/>
    <col min="264" max="264" width="5" style="27" bestFit="1" customWidth="1"/>
    <col min="265" max="265" width="6" style="27" bestFit="1" customWidth="1"/>
    <col min="266" max="266" width="7" style="27" bestFit="1" customWidth="1"/>
    <col min="267" max="267" width="10.85546875" style="27" bestFit="1" customWidth="1"/>
    <col min="268" max="268" width="18.42578125" style="27" bestFit="1" customWidth="1"/>
    <col min="269" max="269" width="16.85546875" style="27" bestFit="1" customWidth="1"/>
    <col min="270" max="512" width="8.85546875" style="27"/>
    <col min="513" max="513" width="18.140625" style="27" customWidth="1"/>
    <col min="514" max="514" width="6.85546875" style="27" bestFit="1" customWidth="1"/>
    <col min="515" max="515" width="8.42578125" style="27" bestFit="1" customWidth="1"/>
    <col min="516" max="516" width="9.140625" style="27" customWidth="1"/>
    <col min="517" max="517" width="7.42578125" style="27" customWidth="1"/>
    <col min="518" max="518" width="6.42578125" style="27" customWidth="1"/>
    <col min="519" max="519" width="8.140625" style="27" customWidth="1"/>
    <col min="520" max="520" width="5" style="27" bestFit="1" customWidth="1"/>
    <col min="521" max="521" width="6" style="27" bestFit="1" customWidth="1"/>
    <col min="522" max="522" width="7" style="27" bestFit="1" customWidth="1"/>
    <col min="523" max="523" width="10.85546875" style="27" bestFit="1" customWidth="1"/>
    <col min="524" max="524" width="18.42578125" style="27" bestFit="1" customWidth="1"/>
    <col min="525" max="525" width="16.85546875" style="27" bestFit="1" customWidth="1"/>
    <col min="526" max="768" width="8.85546875" style="27"/>
    <col min="769" max="769" width="18.140625" style="27" customWidth="1"/>
    <col min="770" max="770" width="6.85546875" style="27" bestFit="1" customWidth="1"/>
    <col min="771" max="771" width="8.42578125" style="27" bestFit="1" customWidth="1"/>
    <col min="772" max="772" width="9.140625" style="27" customWidth="1"/>
    <col min="773" max="773" width="7.42578125" style="27" customWidth="1"/>
    <col min="774" max="774" width="6.42578125" style="27" customWidth="1"/>
    <col min="775" max="775" width="8.140625" style="27" customWidth="1"/>
    <col min="776" max="776" width="5" style="27" bestFit="1" customWidth="1"/>
    <col min="777" max="777" width="6" style="27" bestFit="1" customWidth="1"/>
    <col min="778" max="778" width="7" style="27" bestFit="1" customWidth="1"/>
    <col min="779" max="779" width="10.85546875" style="27" bestFit="1" customWidth="1"/>
    <col min="780" max="780" width="18.42578125" style="27" bestFit="1" customWidth="1"/>
    <col min="781" max="781" width="16.85546875" style="27" bestFit="1" customWidth="1"/>
    <col min="782" max="1024" width="8.85546875" style="27"/>
    <col min="1025" max="1025" width="18.140625" style="27" customWidth="1"/>
    <col min="1026" max="1026" width="6.85546875" style="27" bestFit="1" customWidth="1"/>
    <col min="1027" max="1027" width="8.42578125" style="27" bestFit="1" customWidth="1"/>
    <col min="1028" max="1028" width="9.140625" style="27" customWidth="1"/>
    <col min="1029" max="1029" width="7.42578125" style="27" customWidth="1"/>
    <col min="1030" max="1030" width="6.42578125" style="27" customWidth="1"/>
    <col min="1031" max="1031" width="8.140625" style="27" customWidth="1"/>
    <col min="1032" max="1032" width="5" style="27" bestFit="1" customWidth="1"/>
    <col min="1033" max="1033" width="6" style="27" bestFit="1" customWidth="1"/>
    <col min="1034" max="1034" width="7" style="27" bestFit="1" customWidth="1"/>
    <col min="1035" max="1035" width="10.85546875" style="27" bestFit="1" customWidth="1"/>
    <col min="1036" max="1036" width="18.42578125" style="27" bestFit="1" customWidth="1"/>
    <col min="1037" max="1037" width="16.85546875" style="27" bestFit="1" customWidth="1"/>
    <col min="1038" max="1280" width="8.85546875" style="27"/>
    <col min="1281" max="1281" width="18.140625" style="27" customWidth="1"/>
    <col min="1282" max="1282" width="6.85546875" style="27" bestFit="1" customWidth="1"/>
    <col min="1283" max="1283" width="8.42578125" style="27" bestFit="1" customWidth="1"/>
    <col min="1284" max="1284" width="9.140625" style="27" customWidth="1"/>
    <col min="1285" max="1285" width="7.42578125" style="27" customWidth="1"/>
    <col min="1286" max="1286" width="6.42578125" style="27" customWidth="1"/>
    <col min="1287" max="1287" width="8.140625" style="27" customWidth="1"/>
    <col min="1288" max="1288" width="5" style="27" bestFit="1" customWidth="1"/>
    <col min="1289" max="1289" width="6" style="27" bestFit="1" customWidth="1"/>
    <col min="1290" max="1290" width="7" style="27" bestFit="1" customWidth="1"/>
    <col min="1291" max="1291" width="10.85546875" style="27" bestFit="1" customWidth="1"/>
    <col min="1292" max="1292" width="18.42578125" style="27" bestFit="1" customWidth="1"/>
    <col min="1293" max="1293" width="16.85546875" style="27" bestFit="1" customWidth="1"/>
    <col min="1294" max="1536" width="8.85546875" style="27"/>
    <col min="1537" max="1537" width="18.140625" style="27" customWidth="1"/>
    <col min="1538" max="1538" width="6.85546875" style="27" bestFit="1" customWidth="1"/>
    <col min="1539" max="1539" width="8.42578125" style="27" bestFit="1" customWidth="1"/>
    <col min="1540" max="1540" width="9.140625" style="27" customWidth="1"/>
    <col min="1541" max="1541" width="7.42578125" style="27" customWidth="1"/>
    <col min="1542" max="1542" width="6.42578125" style="27" customWidth="1"/>
    <col min="1543" max="1543" width="8.140625" style="27" customWidth="1"/>
    <col min="1544" max="1544" width="5" style="27" bestFit="1" customWidth="1"/>
    <col min="1545" max="1545" width="6" style="27" bestFit="1" customWidth="1"/>
    <col min="1546" max="1546" width="7" style="27" bestFit="1" customWidth="1"/>
    <col min="1547" max="1547" width="10.85546875" style="27" bestFit="1" customWidth="1"/>
    <col min="1548" max="1548" width="18.42578125" style="27" bestFit="1" customWidth="1"/>
    <col min="1549" max="1549" width="16.85546875" style="27" bestFit="1" customWidth="1"/>
    <col min="1550" max="1792" width="8.85546875" style="27"/>
    <col min="1793" max="1793" width="18.140625" style="27" customWidth="1"/>
    <col min="1794" max="1794" width="6.85546875" style="27" bestFit="1" customWidth="1"/>
    <col min="1795" max="1795" width="8.42578125" style="27" bestFit="1" customWidth="1"/>
    <col min="1796" max="1796" width="9.140625" style="27" customWidth="1"/>
    <col min="1797" max="1797" width="7.42578125" style="27" customWidth="1"/>
    <col min="1798" max="1798" width="6.42578125" style="27" customWidth="1"/>
    <col min="1799" max="1799" width="8.140625" style="27" customWidth="1"/>
    <col min="1800" max="1800" width="5" style="27" bestFit="1" customWidth="1"/>
    <col min="1801" max="1801" width="6" style="27" bestFit="1" customWidth="1"/>
    <col min="1802" max="1802" width="7" style="27" bestFit="1" customWidth="1"/>
    <col min="1803" max="1803" width="10.85546875" style="27" bestFit="1" customWidth="1"/>
    <col min="1804" max="1804" width="18.42578125" style="27" bestFit="1" customWidth="1"/>
    <col min="1805" max="1805" width="16.85546875" style="27" bestFit="1" customWidth="1"/>
    <col min="1806" max="2048" width="8.85546875" style="27"/>
    <col min="2049" max="2049" width="18.140625" style="27" customWidth="1"/>
    <col min="2050" max="2050" width="6.85546875" style="27" bestFit="1" customWidth="1"/>
    <col min="2051" max="2051" width="8.42578125" style="27" bestFit="1" customWidth="1"/>
    <col min="2052" max="2052" width="9.140625" style="27" customWidth="1"/>
    <col min="2053" max="2053" width="7.42578125" style="27" customWidth="1"/>
    <col min="2054" max="2054" width="6.42578125" style="27" customWidth="1"/>
    <col min="2055" max="2055" width="8.140625" style="27" customWidth="1"/>
    <col min="2056" max="2056" width="5" style="27" bestFit="1" customWidth="1"/>
    <col min="2057" max="2057" width="6" style="27" bestFit="1" customWidth="1"/>
    <col min="2058" max="2058" width="7" style="27" bestFit="1" customWidth="1"/>
    <col min="2059" max="2059" width="10.85546875" style="27" bestFit="1" customWidth="1"/>
    <col min="2060" max="2060" width="18.42578125" style="27" bestFit="1" customWidth="1"/>
    <col min="2061" max="2061" width="16.85546875" style="27" bestFit="1" customWidth="1"/>
    <col min="2062" max="2304" width="8.85546875" style="27"/>
    <col min="2305" max="2305" width="18.140625" style="27" customWidth="1"/>
    <col min="2306" max="2306" width="6.85546875" style="27" bestFit="1" customWidth="1"/>
    <col min="2307" max="2307" width="8.42578125" style="27" bestFit="1" customWidth="1"/>
    <col min="2308" max="2308" width="9.140625" style="27" customWidth="1"/>
    <col min="2309" max="2309" width="7.42578125" style="27" customWidth="1"/>
    <col min="2310" max="2310" width="6.42578125" style="27" customWidth="1"/>
    <col min="2311" max="2311" width="8.140625" style="27" customWidth="1"/>
    <col min="2312" max="2312" width="5" style="27" bestFit="1" customWidth="1"/>
    <col min="2313" max="2313" width="6" style="27" bestFit="1" customWidth="1"/>
    <col min="2314" max="2314" width="7" style="27" bestFit="1" customWidth="1"/>
    <col min="2315" max="2315" width="10.85546875" style="27" bestFit="1" customWidth="1"/>
    <col min="2316" max="2316" width="18.42578125" style="27" bestFit="1" customWidth="1"/>
    <col min="2317" max="2317" width="16.85546875" style="27" bestFit="1" customWidth="1"/>
    <col min="2318" max="2560" width="8.85546875" style="27"/>
    <col min="2561" max="2561" width="18.140625" style="27" customWidth="1"/>
    <col min="2562" max="2562" width="6.85546875" style="27" bestFit="1" customWidth="1"/>
    <col min="2563" max="2563" width="8.42578125" style="27" bestFit="1" customWidth="1"/>
    <col min="2564" max="2564" width="9.140625" style="27" customWidth="1"/>
    <col min="2565" max="2565" width="7.42578125" style="27" customWidth="1"/>
    <col min="2566" max="2566" width="6.42578125" style="27" customWidth="1"/>
    <col min="2567" max="2567" width="8.140625" style="27" customWidth="1"/>
    <col min="2568" max="2568" width="5" style="27" bestFit="1" customWidth="1"/>
    <col min="2569" max="2569" width="6" style="27" bestFit="1" customWidth="1"/>
    <col min="2570" max="2570" width="7" style="27" bestFit="1" customWidth="1"/>
    <col min="2571" max="2571" width="10.85546875" style="27" bestFit="1" customWidth="1"/>
    <col min="2572" max="2572" width="18.42578125" style="27" bestFit="1" customWidth="1"/>
    <col min="2573" max="2573" width="16.85546875" style="27" bestFit="1" customWidth="1"/>
    <col min="2574" max="2816" width="8.85546875" style="27"/>
    <col min="2817" max="2817" width="18.140625" style="27" customWidth="1"/>
    <col min="2818" max="2818" width="6.85546875" style="27" bestFit="1" customWidth="1"/>
    <col min="2819" max="2819" width="8.42578125" style="27" bestFit="1" customWidth="1"/>
    <col min="2820" max="2820" width="9.140625" style="27" customWidth="1"/>
    <col min="2821" max="2821" width="7.42578125" style="27" customWidth="1"/>
    <col min="2822" max="2822" width="6.42578125" style="27" customWidth="1"/>
    <col min="2823" max="2823" width="8.140625" style="27" customWidth="1"/>
    <col min="2824" max="2824" width="5" style="27" bestFit="1" customWidth="1"/>
    <col min="2825" max="2825" width="6" style="27" bestFit="1" customWidth="1"/>
    <col min="2826" max="2826" width="7" style="27" bestFit="1" customWidth="1"/>
    <col min="2827" max="2827" width="10.85546875" style="27" bestFit="1" customWidth="1"/>
    <col min="2828" max="2828" width="18.42578125" style="27" bestFit="1" customWidth="1"/>
    <col min="2829" max="2829" width="16.85546875" style="27" bestFit="1" customWidth="1"/>
    <col min="2830" max="3072" width="8.85546875" style="27"/>
    <col min="3073" max="3073" width="18.140625" style="27" customWidth="1"/>
    <col min="3074" max="3074" width="6.85546875" style="27" bestFit="1" customWidth="1"/>
    <col min="3075" max="3075" width="8.42578125" style="27" bestFit="1" customWidth="1"/>
    <col min="3076" max="3076" width="9.140625" style="27" customWidth="1"/>
    <col min="3077" max="3077" width="7.42578125" style="27" customWidth="1"/>
    <col min="3078" max="3078" width="6.42578125" style="27" customWidth="1"/>
    <col min="3079" max="3079" width="8.140625" style="27" customWidth="1"/>
    <col min="3080" max="3080" width="5" style="27" bestFit="1" customWidth="1"/>
    <col min="3081" max="3081" width="6" style="27" bestFit="1" customWidth="1"/>
    <col min="3082" max="3082" width="7" style="27" bestFit="1" customWidth="1"/>
    <col min="3083" max="3083" width="10.85546875" style="27" bestFit="1" customWidth="1"/>
    <col min="3084" max="3084" width="18.42578125" style="27" bestFit="1" customWidth="1"/>
    <col min="3085" max="3085" width="16.85546875" style="27" bestFit="1" customWidth="1"/>
    <col min="3086" max="3328" width="8.85546875" style="27"/>
    <col min="3329" max="3329" width="18.140625" style="27" customWidth="1"/>
    <col min="3330" max="3330" width="6.85546875" style="27" bestFit="1" customWidth="1"/>
    <col min="3331" max="3331" width="8.42578125" style="27" bestFit="1" customWidth="1"/>
    <col min="3332" max="3332" width="9.140625" style="27" customWidth="1"/>
    <col min="3333" max="3333" width="7.42578125" style="27" customWidth="1"/>
    <col min="3334" max="3334" width="6.42578125" style="27" customWidth="1"/>
    <col min="3335" max="3335" width="8.140625" style="27" customWidth="1"/>
    <col min="3336" max="3336" width="5" style="27" bestFit="1" customWidth="1"/>
    <col min="3337" max="3337" width="6" style="27" bestFit="1" customWidth="1"/>
    <col min="3338" max="3338" width="7" style="27" bestFit="1" customWidth="1"/>
    <col min="3339" max="3339" width="10.85546875" style="27" bestFit="1" customWidth="1"/>
    <col min="3340" max="3340" width="18.42578125" style="27" bestFit="1" customWidth="1"/>
    <col min="3341" max="3341" width="16.85546875" style="27" bestFit="1" customWidth="1"/>
    <col min="3342" max="3584" width="8.85546875" style="27"/>
    <col min="3585" max="3585" width="18.140625" style="27" customWidth="1"/>
    <col min="3586" max="3586" width="6.85546875" style="27" bestFit="1" customWidth="1"/>
    <col min="3587" max="3587" width="8.42578125" style="27" bestFit="1" customWidth="1"/>
    <col min="3588" max="3588" width="9.140625" style="27" customWidth="1"/>
    <col min="3589" max="3589" width="7.42578125" style="27" customWidth="1"/>
    <col min="3590" max="3590" width="6.42578125" style="27" customWidth="1"/>
    <col min="3591" max="3591" width="8.140625" style="27" customWidth="1"/>
    <col min="3592" max="3592" width="5" style="27" bestFit="1" customWidth="1"/>
    <col min="3593" max="3593" width="6" style="27" bestFit="1" customWidth="1"/>
    <col min="3594" max="3594" width="7" style="27" bestFit="1" customWidth="1"/>
    <col min="3595" max="3595" width="10.85546875" style="27" bestFit="1" customWidth="1"/>
    <col min="3596" max="3596" width="18.42578125" style="27" bestFit="1" customWidth="1"/>
    <col min="3597" max="3597" width="16.85546875" style="27" bestFit="1" customWidth="1"/>
    <col min="3598" max="3840" width="8.85546875" style="27"/>
    <col min="3841" max="3841" width="18.140625" style="27" customWidth="1"/>
    <col min="3842" max="3842" width="6.85546875" style="27" bestFit="1" customWidth="1"/>
    <col min="3843" max="3843" width="8.42578125" style="27" bestFit="1" customWidth="1"/>
    <col min="3844" max="3844" width="9.140625" style="27" customWidth="1"/>
    <col min="3845" max="3845" width="7.42578125" style="27" customWidth="1"/>
    <col min="3846" max="3846" width="6.42578125" style="27" customWidth="1"/>
    <col min="3847" max="3847" width="8.140625" style="27" customWidth="1"/>
    <col min="3848" max="3848" width="5" style="27" bestFit="1" customWidth="1"/>
    <col min="3849" max="3849" width="6" style="27" bestFit="1" customWidth="1"/>
    <col min="3850" max="3850" width="7" style="27" bestFit="1" customWidth="1"/>
    <col min="3851" max="3851" width="10.85546875" style="27" bestFit="1" customWidth="1"/>
    <col min="3852" max="3852" width="18.42578125" style="27" bestFit="1" customWidth="1"/>
    <col min="3853" max="3853" width="16.85546875" style="27" bestFit="1" customWidth="1"/>
    <col min="3854" max="4096" width="8.85546875" style="27"/>
    <col min="4097" max="4097" width="18.140625" style="27" customWidth="1"/>
    <col min="4098" max="4098" width="6.85546875" style="27" bestFit="1" customWidth="1"/>
    <col min="4099" max="4099" width="8.42578125" style="27" bestFit="1" customWidth="1"/>
    <col min="4100" max="4100" width="9.140625" style="27" customWidth="1"/>
    <col min="4101" max="4101" width="7.42578125" style="27" customWidth="1"/>
    <col min="4102" max="4102" width="6.42578125" style="27" customWidth="1"/>
    <col min="4103" max="4103" width="8.140625" style="27" customWidth="1"/>
    <col min="4104" max="4104" width="5" style="27" bestFit="1" customWidth="1"/>
    <col min="4105" max="4105" width="6" style="27" bestFit="1" customWidth="1"/>
    <col min="4106" max="4106" width="7" style="27" bestFit="1" customWidth="1"/>
    <col min="4107" max="4107" width="10.85546875" style="27" bestFit="1" customWidth="1"/>
    <col min="4108" max="4108" width="18.42578125" style="27" bestFit="1" customWidth="1"/>
    <col min="4109" max="4109" width="16.85546875" style="27" bestFit="1" customWidth="1"/>
    <col min="4110" max="4352" width="8.85546875" style="27"/>
    <col min="4353" max="4353" width="18.140625" style="27" customWidth="1"/>
    <col min="4354" max="4354" width="6.85546875" style="27" bestFit="1" customWidth="1"/>
    <col min="4355" max="4355" width="8.42578125" style="27" bestFit="1" customWidth="1"/>
    <col min="4356" max="4356" width="9.140625" style="27" customWidth="1"/>
    <col min="4357" max="4357" width="7.42578125" style="27" customWidth="1"/>
    <col min="4358" max="4358" width="6.42578125" style="27" customWidth="1"/>
    <col min="4359" max="4359" width="8.140625" style="27" customWidth="1"/>
    <col min="4360" max="4360" width="5" style="27" bestFit="1" customWidth="1"/>
    <col min="4361" max="4361" width="6" style="27" bestFit="1" customWidth="1"/>
    <col min="4362" max="4362" width="7" style="27" bestFit="1" customWidth="1"/>
    <col min="4363" max="4363" width="10.85546875" style="27" bestFit="1" customWidth="1"/>
    <col min="4364" max="4364" width="18.42578125" style="27" bestFit="1" customWidth="1"/>
    <col min="4365" max="4365" width="16.85546875" style="27" bestFit="1" customWidth="1"/>
    <col min="4366" max="4608" width="8.85546875" style="27"/>
    <col min="4609" max="4609" width="18.140625" style="27" customWidth="1"/>
    <col min="4610" max="4610" width="6.85546875" style="27" bestFit="1" customWidth="1"/>
    <col min="4611" max="4611" width="8.42578125" style="27" bestFit="1" customWidth="1"/>
    <col min="4612" max="4612" width="9.140625" style="27" customWidth="1"/>
    <col min="4613" max="4613" width="7.42578125" style="27" customWidth="1"/>
    <col min="4614" max="4614" width="6.42578125" style="27" customWidth="1"/>
    <col min="4615" max="4615" width="8.140625" style="27" customWidth="1"/>
    <col min="4616" max="4616" width="5" style="27" bestFit="1" customWidth="1"/>
    <col min="4617" max="4617" width="6" style="27" bestFit="1" customWidth="1"/>
    <col min="4618" max="4618" width="7" style="27" bestFit="1" customWidth="1"/>
    <col min="4619" max="4619" width="10.85546875" style="27" bestFit="1" customWidth="1"/>
    <col min="4620" max="4620" width="18.42578125" style="27" bestFit="1" customWidth="1"/>
    <col min="4621" max="4621" width="16.85546875" style="27" bestFit="1" customWidth="1"/>
    <col min="4622" max="4864" width="8.85546875" style="27"/>
    <col min="4865" max="4865" width="18.140625" style="27" customWidth="1"/>
    <col min="4866" max="4866" width="6.85546875" style="27" bestFit="1" customWidth="1"/>
    <col min="4867" max="4867" width="8.42578125" style="27" bestFit="1" customWidth="1"/>
    <col min="4868" max="4868" width="9.140625" style="27" customWidth="1"/>
    <col min="4869" max="4869" width="7.42578125" style="27" customWidth="1"/>
    <col min="4870" max="4870" width="6.42578125" style="27" customWidth="1"/>
    <col min="4871" max="4871" width="8.140625" style="27" customWidth="1"/>
    <col min="4872" max="4872" width="5" style="27" bestFit="1" customWidth="1"/>
    <col min="4873" max="4873" width="6" style="27" bestFit="1" customWidth="1"/>
    <col min="4874" max="4874" width="7" style="27" bestFit="1" customWidth="1"/>
    <col min="4875" max="4875" width="10.85546875" style="27" bestFit="1" customWidth="1"/>
    <col min="4876" max="4876" width="18.42578125" style="27" bestFit="1" customWidth="1"/>
    <col min="4877" max="4877" width="16.85546875" style="27" bestFit="1" customWidth="1"/>
    <col min="4878" max="5120" width="8.85546875" style="27"/>
    <col min="5121" max="5121" width="18.140625" style="27" customWidth="1"/>
    <col min="5122" max="5122" width="6.85546875" style="27" bestFit="1" customWidth="1"/>
    <col min="5123" max="5123" width="8.42578125" style="27" bestFit="1" customWidth="1"/>
    <col min="5124" max="5124" width="9.140625" style="27" customWidth="1"/>
    <col min="5125" max="5125" width="7.42578125" style="27" customWidth="1"/>
    <col min="5126" max="5126" width="6.42578125" style="27" customWidth="1"/>
    <col min="5127" max="5127" width="8.140625" style="27" customWidth="1"/>
    <col min="5128" max="5128" width="5" style="27" bestFit="1" customWidth="1"/>
    <col min="5129" max="5129" width="6" style="27" bestFit="1" customWidth="1"/>
    <col min="5130" max="5130" width="7" style="27" bestFit="1" customWidth="1"/>
    <col min="5131" max="5131" width="10.85546875" style="27" bestFit="1" customWidth="1"/>
    <col min="5132" max="5132" width="18.42578125" style="27" bestFit="1" customWidth="1"/>
    <col min="5133" max="5133" width="16.85546875" style="27" bestFit="1" customWidth="1"/>
    <col min="5134" max="5376" width="8.85546875" style="27"/>
    <col min="5377" max="5377" width="18.140625" style="27" customWidth="1"/>
    <col min="5378" max="5378" width="6.85546875" style="27" bestFit="1" customWidth="1"/>
    <col min="5379" max="5379" width="8.42578125" style="27" bestFit="1" customWidth="1"/>
    <col min="5380" max="5380" width="9.140625" style="27" customWidth="1"/>
    <col min="5381" max="5381" width="7.42578125" style="27" customWidth="1"/>
    <col min="5382" max="5382" width="6.42578125" style="27" customWidth="1"/>
    <col min="5383" max="5383" width="8.140625" style="27" customWidth="1"/>
    <col min="5384" max="5384" width="5" style="27" bestFit="1" customWidth="1"/>
    <col min="5385" max="5385" width="6" style="27" bestFit="1" customWidth="1"/>
    <col min="5386" max="5386" width="7" style="27" bestFit="1" customWidth="1"/>
    <col min="5387" max="5387" width="10.85546875" style="27" bestFit="1" customWidth="1"/>
    <col min="5388" max="5388" width="18.42578125" style="27" bestFit="1" customWidth="1"/>
    <col min="5389" max="5389" width="16.85546875" style="27" bestFit="1" customWidth="1"/>
    <col min="5390" max="5632" width="8.85546875" style="27"/>
    <col min="5633" max="5633" width="18.140625" style="27" customWidth="1"/>
    <col min="5634" max="5634" width="6.85546875" style="27" bestFit="1" customWidth="1"/>
    <col min="5635" max="5635" width="8.42578125" style="27" bestFit="1" customWidth="1"/>
    <col min="5636" max="5636" width="9.140625" style="27" customWidth="1"/>
    <col min="5637" max="5637" width="7.42578125" style="27" customWidth="1"/>
    <col min="5638" max="5638" width="6.42578125" style="27" customWidth="1"/>
    <col min="5639" max="5639" width="8.140625" style="27" customWidth="1"/>
    <col min="5640" max="5640" width="5" style="27" bestFit="1" customWidth="1"/>
    <col min="5641" max="5641" width="6" style="27" bestFit="1" customWidth="1"/>
    <col min="5642" max="5642" width="7" style="27" bestFit="1" customWidth="1"/>
    <col min="5643" max="5643" width="10.85546875" style="27" bestFit="1" customWidth="1"/>
    <col min="5644" max="5644" width="18.42578125" style="27" bestFit="1" customWidth="1"/>
    <col min="5645" max="5645" width="16.85546875" style="27" bestFit="1" customWidth="1"/>
    <col min="5646" max="5888" width="8.85546875" style="27"/>
    <col min="5889" max="5889" width="18.140625" style="27" customWidth="1"/>
    <col min="5890" max="5890" width="6.85546875" style="27" bestFit="1" customWidth="1"/>
    <col min="5891" max="5891" width="8.42578125" style="27" bestFit="1" customWidth="1"/>
    <col min="5892" max="5892" width="9.140625" style="27" customWidth="1"/>
    <col min="5893" max="5893" width="7.42578125" style="27" customWidth="1"/>
    <col min="5894" max="5894" width="6.42578125" style="27" customWidth="1"/>
    <col min="5895" max="5895" width="8.140625" style="27" customWidth="1"/>
    <col min="5896" max="5896" width="5" style="27" bestFit="1" customWidth="1"/>
    <col min="5897" max="5897" width="6" style="27" bestFit="1" customWidth="1"/>
    <col min="5898" max="5898" width="7" style="27" bestFit="1" customWidth="1"/>
    <col min="5899" max="5899" width="10.85546875" style="27" bestFit="1" customWidth="1"/>
    <col min="5900" max="5900" width="18.42578125" style="27" bestFit="1" customWidth="1"/>
    <col min="5901" max="5901" width="16.85546875" style="27" bestFit="1" customWidth="1"/>
    <col min="5902" max="6144" width="8.85546875" style="27"/>
    <col min="6145" max="6145" width="18.140625" style="27" customWidth="1"/>
    <col min="6146" max="6146" width="6.85546875" style="27" bestFit="1" customWidth="1"/>
    <col min="6147" max="6147" width="8.42578125" style="27" bestFit="1" customWidth="1"/>
    <col min="6148" max="6148" width="9.140625" style="27" customWidth="1"/>
    <col min="6149" max="6149" width="7.42578125" style="27" customWidth="1"/>
    <col min="6150" max="6150" width="6.42578125" style="27" customWidth="1"/>
    <col min="6151" max="6151" width="8.140625" style="27" customWidth="1"/>
    <col min="6152" max="6152" width="5" style="27" bestFit="1" customWidth="1"/>
    <col min="6153" max="6153" width="6" style="27" bestFit="1" customWidth="1"/>
    <col min="6154" max="6154" width="7" style="27" bestFit="1" customWidth="1"/>
    <col min="6155" max="6155" width="10.85546875" style="27" bestFit="1" customWidth="1"/>
    <col min="6156" max="6156" width="18.42578125" style="27" bestFit="1" customWidth="1"/>
    <col min="6157" max="6157" width="16.85546875" style="27" bestFit="1" customWidth="1"/>
    <col min="6158" max="6400" width="8.85546875" style="27"/>
    <col min="6401" max="6401" width="18.140625" style="27" customWidth="1"/>
    <col min="6402" max="6402" width="6.85546875" style="27" bestFit="1" customWidth="1"/>
    <col min="6403" max="6403" width="8.42578125" style="27" bestFit="1" customWidth="1"/>
    <col min="6404" max="6404" width="9.140625" style="27" customWidth="1"/>
    <col min="6405" max="6405" width="7.42578125" style="27" customWidth="1"/>
    <col min="6406" max="6406" width="6.42578125" style="27" customWidth="1"/>
    <col min="6407" max="6407" width="8.140625" style="27" customWidth="1"/>
    <col min="6408" max="6408" width="5" style="27" bestFit="1" customWidth="1"/>
    <col min="6409" max="6409" width="6" style="27" bestFit="1" customWidth="1"/>
    <col min="6410" max="6410" width="7" style="27" bestFit="1" customWidth="1"/>
    <col min="6411" max="6411" width="10.85546875" style="27" bestFit="1" customWidth="1"/>
    <col min="6412" max="6412" width="18.42578125" style="27" bestFit="1" customWidth="1"/>
    <col min="6413" max="6413" width="16.85546875" style="27" bestFit="1" customWidth="1"/>
    <col min="6414" max="6656" width="8.85546875" style="27"/>
    <col min="6657" max="6657" width="18.140625" style="27" customWidth="1"/>
    <col min="6658" max="6658" width="6.85546875" style="27" bestFit="1" customWidth="1"/>
    <col min="6659" max="6659" width="8.42578125" style="27" bestFit="1" customWidth="1"/>
    <col min="6660" max="6660" width="9.140625" style="27" customWidth="1"/>
    <col min="6661" max="6661" width="7.42578125" style="27" customWidth="1"/>
    <col min="6662" max="6662" width="6.42578125" style="27" customWidth="1"/>
    <col min="6663" max="6663" width="8.140625" style="27" customWidth="1"/>
    <col min="6664" max="6664" width="5" style="27" bestFit="1" customWidth="1"/>
    <col min="6665" max="6665" width="6" style="27" bestFit="1" customWidth="1"/>
    <col min="6666" max="6666" width="7" style="27" bestFit="1" customWidth="1"/>
    <col min="6667" max="6667" width="10.85546875" style="27" bestFit="1" customWidth="1"/>
    <col min="6668" max="6668" width="18.42578125" style="27" bestFit="1" customWidth="1"/>
    <col min="6669" max="6669" width="16.85546875" style="27" bestFit="1" customWidth="1"/>
    <col min="6670" max="6912" width="8.85546875" style="27"/>
    <col min="6913" max="6913" width="18.140625" style="27" customWidth="1"/>
    <col min="6914" max="6914" width="6.85546875" style="27" bestFit="1" customWidth="1"/>
    <col min="6915" max="6915" width="8.42578125" style="27" bestFit="1" customWidth="1"/>
    <col min="6916" max="6916" width="9.140625" style="27" customWidth="1"/>
    <col min="6917" max="6917" width="7.42578125" style="27" customWidth="1"/>
    <col min="6918" max="6918" width="6.42578125" style="27" customWidth="1"/>
    <col min="6919" max="6919" width="8.140625" style="27" customWidth="1"/>
    <col min="6920" max="6920" width="5" style="27" bestFit="1" customWidth="1"/>
    <col min="6921" max="6921" width="6" style="27" bestFit="1" customWidth="1"/>
    <col min="6922" max="6922" width="7" style="27" bestFit="1" customWidth="1"/>
    <col min="6923" max="6923" width="10.85546875" style="27" bestFit="1" customWidth="1"/>
    <col min="6924" max="6924" width="18.42578125" style="27" bestFit="1" customWidth="1"/>
    <col min="6925" max="6925" width="16.85546875" style="27" bestFit="1" customWidth="1"/>
    <col min="6926" max="7168" width="8.85546875" style="27"/>
    <col min="7169" max="7169" width="18.140625" style="27" customWidth="1"/>
    <col min="7170" max="7170" width="6.85546875" style="27" bestFit="1" customWidth="1"/>
    <col min="7171" max="7171" width="8.42578125" style="27" bestFit="1" customWidth="1"/>
    <col min="7172" max="7172" width="9.140625" style="27" customWidth="1"/>
    <col min="7173" max="7173" width="7.42578125" style="27" customWidth="1"/>
    <col min="7174" max="7174" width="6.42578125" style="27" customWidth="1"/>
    <col min="7175" max="7175" width="8.140625" style="27" customWidth="1"/>
    <col min="7176" max="7176" width="5" style="27" bestFit="1" customWidth="1"/>
    <col min="7177" max="7177" width="6" style="27" bestFit="1" customWidth="1"/>
    <col min="7178" max="7178" width="7" style="27" bestFit="1" customWidth="1"/>
    <col min="7179" max="7179" width="10.85546875" style="27" bestFit="1" customWidth="1"/>
    <col min="7180" max="7180" width="18.42578125" style="27" bestFit="1" customWidth="1"/>
    <col min="7181" max="7181" width="16.85546875" style="27" bestFit="1" customWidth="1"/>
    <col min="7182" max="7424" width="8.85546875" style="27"/>
    <col min="7425" max="7425" width="18.140625" style="27" customWidth="1"/>
    <col min="7426" max="7426" width="6.85546875" style="27" bestFit="1" customWidth="1"/>
    <col min="7427" max="7427" width="8.42578125" style="27" bestFit="1" customWidth="1"/>
    <col min="7428" max="7428" width="9.140625" style="27" customWidth="1"/>
    <col min="7429" max="7429" width="7.42578125" style="27" customWidth="1"/>
    <col min="7430" max="7430" width="6.42578125" style="27" customWidth="1"/>
    <col min="7431" max="7431" width="8.140625" style="27" customWidth="1"/>
    <col min="7432" max="7432" width="5" style="27" bestFit="1" customWidth="1"/>
    <col min="7433" max="7433" width="6" style="27" bestFit="1" customWidth="1"/>
    <col min="7434" max="7434" width="7" style="27" bestFit="1" customWidth="1"/>
    <col min="7435" max="7435" width="10.85546875" style="27" bestFit="1" customWidth="1"/>
    <col min="7436" max="7436" width="18.42578125" style="27" bestFit="1" customWidth="1"/>
    <col min="7437" max="7437" width="16.85546875" style="27" bestFit="1" customWidth="1"/>
    <col min="7438" max="7680" width="8.85546875" style="27"/>
    <col min="7681" max="7681" width="18.140625" style="27" customWidth="1"/>
    <col min="7682" max="7682" width="6.85546875" style="27" bestFit="1" customWidth="1"/>
    <col min="7683" max="7683" width="8.42578125" style="27" bestFit="1" customWidth="1"/>
    <col min="7684" max="7684" width="9.140625" style="27" customWidth="1"/>
    <col min="7685" max="7685" width="7.42578125" style="27" customWidth="1"/>
    <col min="7686" max="7686" width="6.42578125" style="27" customWidth="1"/>
    <col min="7687" max="7687" width="8.140625" style="27" customWidth="1"/>
    <col min="7688" max="7688" width="5" style="27" bestFit="1" customWidth="1"/>
    <col min="7689" max="7689" width="6" style="27" bestFit="1" customWidth="1"/>
    <col min="7690" max="7690" width="7" style="27" bestFit="1" customWidth="1"/>
    <col min="7691" max="7691" width="10.85546875" style="27" bestFit="1" customWidth="1"/>
    <col min="7692" max="7692" width="18.42578125" style="27" bestFit="1" customWidth="1"/>
    <col min="7693" max="7693" width="16.85546875" style="27" bestFit="1" customWidth="1"/>
    <col min="7694" max="7936" width="8.85546875" style="27"/>
    <col min="7937" max="7937" width="18.140625" style="27" customWidth="1"/>
    <col min="7938" max="7938" width="6.85546875" style="27" bestFit="1" customWidth="1"/>
    <col min="7939" max="7939" width="8.42578125" style="27" bestFit="1" customWidth="1"/>
    <col min="7940" max="7940" width="9.140625" style="27" customWidth="1"/>
    <col min="7941" max="7941" width="7.42578125" style="27" customWidth="1"/>
    <col min="7942" max="7942" width="6.42578125" style="27" customWidth="1"/>
    <col min="7943" max="7943" width="8.140625" style="27" customWidth="1"/>
    <col min="7944" max="7944" width="5" style="27" bestFit="1" customWidth="1"/>
    <col min="7945" max="7945" width="6" style="27" bestFit="1" customWidth="1"/>
    <col min="7946" max="7946" width="7" style="27" bestFit="1" customWidth="1"/>
    <col min="7947" max="7947" width="10.85546875" style="27" bestFit="1" customWidth="1"/>
    <col min="7948" max="7948" width="18.42578125" style="27" bestFit="1" customWidth="1"/>
    <col min="7949" max="7949" width="16.85546875" style="27" bestFit="1" customWidth="1"/>
    <col min="7950" max="8192" width="8.85546875" style="27"/>
    <col min="8193" max="8193" width="18.140625" style="27" customWidth="1"/>
    <col min="8194" max="8194" width="6.85546875" style="27" bestFit="1" customWidth="1"/>
    <col min="8195" max="8195" width="8.42578125" style="27" bestFit="1" customWidth="1"/>
    <col min="8196" max="8196" width="9.140625" style="27" customWidth="1"/>
    <col min="8197" max="8197" width="7.42578125" style="27" customWidth="1"/>
    <col min="8198" max="8198" width="6.42578125" style="27" customWidth="1"/>
    <col min="8199" max="8199" width="8.140625" style="27" customWidth="1"/>
    <col min="8200" max="8200" width="5" style="27" bestFit="1" customWidth="1"/>
    <col min="8201" max="8201" width="6" style="27" bestFit="1" customWidth="1"/>
    <col min="8202" max="8202" width="7" style="27" bestFit="1" customWidth="1"/>
    <col min="8203" max="8203" width="10.85546875" style="27" bestFit="1" customWidth="1"/>
    <col min="8204" max="8204" width="18.42578125" style="27" bestFit="1" customWidth="1"/>
    <col min="8205" max="8205" width="16.85546875" style="27" bestFit="1" customWidth="1"/>
    <col min="8206" max="8448" width="8.85546875" style="27"/>
    <col min="8449" max="8449" width="18.140625" style="27" customWidth="1"/>
    <col min="8450" max="8450" width="6.85546875" style="27" bestFit="1" customWidth="1"/>
    <col min="8451" max="8451" width="8.42578125" style="27" bestFit="1" customWidth="1"/>
    <col min="8452" max="8452" width="9.140625" style="27" customWidth="1"/>
    <col min="8453" max="8453" width="7.42578125" style="27" customWidth="1"/>
    <col min="8454" max="8454" width="6.42578125" style="27" customWidth="1"/>
    <col min="8455" max="8455" width="8.140625" style="27" customWidth="1"/>
    <col min="8456" max="8456" width="5" style="27" bestFit="1" customWidth="1"/>
    <col min="8457" max="8457" width="6" style="27" bestFit="1" customWidth="1"/>
    <col min="8458" max="8458" width="7" style="27" bestFit="1" customWidth="1"/>
    <col min="8459" max="8459" width="10.85546875" style="27" bestFit="1" customWidth="1"/>
    <col min="8460" max="8460" width="18.42578125" style="27" bestFit="1" customWidth="1"/>
    <col min="8461" max="8461" width="16.85546875" style="27" bestFit="1" customWidth="1"/>
    <col min="8462" max="8704" width="8.85546875" style="27"/>
    <col min="8705" max="8705" width="18.140625" style="27" customWidth="1"/>
    <col min="8706" max="8706" width="6.85546875" style="27" bestFit="1" customWidth="1"/>
    <col min="8707" max="8707" width="8.42578125" style="27" bestFit="1" customWidth="1"/>
    <col min="8708" max="8708" width="9.140625" style="27" customWidth="1"/>
    <col min="8709" max="8709" width="7.42578125" style="27" customWidth="1"/>
    <col min="8710" max="8710" width="6.42578125" style="27" customWidth="1"/>
    <col min="8711" max="8711" width="8.140625" style="27" customWidth="1"/>
    <col min="8712" max="8712" width="5" style="27" bestFit="1" customWidth="1"/>
    <col min="8713" max="8713" width="6" style="27" bestFit="1" customWidth="1"/>
    <col min="8714" max="8714" width="7" style="27" bestFit="1" customWidth="1"/>
    <col min="8715" max="8715" width="10.85546875" style="27" bestFit="1" customWidth="1"/>
    <col min="8716" max="8716" width="18.42578125" style="27" bestFit="1" customWidth="1"/>
    <col min="8717" max="8717" width="16.85546875" style="27" bestFit="1" customWidth="1"/>
    <col min="8718" max="8960" width="8.85546875" style="27"/>
    <col min="8961" max="8961" width="18.140625" style="27" customWidth="1"/>
    <col min="8962" max="8962" width="6.85546875" style="27" bestFit="1" customWidth="1"/>
    <col min="8963" max="8963" width="8.42578125" style="27" bestFit="1" customWidth="1"/>
    <col min="8964" max="8964" width="9.140625" style="27" customWidth="1"/>
    <col min="8965" max="8965" width="7.42578125" style="27" customWidth="1"/>
    <col min="8966" max="8966" width="6.42578125" style="27" customWidth="1"/>
    <col min="8967" max="8967" width="8.140625" style="27" customWidth="1"/>
    <col min="8968" max="8968" width="5" style="27" bestFit="1" customWidth="1"/>
    <col min="8969" max="8969" width="6" style="27" bestFit="1" customWidth="1"/>
    <col min="8970" max="8970" width="7" style="27" bestFit="1" customWidth="1"/>
    <col min="8971" max="8971" width="10.85546875" style="27" bestFit="1" customWidth="1"/>
    <col min="8972" max="8972" width="18.42578125" style="27" bestFit="1" customWidth="1"/>
    <col min="8973" max="8973" width="16.85546875" style="27" bestFit="1" customWidth="1"/>
    <col min="8974" max="9216" width="8.85546875" style="27"/>
    <col min="9217" max="9217" width="18.140625" style="27" customWidth="1"/>
    <col min="9218" max="9218" width="6.85546875" style="27" bestFit="1" customWidth="1"/>
    <col min="9219" max="9219" width="8.42578125" style="27" bestFit="1" customWidth="1"/>
    <col min="9220" max="9220" width="9.140625" style="27" customWidth="1"/>
    <col min="9221" max="9221" width="7.42578125" style="27" customWidth="1"/>
    <col min="9222" max="9222" width="6.42578125" style="27" customWidth="1"/>
    <col min="9223" max="9223" width="8.140625" style="27" customWidth="1"/>
    <col min="9224" max="9224" width="5" style="27" bestFit="1" customWidth="1"/>
    <col min="9225" max="9225" width="6" style="27" bestFit="1" customWidth="1"/>
    <col min="9226" max="9226" width="7" style="27" bestFit="1" customWidth="1"/>
    <col min="9227" max="9227" width="10.85546875" style="27" bestFit="1" customWidth="1"/>
    <col min="9228" max="9228" width="18.42578125" style="27" bestFit="1" customWidth="1"/>
    <col min="9229" max="9229" width="16.85546875" style="27" bestFit="1" customWidth="1"/>
    <col min="9230" max="9472" width="8.85546875" style="27"/>
    <col min="9473" max="9473" width="18.140625" style="27" customWidth="1"/>
    <col min="9474" max="9474" width="6.85546875" style="27" bestFit="1" customWidth="1"/>
    <col min="9475" max="9475" width="8.42578125" style="27" bestFit="1" customWidth="1"/>
    <col min="9476" max="9476" width="9.140625" style="27" customWidth="1"/>
    <col min="9477" max="9477" width="7.42578125" style="27" customWidth="1"/>
    <col min="9478" max="9478" width="6.42578125" style="27" customWidth="1"/>
    <col min="9479" max="9479" width="8.140625" style="27" customWidth="1"/>
    <col min="9480" max="9480" width="5" style="27" bestFit="1" customWidth="1"/>
    <col min="9481" max="9481" width="6" style="27" bestFit="1" customWidth="1"/>
    <col min="9482" max="9482" width="7" style="27" bestFit="1" customWidth="1"/>
    <col min="9483" max="9483" width="10.85546875" style="27" bestFit="1" customWidth="1"/>
    <col min="9484" max="9484" width="18.42578125" style="27" bestFit="1" customWidth="1"/>
    <col min="9485" max="9485" width="16.85546875" style="27" bestFit="1" customWidth="1"/>
    <col min="9486" max="9728" width="8.85546875" style="27"/>
    <col min="9729" max="9729" width="18.140625" style="27" customWidth="1"/>
    <col min="9730" max="9730" width="6.85546875" style="27" bestFit="1" customWidth="1"/>
    <col min="9731" max="9731" width="8.42578125" style="27" bestFit="1" customWidth="1"/>
    <col min="9732" max="9732" width="9.140625" style="27" customWidth="1"/>
    <col min="9733" max="9733" width="7.42578125" style="27" customWidth="1"/>
    <col min="9734" max="9734" width="6.42578125" style="27" customWidth="1"/>
    <col min="9735" max="9735" width="8.140625" style="27" customWidth="1"/>
    <col min="9736" max="9736" width="5" style="27" bestFit="1" customWidth="1"/>
    <col min="9737" max="9737" width="6" style="27" bestFit="1" customWidth="1"/>
    <col min="9738" max="9738" width="7" style="27" bestFit="1" customWidth="1"/>
    <col min="9739" max="9739" width="10.85546875" style="27" bestFit="1" customWidth="1"/>
    <col min="9740" max="9740" width="18.42578125" style="27" bestFit="1" customWidth="1"/>
    <col min="9741" max="9741" width="16.85546875" style="27" bestFit="1" customWidth="1"/>
    <col min="9742" max="9984" width="8.85546875" style="27"/>
    <col min="9985" max="9985" width="18.140625" style="27" customWidth="1"/>
    <col min="9986" max="9986" width="6.85546875" style="27" bestFit="1" customWidth="1"/>
    <col min="9987" max="9987" width="8.42578125" style="27" bestFit="1" customWidth="1"/>
    <col min="9988" max="9988" width="9.140625" style="27" customWidth="1"/>
    <col min="9989" max="9989" width="7.42578125" style="27" customWidth="1"/>
    <col min="9990" max="9990" width="6.42578125" style="27" customWidth="1"/>
    <col min="9991" max="9991" width="8.140625" style="27" customWidth="1"/>
    <col min="9992" max="9992" width="5" style="27" bestFit="1" customWidth="1"/>
    <col min="9993" max="9993" width="6" style="27" bestFit="1" customWidth="1"/>
    <col min="9994" max="9994" width="7" style="27" bestFit="1" customWidth="1"/>
    <col min="9995" max="9995" width="10.85546875" style="27" bestFit="1" customWidth="1"/>
    <col min="9996" max="9996" width="18.42578125" style="27" bestFit="1" customWidth="1"/>
    <col min="9997" max="9997" width="16.85546875" style="27" bestFit="1" customWidth="1"/>
    <col min="9998" max="10240" width="8.85546875" style="27"/>
    <col min="10241" max="10241" width="18.140625" style="27" customWidth="1"/>
    <col min="10242" max="10242" width="6.85546875" style="27" bestFit="1" customWidth="1"/>
    <col min="10243" max="10243" width="8.42578125" style="27" bestFit="1" customWidth="1"/>
    <col min="10244" max="10244" width="9.140625" style="27" customWidth="1"/>
    <col min="10245" max="10245" width="7.42578125" style="27" customWidth="1"/>
    <col min="10246" max="10246" width="6.42578125" style="27" customWidth="1"/>
    <col min="10247" max="10247" width="8.140625" style="27" customWidth="1"/>
    <col min="10248" max="10248" width="5" style="27" bestFit="1" customWidth="1"/>
    <col min="10249" max="10249" width="6" style="27" bestFit="1" customWidth="1"/>
    <col min="10250" max="10250" width="7" style="27" bestFit="1" customWidth="1"/>
    <col min="10251" max="10251" width="10.85546875" style="27" bestFit="1" customWidth="1"/>
    <col min="10252" max="10252" width="18.42578125" style="27" bestFit="1" customWidth="1"/>
    <col min="10253" max="10253" width="16.85546875" style="27" bestFit="1" customWidth="1"/>
    <col min="10254" max="10496" width="8.85546875" style="27"/>
    <col min="10497" max="10497" width="18.140625" style="27" customWidth="1"/>
    <col min="10498" max="10498" width="6.85546875" style="27" bestFit="1" customWidth="1"/>
    <col min="10499" max="10499" width="8.42578125" style="27" bestFit="1" customWidth="1"/>
    <col min="10500" max="10500" width="9.140625" style="27" customWidth="1"/>
    <col min="10501" max="10501" width="7.42578125" style="27" customWidth="1"/>
    <col min="10502" max="10502" width="6.42578125" style="27" customWidth="1"/>
    <col min="10503" max="10503" width="8.140625" style="27" customWidth="1"/>
    <col min="10504" max="10504" width="5" style="27" bestFit="1" customWidth="1"/>
    <col min="10505" max="10505" width="6" style="27" bestFit="1" customWidth="1"/>
    <col min="10506" max="10506" width="7" style="27" bestFit="1" customWidth="1"/>
    <col min="10507" max="10507" width="10.85546875" style="27" bestFit="1" customWidth="1"/>
    <col min="10508" max="10508" width="18.42578125" style="27" bestFit="1" customWidth="1"/>
    <col min="10509" max="10509" width="16.85546875" style="27" bestFit="1" customWidth="1"/>
    <col min="10510" max="10752" width="8.85546875" style="27"/>
    <col min="10753" max="10753" width="18.140625" style="27" customWidth="1"/>
    <col min="10754" max="10754" width="6.85546875" style="27" bestFit="1" customWidth="1"/>
    <col min="10755" max="10755" width="8.42578125" style="27" bestFit="1" customWidth="1"/>
    <col min="10756" max="10756" width="9.140625" style="27" customWidth="1"/>
    <col min="10757" max="10757" width="7.42578125" style="27" customWidth="1"/>
    <col min="10758" max="10758" width="6.42578125" style="27" customWidth="1"/>
    <col min="10759" max="10759" width="8.140625" style="27" customWidth="1"/>
    <col min="10760" max="10760" width="5" style="27" bestFit="1" customWidth="1"/>
    <col min="10761" max="10761" width="6" style="27" bestFit="1" customWidth="1"/>
    <col min="10762" max="10762" width="7" style="27" bestFit="1" customWidth="1"/>
    <col min="10763" max="10763" width="10.85546875" style="27" bestFit="1" customWidth="1"/>
    <col min="10764" max="10764" width="18.42578125" style="27" bestFit="1" customWidth="1"/>
    <col min="10765" max="10765" width="16.85546875" style="27" bestFit="1" customWidth="1"/>
    <col min="10766" max="11008" width="8.85546875" style="27"/>
    <col min="11009" max="11009" width="18.140625" style="27" customWidth="1"/>
    <col min="11010" max="11010" width="6.85546875" style="27" bestFit="1" customWidth="1"/>
    <col min="11011" max="11011" width="8.42578125" style="27" bestFit="1" customWidth="1"/>
    <col min="11012" max="11012" width="9.140625" style="27" customWidth="1"/>
    <col min="11013" max="11013" width="7.42578125" style="27" customWidth="1"/>
    <col min="11014" max="11014" width="6.42578125" style="27" customWidth="1"/>
    <col min="11015" max="11015" width="8.140625" style="27" customWidth="1"/>
    <col min="11016" max="11016" width="5" style="27" bestFit="1" customWidth="1"/>
    <col min="11017" max="11017" width="6" style="27" bestFit="1" customWidth="1"/>
    <col min="11018" max="11018" width="7" style="27" bestFit="1" customWidth="1"/>
    <col min="11019" max="11019" width="10.85546875" style="27" bestFit="1" customWidth="1"/>
    <col min="11020" max="11020" width="18.42578125" style="27" bestFit="1" customWidth="1"/>
    <col min="11021" max="11021" width="16.85546875" style="27" bestFit="1" customWidth="1"/>
    <col min="11022" max="11264" width="8.85546875" style="27"/>
    <col min="11265" max="11265" width="18.140625" style="27" customWidth="1"/>
    <col min="11266" max="11266" width="6.85546875" style="27" bestFit="1" customWidth="1"/>
    <col min="11267" max="11267" width="8.42578125" style="27" bestFit="1" customWidth="1"/>
    <col min="11268" max="11268" width="9.140625" style="27" customWidth="1"/>
    <col min="11269" max="11269" width="7.42578125" style="27" customWidth="1"/>
    <col min="11270" max="11270" width="6.42578125" style="27" customWidth="1"/>
    <col min="11271" max="11271" width="8.140625" style="27" customWidth="1"/>
    <col min="11272" max="11272" width="5" style="27" bestFit="1" customWidth="1"/>
    <col min="11273" max="11273" width="6" style="27" bestFit="1" customWidth="1"/>
    <col min="11274" max="11274" width="7" style="27" bestFit="1" customWidth="1"/>
    <col min="11275" max="11275" width="10.85546875" style="27" bestFit="1" customWidth="1"/>
    <col min="11276" max="11276" width="18.42578125" style="27" bestFit="1" customWidth="1"/>
    <col min="11277" max="11277" width="16.85546875" style="27" bestFit="1" customWidth="1"/>
    <col min="11278" max="11520" width="8.85546875" style="27"/>
    <col min="11521" max="11521" width="18.140625" style="27" customWidth="1"/>
    <col min="11522" max="11522" width="6.85546875" style="27" bestFit="1" customWidth="1"/>
    <col min="11523" max="11523" width="8.42578125" style="27" bestFit="1" customWidth="1"/>
    <col min="11524" max="11524" width="9.140625" style="27" customWidth="1"/>
    <col min="11525" max="11525" width="7.42578125" style="27" customWidth="1"/>
    <col min="11526" max="11526" width="6.42578125" style="27" customWidth="1"/>
    <col min="11527" max="11527" width="8.140625" style="27" customWidth="1"/>
    <col min="11528" max="11528" width="5" style="27" bestFit="1" customWidth="1"/>
    <col min="11529" max="11529" width="6" style="27" bestFit="1" customWidth="1"/>
    <col min="11530" max="11530" width="7" style="27" bestFit="1" customWidth="1"/>
    <col min="11531" max="11531" width="10.85546875" style="27" bestFit="1" customWidth="1"/>
    <col min="11532" max="11532" width="18.42578125" style="27" bestFit="1" customWidth="1"/>
    <col min="11533" max="11533" width="16.85546875" style="27" bestFit="1" customWidth="1"/>
    <col min="11534" max="11776" width="8.85546875" style="27"/>
    <col min="11777" max="11777" width="18.140625" style="27" customWidth="1"/>
    <col min="11778" max="11778" width="6.85546875" style="27" bestFit="1" customWidth="1"/>
    <col min="11779" max="11779" width="8.42578125" style="27" bestFit="1" customWidth="1"/>
    <col min="11780" max="11780" width="9.140625" style="27" customWidth="1"/>
    <col min="11781" max="11781" width="7.42578125" style="27" customWidth="1"/>
    <col min="11782" max="11782" width="6.42578125" style="27" customWidth="1"/>
    <col min="11783" max="11783" width="8.140625" style="27" customWidth="1"/>
    <col min="11784" max="11784" width="5" style="27" bestFit="1" customWidth="1"/>
    <col min="11785" max="11785" width="6" style="27" bestFit="1" customWidth="1"/>
    <col min="11786" max="11786" width="7" style="27" bestFit="1" customWidth="1"/>
    <col min="11787" max="11787" width="10.85546875" style="27" bestFit="1" customWidth="1"/>
    <col min="11788" max="11788" width="18.42578125" style="27" bestFit="1" customWidth="1"/>
    <col min="11789" max="11789" width="16.85546875" style="27" bestFit="1" customWidth="1"/>
    <col min="11790" max="12032" width="8.85546875" style="27"/>
    <col min="12033" max="12033" width="18.140625" style="27" customWidth="1"/>
    <col min="12034" max="12034" width="6.85546875" style="27" bestFit="1" customWidth="1"/>
    <col min="12035" max="12035" width="8.42578125" style="27" bestFit="1" customWidth="1"/>
    <col min="12036" max="12036" width="9.140625" style="27" customWidth="1"/>
    <col min="12037" max="12037" width="7.42578125" style="27" customWidth="1"/>
    <col min="12038" max="12038" width="6.42578125" style="27" customWidth="1"/>
    <col min="12039" max="12039" width="8.140625" style="27" customWidth="1"/>
    <col min="12040" max="12040" width="5" style="27" bestFit="1" customWidth="1"/>
    <col min="12041" max="12041" width="6" style="27" bestFit="1" customWidth="1"/>
    <col min="12042" max="12042" width="7" style="27" bestFit="1" customWidth="1"/>
    <col min="12043" max="12043" width="10.85546875" style="27" bestFit="1" customWidth="1"/>
    <col min="12044" max="12044" width="18.42578125" style="27" bestFit="1" customWidth="1"/>
    <col min="12045" max="12045" width="16.85546875" style="27" bestFit="1" customWidth="1"/>
    <col min="12046" max="12288" width="8.85546875" style="27"/>
    <col min="12289" max="12289" width="18.140625" style="27" customWidth="1"/>
    <col min="12290" max="12290" width="6.85546875" style="27" bestFit="1" customWidth="1"/>
    <col min="12291" max="12291" width="8.42578125" style="27" bestFit="1" customWidth="1"/>
    <col min="12292" max="12292" width="9.140625" style="27" customWidth="1"/>
    <col min="12293" max="12293" width="7.42578125" style="27" customWidth="1"/>
    <col min="12294" max="12294" width="6.42578125" style="27" customWidth="1"/>
    <col min="12295" max="12295" width="8.140625" style="27" customWidth="1"/>
    <col min="12296" max="12296" width="5" style="27" bestFit="1" customWidth="1"/>
    <col min="12297" max="12297" width="6" style="27" bestFit="1" customWidth="1"/>
    <col min="12298" max="12298" width="7" style="27" bestFit="1" customWidth="1"/>
    <col min="12299" max="12299" width="10.85546875" style="27" bestFit="1" customWidth="1"/>
    <col min="12300" max="12300" width="18.42578125" style="27" bestFit="1" customWidth="1"/>
    <col min="12301" max="12301" width="16.85546875" style="27" bestFit="1" customWidth="1"/>
    <col min="12302" max="12544" width="8.85546875" style="27"/>
    <col min="12545" max="12545" width="18.140625" style="27" customWidth="1"/>
    <col min="12546" max="12546" width="6.85546875" style="27" bestFit="1" customWidth="1"/>
    <col min="12547" max="12547" width="8.42578125" style="27" bestFit="1" customWidth="1"/>
    <col min="12548" max="12548" width="9.140625" style="27" customWidth="1"/>
    <col min="12549" max="12549" width="7.42578125" style="27" customWidth="1"/>
    <col min="12550" max="12550" width="6.42578125" style="27" customWidth="1"/>
    <col min="12551" max="12551" width="8.140625" style="27" customWidth="1"/>
    <col min="12552" max="12552" width="5" style="27" bestFit="1" customWidth="1"/>
    <col min="12553" max="12553" width="6" style="27" bestFit="1" customWidth="1"/>
    <col min="12554" max="12554" width="7" style="27" bestFit="1" customWidth="1"/>
    <col min="12555" max="12555" width="10.85546875" style="27" bestFit="1" customWidth="1"/>
    <col min="12556" max="12556" width="18.42578125" style="27" bestFit="1" customWidth="1"/>
    <col min="12557" max="12557" width="16.85546875" style="27" bestFit="1" customWidth="1"/>
    <col min="12558" max="12800" width="8.85546875" style="27"/>
    <col min="12801" max="12801" width="18.140625" style="27" customWidth="1"/>
    <col min="12802" max="12802" width="6.85546875" style="27" bestFit="1" customWidth="1"/>
    <col min="12803" max="12803" width="8.42578125" style="27" bestFit="1" customWidth="1"/>
    <col min="12804" max="12804" width="9.140625" style="27" customWidth="1"/>
    <col min="12805" max="12805" width="7.42578125" style="27" customWidth="1"/>
    <col min="12806" max="12806" width="6.42578125" style="27" customWidth="1"/>
    <col min="12807" max="12807" width="8.140625" style="27" customWidth="1"/>
    <col min="12808" max="12808" width="5" style="27" bestFit="1" customWidth="1"/>
    <col min="12809" max="12809" width="6" style="27" bestFit="1" customWidth="1"/>
    <col min="12810" max="12810" width="7" style="27" bestFit="1" customWidth="1"/>
    <col min="12811" max="12811" width="10.85546875" style="27" bestFit="1" customWidth="1"/>
    <col min="12812" max="12812" width="18.42578125" style="27" bestFit="1" customWidth="1"/>
    <col min="12813" max="12813" width="16.85546875" style="27" bestFit="1" customWidth="1"/>
    <col min="12814" max="13056" width="8.85546875" style="27"/>
    <col min="13057" max="13057" width="18.140625" style="27" customWidth="1"/>
    <col min="13058" max="13058" width="6.85546875" style="27" bestFit="1" customWidth="1"/>
    <col min="13059" max="13059" width="8.42578125" style="27" bestFit="1" customWidth="1"/>
    <col min="13060" max="13060" width="9.140625" style="27" customWidth="1"/>
    <col min="13061" max="13061" width="7.42578125" style="27" customWidth="1"/>
    <col min="13062" max="13062" width="6.42578125" style="27" customWidth="1"/>
    <col min="13063" max="13063" width="8.140625" style="27" customWidth="1"/>
    <col min="13064" max="13064" width="5" style="27" bestFit="1" customWidth="1"/>
    <col min="13065" max="13065" width="6" style="27" bestFit="1" customWidth="1"/>
    <col min="13066" max="13066" width="7" style="27" bestFit="1" customWidth="1"/>
    <col min="13067" max="13067" width="10.85546875" style="27" bestFit="1" customWidth="1"/>
    <col min="13068" max="13068" width="18.42578125" style="27" bestFit="1" customWidth="1"/>
    <col min="13069" max="13069" width="16.85546875" style="27" bestFit="1" customWidth="1"/>
    <col min="13070" max="13312" width="8.85546875" style="27"/>
    <col min="13313" max="13313" width="18.140625" style="27" customWidth="1"/>
    <col min="13314" max="13314" width="6.85546875" style="27" bestFit="1" customWidth="1"/>
    <col min="13315" max="13315" width="8.42578125" style="27" bestFit="1" customWidth="1"/>
    <col min="13316" max="13316" width="9.140625" style="27" customWidth="1"/>
    <col min="13317" max="13317" width="7.42578125" style="27" customWidth="1"/>
    <col min="13318" max="13318" width="6.42578125" style="27" customWidth="1"/>
    <col min="13319" max="13319" width="8.140625" style="27" customWidth="1"/>
    <col min="13320" max="13320" width="5" style="27" bestFit="1" customWidth="1"/>
    <col min="13321" max="13321" width="6" style="27" bestFit="1" customWidth="1"/>
    <col min="13322" max="13322" width="7" style="27" bestFit="1" customWidth="1"/>
    <col min="13323" max="13323" width="10.85546875" style="27" bestFit="1" customWidth="1"/>
    <col min="13324" max="13324" width="18.42578125" style="27" bestFit="1" customWidth="1"/>
    <col min="13325" max="13325" width="16.85546875" style="27" bestFit="1" customWidth="1"/>
    <col min="13326" max="13568" width="8.85546875" style="27"/>
    <col min="13569" max="13569" width="18.140625" style="27" customWidth="1"/>
    <col min="13570" max="13570" width="6.85546875" style="27" bestFit="1" customWidth="1"/>
    <col min="13571" max="13571" width="8.42578125" style="27" bestFit="1" customWidth="1"/>
    <col min="13572" max="13572" width="9.140625" style="27" customWidth="1"/>
    <col min="13573" max="13573" width="7.42578125" style="27" customWidth="1"/>
    <col min="13574" max="13574" width="6.42578125" style="27" customWidth="1"/>
    <col min="13575" max="13575" width="8.140625" style="27" customWidth="1"/>
    <col min="13576" max="13576" width="5" style="27" bestFit="1" customWidth="1"/>
    <col min="13577" max="13577" width="6" style="27" bestFit="1" customWidth="1"/>
    <col min="13578" max="13578" width="7" style="27" bestFit="1" customWidth="1"/>
    <col min="13579" max="13579" width="10.85546875" style="27" bestFit="1" customWidth="1"/>
    <col min="13580" max="13580" width="18.42578125" style="27" bestFit="1" customWidth="1"/>
    <col min="13581" max="13581" width="16.85546875" style="27" bestFit="1" customWidth="1"/>
    <col min="13582" max="13824" width="8.85546875" style="27"/>
    <col min="13825" max="13825" width="18.140625" style="27" customWidth="1"/>
    <col min="13826" max="13826" width="6.85546875" style="27" bestFit="1" customWidth="1"/>
    <col min="13827" max="13827" width="8.42578125" style="27" bestFit="1" customWidth="1"/>
    <col min="13828" max="13828" width="9.140625" style="27" customWidth="1"/>
    <col min="13829" max="13829" width="7.42578125" style="27" customWidth="1"/>
    <col min="13830" max="13830" width="6.42578125" style="27" customWidth="1"/>
    <col min="13831" max="13831" width="8.140625" style="27" customWidth="1"/>
    <col min="13832" max="13832" width="5" style="27" bestFit="1" customWidth="1"/>
    <col min="13833" max="13833" width="6" style="27" bestFit="1" customWidth="1"/>
    <col min="13834" max="13834" width="7" style="27" bestFit="1" customWidth="1"/>
    <col min="13835" max="13835" width="10.85546875" style="27" bestFit="1" customWidth="1"/>
    <col min="13836" max="13836" width="18.42578125" style="27" bestFit="1" customWidth="1"/>
    <col min="13837" max="13837" width="16.85546875" style="27" bestFit="1" customWidth="1"/>
    <col min="13838" max="14080" width="8.85546875" style="27"/>
    <col min="14081" max="14081" width="18.140625" style="27" customWidth="1"/>
    <col min="14082" max="14082" width="6.85546875" style="27" bestFit="1" customWidth="1"/>
    <col min="14083" max="14083" width="8.42578125" style="27" bestFit="1" customWidth="1"/>
    <col min="14084" max="14084" width="9.140625" style="27" customWidth="1"/>
    <col min="14085" max="14085" width="7.42578125" style="27" customWidth="1"/>
    <col min="14086" max="14086" width="6.42578125" style="27" customWidth="1"/>
    <col min="14087" max="14087" width="8.140625" style="27" customWidth="1"/>
    <col min="14088" max="14088" width="5" style="27" bestFit="1" customWidth="1"/>
    <col min="14089" max="14089" width="6" style="27" bestFit="1" customWidth="1"/>
    <col min="14090" max="14090" width="7" style="27" bestFit="1" customWidth="1"/>
    <col min="14091" max="14091" width="10.85546875" style="27" bestFit="1" customWidth="1"/>
    <col min="14092" max="14092" width="18.42578125" style="27" bestFit="1" customWidth="1"/>
    <col min="14093" max="14093" width="16.85546875" style="27" bestFit="1" customWidth="1"/>
    <col min="14094" max="14336" width="8.85546875" style="27"/>
    <col min="14337" max="14337" width="18.140625" style="27" customWidth="1"/>
    <col min="14338" max="14338" width="6.85546875" style="27" bestFit="1" customWidth="1"/>
    <col min="14339" max="14339" width="8.42578125" style="27" bestFit="1" customWidth="1"/>
    <col min="14340" max="14340" width="9.140625" style="27" customWidth="1"/>
    <col min="14341" max="14341" width="7.42578125" style="27" customWidth="1"/>
    <col min="14342" max="14342" width="6.42578125" style="27" customWidth="1"/>
    <col min="14343" max="14343" width="8.140625" style="27" customWidth="1"/>
    <col min="14344" max="14344" width="5" style="27" bestFit="1" customWidth="1"/>
    <col min="14345" max="14345" width="6" style="27" bestFit="1" customWidth="1"/>
    <col min="14346" max="14346" width="7" style="27" bestFit="1" customWidth="1"/>
    <col min="14347" max="14347" width="10.85546875" style="27" bestFit="1" customWidth="1"/>
    <col min="14348" max="14348" width="18.42578125" style="27" bestFit="1" customWidth="1"/>
    <col min="14349" max="14349" width="16.85546875" style="27" bestFit="1" customWidth="1"/>
    <col min="14350" max="14592" width="8.85546875" style="27"/>
    <col min="14593" max="14593" width="18.140625" style="27" customWidth="1"/>
    <col min="14594" max="14594" width="6.85546875" style="27" bestFit="1" customWidth="1"/>
    <col min="14595" max="14595" width="8.42578125" style="27" bestFit="1" customWidth="1"/>
    <col min="14596" max="14596" width="9.140625" style="27" customWidth="1"/>
    <col min="14597" max="14597" width="7.42578125" style="27" customWidth="1"/>
    <col min="14598" max="14598" width="6.42578125" style="27" customWidth="1"/>
    <col min="14599" max="14599" width="8.140625" style="27" customWidth="1"/>
    <col min="14600" max="14600" width="5" style="27" bestFit="1" customWidth="1"/>
    <col min="14601" max="14601" width="6" style="27" bestFit="1" customWidth="1"/>
    <col min="14602" max="14602" width="7" style="27" bestFit="1" customWidth="1"/>
    <col min="14603" max="14603" width="10.85546875" style="27" bestFit="1" customWidth="1"/>
    <col min="14604" max="14604" width="18.42578125" style="27" bestFit="1" customWidth="1"/>
    <col min="14605" max="14605" width="16.85546875" style="27" bestFit="1" customWidth="1"/>
    <col min="14606" max="14848" width="8.85546875" style="27"/>
    <col min="14849" max="14849" width="18.140625" style="27" customWidth="1"/>
    <col min="14850" max="14850" width="6.85546875" style="27" bestFit="1" customWidth="1"/>
    <col min="14851" max="14851" width="8.42578125" style="27" bestFit="1" customWidth="1"/>
    <col min="14852" max="14852" width="9.140625" style="27" customWidth="1"/>
    <col min="14853" max="14853" width="7.42578125" style="27" customWidth="1"/>
    <col min="14854" max="14854" width="6.42578125" style="27" customWidth="1"/>
    <col min="14855" max="14855" width="8.140625" style="27" customWidth="1"/>
    <col min="14856" max="14856" width="5" style="27" bestFit="1" customWidth="1"/>
    <col min="14857" max="14857" width="6" style="27" bestFit="1" customWidth="1"/>
    <col min="14858" max="14858" width="7" style="27" bestFit="1" customWidth="1"/>
    <col min="14859" max="14859" width="10.85546875" style="27" bestFit="1" customWidth="1"/>
    <col min="14860" max="14860" width="18.42578125" style="27" bestFit="1" customWidth="1"/>
    <col min="14861" max="14861" width="16.85546875" style="27" bestFit="1" customWidth="1"/>
    <col min="14862" max="15104" width="8.85546875" style="27"/>
    <col min="15105" max="15105" width="18.140625" style="27" customWidth="1"/>
    <col min="15106" max="15106" width="6.85546875" style="27" bestFit="1" customWidth="1"/>
    <col min="15107" max="15107" width="8.42578125" style="27" bestFit="1" customWidth="1"/>
    <col min="15108" max="15108" width="9.140625" style="27" customWidth="1"/>
    <col min="15109" max="15109" width="7.42578125" style="27" customWidth="1"/>
    <col min="15110" max="15110" width="6.42578125" style="27" customWidth="1"/>
    <col min="15111" max="15111" width="8.140625" style="27" customWidth="1"/>
    <col min="15112" max="15112" width="5" style="27" bestFit="1" customWidth="1"/>
    <col min="15113" max="15113" width="6" style="27" bestFit="1" customWidth="1"/>
    <col min="15114" max="15114" width="7" style="27" bestFit="1" customWidth="1"/>
    <col min="15115" max="15115" width="10.85546875" style="27" bestFit="1" customWidth="1"/>
    <col min="15116" max="15116" width="18.42578125" style="27" bestFit="1" customWidth="1"/>
    <col min="15117" max="15117" width="16.85546875" style="27" bestFit="1" customWidth="1"/>
    <col min="15118" max="15360" width="8.85546875" style="27"/>
    <col min="15361" max="15361" width="18.140625" style="27" customWidth="1"/>
    <col min="15362" max="15362" width="6.85546875" style="27" bestFit="1" customWidth="1"/>
    <col min="15363" max="15363" width="8.42578125" style="27" bestFit="1" customWidth="1"/>
    <col min="15364" max="15364" width="9.140625" style="27" customWidth="1"/>
    <col min="15365" max="15365" width="7.42578125" style="27" customWidth="1"/>
    <col min="15366" max="15366" width="6.42578125" style="27" customWidth="1"/>
    <col min="15367" max="15367" width="8.140625" style="27" customWidth="1"/>
    <col min="15368" max="15368" width="5" style="27" bestFit="1" customWidth="1"/>
    <col min="15369" max="15369" width="6" style="27" bestFit="1" customWidth="1"/>
    <col min="15370" max="15370" width="7" style="27" bestFit="1" customWidth="1"/>
    <col min="15371" max="15371" width="10.85546875" style="27" bestFit="1" customWidth="1"/>
    <col min="15372" max="15372" width="18.42578125" style="27" bestFit="1" customWidth="1"/>
    <col min="15373" max="15373" width="16.85546875" style="27" bestFit="1" customWidth="1"/>
    <col min="15374" max="15616" width="8.85546875" style="27"/>
    <col min="15617" max="15617" width="18.140625" style="27" customWidth="1"/>
    <col min="15618" max="15618" width="6.85546875" style="27" bestFit="1" customWidth="1"/>
    <col min="15619" max="15619" width="8.42578125" style="27" bestFit="1" customWidth="1"/>
    <col min="15620" max="15620" width="9.140625" style="27" customWidth="1"/>
    <col min="15621" max="15621" width="7.42578125" style="27" customWidth="1"/>
    <col min="15622" max="15622" width="6.42578125" style="27" customWidth="1"/>
    <col min="15623" max="15623" width="8.140625" style="27" customWidth="1"/>
    <col min="15624" max="15624" width="5" style="27" bestFit="1" customWidth="1"/>
    <col min="15625" max="15625" width="6" style="27" bestFit="1" customWidth="1"/>
    <col min="15626" max="15626" width="7" style="27" bestFit="1" customWidth="1"/>
    <col min="15627" max="15627" width="10.85546875" style="27" bestFit="1" customWidth="1"/>
    <col min="15628" max="15628" width="18.42578125" style="27" bestFit="1" customWidth="1"/>
    <col min="15629" max="15629" width="16.85546875" style="27" bestFit="1" customWidth="1"/>
    <col min="15630" max="15872" width="8.85546875" style="27"/>
    <col min="15873" max="15873" width="18.140625" style="27" customWidth="1"/>
    <col min="15874" max="15874" width="6.85546875" style="27" bestFit="1" customWidth="1"/>
    <col min="15875" max="15875" width="8.42578125" style="27" bestFit="1" customWidth="1"/>
    <col min="15876" max="15876" width="9.140625" style="27" customWidth="1"/>
    <col min="15877" max="15877" width="7.42578125" style="27" customWidth="1"/>
    <col min="15878" max="15878" width="6.42578125" style="27" customWidth="1"/>
    <col min="15879" max="15879" width="8.140625" style="27" customWidth="1"/>
    <col min="15880" max="15880" width="5" style="27" bestFit="1" customWidth="1"/>
    <col min="15881" max="15881" width="6" style="27" bestFit="1" customWidth="1"/>
    <col min="15882" max="15882" width="7" style="27" bestFit="1" customWidth="1"/>
    <col min="15883" max="15883" width="10.85546875" style="27" bestFit="1" customWidth="1"/>
    <col min="15884" max="15884" width="18.42578125" style="27" bestFit="1" customWidth="1"/>
    <col min="15885" max="15885" width="16.85546875" style="27" bestFit="1" customWidth="1"/>
    <col min="15886" max="16128" width="8.85546875" style="27"/>
    <col min="16129" max="16129" width="18.140625" style="27" customWidth="1"/>
    <col min="16130" max="16130" width="6.85546875" style="27" bestFit="1" customWidth="1"/>
    <col min="16131" max="16131" width="8.42578125" style="27" bestFit="1" customWidth="1"/>
    <col min="16132" max="16132" width="9.140625" style="27" customWidth="1"/>
    <col min="16133" max="16133" width="7.42578125" style="27" customWidth="1"/>
    <col min="16134" max="16134" width="6.42578125" style="27" customWidth="1"/>
    <col min="16135" max="16135" width="8.140625" style="27" customWidth="1"/>
    <col min="16136" max="16136" width="5" style="27" bestFit="1" customWidth="1"/>
    <col min="16137" max="16137" width="6" style="27" bestFit="1" customWidth="1"/>
    <col min="16138" max="16138" width="7" style="27" bestFit="1" customWidth="1"/>
    <col min="16139" max="16139" width="10.85546875" style="27" bestFit="1" customWidth="1"/>
    <col min="16140" max="16140" width="18.42578125" style="27" bestFit="1" customWidth="1"/>
    <col min="16141" max="16141" width="16.85546875" style="27" bestFit="1" customWidth="1"/>
    <col min="16142" max="16384" width="8.85546875" style="27"/>
  </cols>
  <sheetData>
    <row r="1" spans="1:16" ht="15.75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6" x14ac:dyDescent="0.2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28" t="s">
        <v>11</v>
      </c>
      <c r="L2" s="28" t="s">
        <v>12</v>
      </c>
      <c r="M2" s="28" t="s">
        <v>13</v>
      </c>
      <c r="P2" s="37" t="s">
        <v>57</v>
      </c>
    </row>
    <row r="3" spans="1:16" x14ac:dyDescent="0.25">
      <c r="A3" s="28" t="s">
        <v>14</v>
      </c>
      <c r="B3" s="28">
        <v>5.25</v>
      </c>
      <c r="C3" s="28">
        <v>7.26</v>
      </c>
      <c r="D3" s="28">
        <v>6.5</v>
      </c>
      <c r="E3" s="28">
        <v>9</v>
      </c>
      <c r="F3" s="28">
        <v>5.89</v>
      </c>
      <c r="G3" s="28">
        <v>8.39</v>
      </c>
      <c r="H3" s="28">
        <f>SUM(B3:G3)</f>
        <v>42.29</v>
      </c>
      <c r="I3" s="28">
        <f>AVERAGE(B3:G3)</f>
        <v>7.0483333333333329</v>
      </c>
      <c r="J3" s="28">
        <f>MIN(B3:G3)</f>
        <v>5.25</v>
      </c>
      <c r="K3" s="28">
        <f>MAX(B3:G3)</f>
        <v>9</v>
      </c>
      <c r="L3" s="28">
        <f>SMALL(B3:G3,2)</f>
        <v>5.89</v>
      </c>
      <c r="M3" s="28">
        <f>SMALL(B3:G3,3)</f>
        <v>6.5</v>
      </c>
      <c r="P3" s="38" t="str">
        <f ca="1">_xlfn.FORMULATEXT(H3)</f>
        <v>=SOMA(B3:G3)</v>
      </c>
    </row>
    <row r="4" spans="1:16" x14ac:dyDescent="0.25">
      <c r="A4" s="28" t="s">
        <v>15</v>
      </c>
      <c r="B4" s="28">
        <v>2.99</v>
      </c>
      <c r="C4" s="28">
        <v>4.63</v>
      </c>
      <c r="D4" s="28">
        <v>4.75</v>
      </c>
      <c r="E4" s="28">
        <v>3.85</v>
      </c>
      <c r="F4" s="28">
        <v>4.5</v>
      </c>
      <c r="G4" s="28">
        <v>3</v>
      </c>
      <c r="H4" s="28">
        <f t="shared" ref="H4:H12" si="0">SUM(B4:G4)</f>
        <v>23.720000000000002</v>
      </c>
      <c r="I4" s="28">
        <f t="shared" ref="I4:I12" si="1">AVERAGE(B4:G4)</f>
        <v>3.9533333333333336</v>
      </c>
      <c r="J4" s="28">
        <f t="shared" ref="J4:J12" si="2">MIN(B4:G4)</f>
        <v>2.99</v>
      </c>
      <c r="K4" s="28">
        <f t="shared" ref="K4:K12" si="3">MAX(B4:G4)</f>
        <v>4.75</v>
      </c>
      <c r="L4" s="28">
        <f t="shared" ref="L4:L12" si="4">SMALL(B4:G4,2)</f>
        <v>3</v>
      </c>
      <c r="M4" s="28">
        <f t="shared" ref="M4:M12" si="5">SMALL(B4:G4,3)</f>
        <v>3.85</v>
      </c>
      <c r="P4" s="38" t="str">
        <f ca="1">_xlfn.FORMULATEXT(I3)</f>
        <v>=MÉDIA(B3:G3)</v>
      </c>
    </row>
    <row r="5" spans="1:16" x14ac:dyDescent="0.25">
      <c r="A5" s="28" t="s">
        <v>16</v>
      </c>
      <c r="B5" s="28">
        <v>6.5</v>
      </c>
      <c r="C5" s="28">
        <v>6.75</v>
      </c>
      <c r="D5" s="28">
        <v>6.5</v>
      </c>
      <c r="E5" s="28">
        <v>9.23</v>
      </c>
      <c r="F5" s="28">
        <v>7.5</v>
      </c>
      <c r="G5" s="28">
        <v>7.5</v>
      </c>
      <c r="H5" s="28">
        <f t="shared" si="0"/>
        <v>43.980000000000004</v>
      </c>
      <c r="I5" s="28">
        <f t="shared" si="1"/>
        <v>7.330000000000001</v>
      </c>
      <c r="J5" s="28">
        <f t="shared" si="2"/>
        <v>6.5</v>
      </c>
      <c r="K5" s="28">
        <f t="shared" si="3"/>
        <v>9.23</v>
      </c>
      <c r="L5" s="28">
        <f t="shared" si="4"/>
        <v>6.5</v>
      </c>
      <c r="M5" s="28">
        <f t="shared" si="5"/>
        <v>6.75</v>
      </c>
      <c r="P5" s="38" t="str">
        <f ca="1">_xlfn.FORMULATEXT(J3)</f>
        <v>=MÍNIMO(B3:G3)</v>
      </c>
    </row>
    <row r="6" spans="1:16" x14ac:dyDescent="0.25">
      <c r="A6" s="29" t="s">
        <v>17</v>
      </c>
      <c r="B6" s="28">
        <v>3.45</v>
      </c>
      <c r="C6" s="28">
        <v>25.06</v>
      </c>
      <c r="D6" s="28">
        <v>4.9000000000000004</v>
      </c>
      <c r="E6" s="28">
        <v>4.75</v>
      </c>
      <c r="F6" s="28">
        <v>3.5</v>
      </c>
      <c r="G6" s="28">
        <v>4</v>
      </c>
      <c r="H6" s="28">
        <f t="shared" si="0"/>
        <v>45.66</v>
      </c>
      <c r="I6" s="28">
        <f t="shared" si="1"/>
        <v>7.6099999999999994</v>
      </c>
      <c r="J6" s="28">
        <f t="shared" si="2"/>
        <v>3.45</v>
      </c>
      <c r="K6" s="28">
        <f t="shared" si="3"/>
        <v>25.06</v>
      </c>
      <c r="L6" s="28">
        <f t="shared" si="4"/>
        <v>3.5</v>
      </c>
      <c r="M6" s="28">
        <f t="shared" si="5"/>
        <v>4</v>
      </c>
      <c r="P6" s="38" t="str">
        <f ca="1">_xlfn.FORMULATEXT(K3)</f>
        <v>=MÁXIMO(B3:G3)</v>
      </c>
    </row>
    <row r="7" spans="1:16" x14ac:dyDescent="0.25">
      <c r="A7" s="28" t="s">
        <v>18</v>
      </c>
      <c r="B7" s="28">
        <v>5.5</v>
      </c>
      <c r="C7" s="28">
        <v>5.79</v>
      </c>
      <c r="D7" s="28">
        <v>6.3</v>
      </c>
      <c r="E7" s="28">
        <v>5.5</v>
      </c>
      <c r="F7" s="28">
        <v>5.5</v>
      </c>
      <c r="G7" s="28">
        <v>6</v>
      </c>
      <c r="H7" s="28">
        <f t="shared" si="0"/>
        <v>34.590000000000003</v>
      </c>
      <c r="I7" s="28">
        <f t="shared" si="1"/>
        <v>5.7650000000000006</v>
      </c>
      <c r="J7" s="28">
        <f t="shared" si="2"/>
        <v>5.5</v>
      </c>
      <c r="K7" s="28">
        <f t="shared" si="3"/>
        <v>6.3</v>
      </c>
      <c r="L7" s="28">
        <f t="shared" si="4"/>
        <v>5.5</v>
      </c>
      <c r="M7" s="28">
        <f t="shared" si="5"/>
        <v>5.5</v>
      </c>
      <c r="P7" s="38" t="str">
        <f ca="1">_xlfn.FORMULATEXT(L3)</f>
        <v>=MENOR(B3:G3;2)</v>
      </c>
    </row>
    <row r="8" spans="1:16" x14ac:dyDescent="0.25">
      <c r="A8" s="28" t="s">
        <v>19</v>
      </c>
      <c r="B8" s="28">
        <v>3</v>
      </c>
      <c r="C8" s="28">
        <v>3</v>
      </c>
      <c r="D8" s="28">
        <v>5</v>
      </c>
      <c r="E8" s="28">
        <v>3.5</v>
      </c>
      <c r="F8" s="28">
        <v>4.63</v>
      </c>
      <c r="G8" s="28">
        <v>4.5</v>
      </c>
      <c r="H8" s="28">
        <f t="shared" si="0"/>
        <v>23.63</v>
      </c>
      <c r="I8" s="28">
        <f t="shared" si="1"/>
        <v>3.938333333333333</v>
      </c>
      <c r="J8" s="28">
        <f t="shared" si="2"/>
        <v>3</v>
      </c>
      <c r="K8" s="28">
        <f t="shared" si="3"/>
        <v>5</v>
      </c>
      <c r="L8" s="28">
        <f t="shared" si="4"/>
        <v>3</v>
      </c>
      <c r="M8" s="28">
        <f t="shared" si="5"/>
        <v>3.5</v>
      </c>
      <c r="P8" s="38" t="str">
        <f ca="1">_xlfn.FORMULATEXT(M3)</f>
        <v>=MENOR(B3:G3;3)</v>
      </c>
    </row>
    <row r="9" spans="1:16" x14ac:dyDescent="0.25">
      <c r="A9" s="28" t="s">
        <v>20</v>
      </c>
      <c r="B9" s="28">
        <v>1.5</v>
      </c>
      <c r="C9" s="28">
        <v>1.75</v>
      </c>
      <c r="D9" s="28">
        <v>3.25</v>
      </c>
      <c r="E9" s="28">
        <v>2.25</v>
      </c>
      <c r="F9" s="28">
        <v>1.36</v>
      </c>
      <c r="G9" s="28">
        <v>2.6</v>
      </c>
      <c r="H9" s="28">
        <f t="shared" si="0"/>
        <v>12.709999999999999</v>
      </c>
      <c r="I9" s="28">
        <f t="shared" si="1"/>
        <v>2.1183333333333332</v>
      </c>
      <c r="J9" s="28">
        <f t="shared" si="2"/>
        <v>1.36</v>
      </c>
      <c r="K9" s="28">
        <f t="shared" si="3"/>
        <v>3.25</v>
      </c>
      <c r="L9" s="28">
        <f t="shared" si="4"/>
        <v>1.5</v>
      </c>
      <c r="M9" s="28">
        <f t="shared" si="5"/>
        <v>1.75</v>
      </c>
      <c r="P9" s="39" t="str">
        <f ca="1">_xlfn.FORMULATEXT(B26)</f>
        <v>=SE(B3:B12&gt;=5,25;B3*1,35;B3)</v>
      </c>
    </row>
    <row r="10" spans="1:16" x14ac:dyDescent="0.25">
      <c r="A10" s="28" t="s">
        <v>21</v>
      </c>
      <c r="B10" s="28">
        <v>7.5</v>
      </c>
      <c r="C10" s="28">
        <v>8</v>
      </c>
      <c r="D10" s="28">
        <v>8.5</v>
      </c>
      <c r="E10" s="28">
        <v>9</v>
      </c>
      <c r="F10" s="28">
        <v>9.5</v>
      </c>
      <c r="G10" s="28">
        <v>10</v>
      </c>
      <c r="H10" s="28">
        <f t="shared" si="0"/>
        <v>52.5</v>
      </c>
      <c r="I10" s="28">
        <f t="shared" si="1"/>
        <v>8.75</v>
      </c>
      <c r="J10" s="28">
        <f t="shared" si="2"/>
        <v>7.5</v>
      </c>
      <c r="K10" s="28">
        <f>MAX(B10:G10)</f>
        <v>10</v>
      </c>
      <c r="L10" s="28">
        <f t="shared" si="4"/>
        <v>8</v>
      </c>
      <c r="M10" s="28">
        <f t="shared" si="5"/>
        <v>8.5</v>
      </c>
    </row>
    <row r="11" spans="1:16" x14ac:dyDescent="0.25">
      <c r="A11" s="28" t="s">
        <v>22</v>
      </c>
      <c r="B11" s="28">
        <v>0.59</v>
      </c>
      <c r="C11" s="28">
        <v>0.99</v>
      </c>
      <c r="D11" s="28">
        <v>0.83</v>
      </c>
      <c r="E11" s="28">
        <v>1.25</v>
      </c>
      <c r="F11" s="28">
        <v>1.63</v>
      </c>
      <c r="G11" s="28">
        <v>1.59</v>
      </c>
      <c r="H11" s="28">
        <f t="shared" si="0"/>
        <v>6.88</v>
      </c>
      <c r="I11" s="28">
        <f t="shared" si="1"/>
        <v>1.1466666666666667</v>
      </c>
      <c r="J11" s="28">
        <f t="shared" si="2"/>
        <v>0.59</v>
      </c>
      <c r="K11" s="28">
        <f t="shared" si="3"/>
        <v>1.63</v>
      </c>
      <c r="L11" s="28">
        <f t="shared" si="4"/>
        <v>0.83</v>
      </c>
      <c r="M11" s="28">
        <f t="shared" si="5"/>
        <v>0.99</v>
      </c>
    </row>
    <row r="12" spans="1:16" x14ac:dyDescent="0.25">
      <c r="A12" s="28" t="s">
        <v>23</v>
      </c>
      <c r="B12" s="28">
        <v>8.5</v>
      </c>
      <c r="C12" s="28">
        <v>2.2599999999999998</v>
      </c>
      <c r="D12" s="28">
        <v>4.75</v>
      </c>
      <c r="E12" s="28">
        <v>3.27</v>
      </c>
      <c r="F12" s="28">
        <v>5.84</v>
      </c>
      <c r="G12" s="28">
        <v>0.99</v>
      </c>
      <c r="H12" s="28">
        <f t="shared" si="0"/>
        <v>25.61</v>
      </c>
      <c r="I12" s="28">
        <f t="shared" si="1"/>
        <v>4.2683333333333335</v>
      </c>
      <c r="J12" s="28">
        <f t="shared" si="2"/>
        <v>0.99</v>
      </c>
      <c r="K12" s="28">
        <f t="shared" si="3"/>
        <v>8.5</v>
      </c>
      <c r="L12" s="28">
        <f t="shared" si="4"/>
        <v>2.2599999999999998</v>
      </c>
      <c r="M12" s="28">
        <f t="shared" si="5"/>
        <v>3.27</v>
      </c>
    </row>
    <row r="13" spans="1:16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1:16" x14ac:dyDescent="0.25">
      <c r="A14" s="28" t="s">
        <v>9</v>
      </c>
      <c r="B14" s="28">
        <f>AVERAGE(B3:B12)</f>
        <v>4.4779999999999998</v>
      </c>
      <c r="C14" s="28">
        <f t="shared" ref="C14:G14" si="6">AVERAGE(C3:C12)</f>
        <v>6.5490000000000013</v>
      </c>
      <c r="D14" s="28">
        <f t="shared" si="6"/>
        <v>5.1280000000000001</v>
      </c>
      <c r="E14" s="28">
        <f t="shared" si="6"/>
        <v>5.16</v>
      </c>
      <c r="F14" s="28">
        <f t="shared" si="6"/>
        <v>4.9850000000000012</v>
      </c>
      <c r="G14" s="28">
        <f t="shared" si="6"/>
        <v>4.8570000000000011</v>
      </c>
      <c r="H14" s="28"/>
      <c r="I14" s="28"/>
      <c r="J14" s="28"/>
      <c r="K14" s="28"/>
      <c r="L14" s="28"/>
      <c r="M14" s="28"/>
    </row>
    <row r="15" spans="1:16" x14ac:dyDescent="0.25">
      <c r="A15" s="28" t="s">
        <v>8</v>
      </c>
      <c r="B15" s="28">
        <f>SUM(B3:B12)</f>
        <v>44.78</v>
      </c>
      <c r="C15" s="28">
        <f t="shared" ref="C15:G15" si="7">SUM(C3:C12)</f>
        <v>65.490000000000009</v>
      </c>
      <c r="D15" s="28">
        <f t="shared" si="7"/>
        <v>51.28</v>
      </c>
      <c r="E15" s="28">
        <f t="shared" si="7"/>
        <v>51.6</v>
      </c>
      <c r="F15" s="28">
        <f t="shared" si="7"/>
        <v>49.850000000000009</v>
      </c>
      <c r="G15" s="28">
        <f t="shared" si="7"/>
        <v>48.570000000000007</v>
      </c>
      <c r="H15" s="28"/>
      <c r="I15" s="28"/>
      <c r="J15" s="28"/>
      <c r="K15" s="28"/>
      <c r="L15" s="28"/>
      <c r="M15" s="28"/>
    </row>
    <row r="16" spans="1:16" x14ac:dyDescent="0.25">
      <c r="A16" s="28" t="s">
        <v>10</v>
      </c>
      <c r="B16" s="28">
        <f>MIN(B3:B12)</f>
        <v>0.59</v>
      </c>
      <c r="C16" s="28">
        <f t="shared" ref="C16:G16" si="8">MIN(C3:C12)</f>
        <v>0.99</v>
      </c>
      <c r="D16" s="28">
        <f t="shared" si="8"/>
        <v>0.83</v>
      </c>
      <c r="E16" s="28">
        <f t="shared" si="8"/>
        <v>1.25</v>
      </c>
      <c r="F16" s="28">
        <f t="shared" si="8"/>
        <v>1.36</v>
      </c>
      <c r="G16" s="28">
        <f t="shared" si="8"/>
        <v>0.99</v>
      </c>
      <c r="H16" s="28"/>
      <c r="I16" s="28"/>
      <c r="J16" s="28"/>
      <c r="K16" s="28"/>
      <c r="L16" s="28"/>
      <c r="M16" s="28"/>
    </row>
    <row r="17" spans="1:13" x14ac:dyDescent="0.25">
      <c r="A17" s="28" t="s">
        <v>13</v>
      </c>
      <c r="B17" s="28">
        <f>LARGE(B3:B12,3)</f>
        <v>6.5</v>
      </c>
      <c r="C17" s="28">
        <f t="shared" ref="C17:G17" si="9">LARGE(C3:C12,3)</f>
        <v>7.26</v>
      </c>
      <c r="D17" s="28">
        <f t="shared" si="9"/>
        <v>6.5</v>
      </c>
      <c r="E17" s="28">
        <f t="shared" si="9"/>
        <v>9</v>
      </c>
      <c r="F17" s="28">
        <f t="shared" si="9"/>
        <v>5.89</v>
      </c>
      <c r="G17" s="28">
        <f t="shared" si="9"/>
        <v>7.5</v>
      </c>
      <c r="H17" s="28"/>
      <c r="I17" s="28"/>
      <c r="J17" s="28"/>
      <c r="K17" s="28"/>
      <c r="L17" s="28"/>
      <c r="M17" s="28"/>
    </row>
    <row r="18" spans="1:13" x14ac:dyDescent="0.25">
      <c r="A18" s="28" t="s">
        <v>12</v>
      </c>
      <c r="B18" s="28">
        <f>LARGE(B3:B12,2)</f>
        <v>7.5</v>
      </c>
      <c r="C18" s="28">
        <f>LARGE(C3:C12,2)</f>
        <v>8</v>
      </c>
      <c r="D18" s="28">
        <f>LARGE(D3:D12,2)</f>
        <v>6.5</v>
      </c>
      <c r="E18" s="28">
        <f>LARGE(E3:E12,2)</f>
        <v>9</v>
      </c>
      <c r="F18" s="28">
        <f>LARGE(F3:F12,2)</f>
        <v>7.5</v>
      </c>
      <c r="G18" s="28">
        <f>LARGE(G3:G12,2)</f>
        <v>8.39</v>
      </c>
      <c r="H18" s="28"/>
      <c r="I18" s="28"/>
      <c r="J18" s="28"/>
      <c r="K18" s="28"/>
      <c r="L18" s="28"/>
      <c r="M18" s="28"/>
    </row>
    <row r="19" spans="1:13" x14ac:dyDescent="0.25">
      <c r="A19" s="28" t="s">
        <v>11</v>
      </c>
      <c r="B19" s="28">
        <f>MAX(B3:B12)</f>
        <v>8.5</v>
      </c>
      <c r="C19" s="28">
        <f t="shared" ref="C19:G19" si="10">MAX(C3:C12)</f>
        <v>25.06</v>
      </c>
      <c r="D19" s="28">
        <f t="shared" si="10"/>
        <v>8.5</v>
      </c>
      <c r="E19" s="28">
        <f t="shared" si="10"/>
        <v>9.23</v>
      </c>
      <c r="F19" s="28">
        <f t="shared" si="10"/>
        <v>9.5</v>
      </c>
      <c r="G19" s="28">
        <f>MAX(G3:G12)</f>
        <v>10</v>
      </c>
      <c r="H19" s="28"/>
      <c r="I19" s="28"/>
      <c r="J19" s="28"/>
      <c r="K19" s="28"/>
      <c r="L19" s="28"/>
      <c r="M19" s="28"/>
    </row>
    <row r="22" spans="1:13" x14ac:dyDescent="0.25">
      <c r="A22" s="27" t="s">
        <v>24</v>
      </c>
    </row>
    <row r="23" spans="1:13" x14ac:dyDescent="0.25">
      <c r="A23" s="30" t="s">
        <v>25</v>
      </c>
    </row>
    <row r="24" spans="1:13" x14ac:dyDescent="0.25">
      <c r="A24" s="31" t="s">
        <v>26</v>
      </c>
      <c r="B24" s="32"/>
      <c r="C24" s="32"/>
      <c r="D24" s="32"/>
      <c r="E24" s="32"/>
      <c r="F24" s="32"/>
      <c r="G24" s="33"/>
    </row>
    <row r="25" spans="1:13" x14ac:dyDescent="0.25">
      <c r="A25" s="28" t="s">
        <v>1</v>
      </c>
      <c r="B25" s="28" t="s">
        <v>2</v>
      </c>
      <c r="C25" s="28" t="s">
        <v>3</v>
      </c>
      <c r="D25" s="28" t="s">
        <v>4</v>
      </c>
      <c r="E25" s="28" t="s">
        <v>5</v>
      </c>
      <c r="F25" s="28" t="s">
        <v>6</v>
      </c>
      <c r="G25" s="28" t="s">
        <v>7</v>
      </c>
    </row>
    <row r="26" spans="1:13" x14ac:dyDescent="0.25">
      <c r="A26" s="28" t="s">
        <v>14</v>
      </c>
      <c r="B26" s="28" cm="1">
        <f t="array" ref="B26:B35">IF(B3:B12&gt;=5.25,B3*1.35,B3)</f>
        <v>7.0875000000000004</v>
      </c>
      <c r="C26" s="28" cm="1">
        <f t="array" ref="C26:C35">IF(C3:C12&gt;=5.25,C3*1.35,C3)</f>
        <v>9.8010000000000002</v>
      </c>
      <c r="D26" s="28" cm="1">
        <f t="array" ref="D26:D35">IF(D3:D12&gt;=5.25,D3*1.35,D3)</f>
        <v>8.7750000000000004</v>
      </c>
      <c r="E26" s="28" cm="1">
        <f t="array" ref="E26:E35">IF(E3:E12&gt;=5.25,E3*1.35,E3)</f>
        <v>12.15</v>
      </c>
      <c r="F26" s="28" cm="1">
        <f t="array" ref="F26:F35">IF(F3:F12&gt;=5.25,F3*1.35,F3)</f>
        <v>7.9515000000000002</v>
      </c>
      <c r="G26" s="28" cm="1">
        <f t="array" ref="G26:G35">IF(G3:G12&gt;=5.25,G3*1.35,G3)</f>
        <v>11.326500000000001</v>
      </c>
    </row>
    <row r="27" spans="1:13" x14ac:dyDescent="0.25">
      <c r="A27" s="28" t="s">
        <v>15</v>
      </c>
      <c r="B27" s="28">
        <v>5.25</v>
      </c>
      <c r="C27" s="28">
        <v>7.26</v>
      </c>
      <c r="D27" s="28">
        <v>6.5</v>
      </c>
      <c r="E27" s="28">
        <v>9</v>
      </c>
      <c r="F27" s="28">
        <v>5.89</v>
      </c>
      <c r="G27" s="28">
        <v>8.39</v>
      </c>
    </row>
    <row r="28" spans="1:13" x14ac:dyDescent="0.25">
      <c r="A28" s="28" t="s">
        <v>16</v>
      </c>
      <c r="B28" s="28">
        <v>7.0875000000000004</v>
      </c>
      <c r="C28" s="28">
        <v>9.8010000000000002</v>
      </c>
      <c r="D28" s="28">
        <v>8.7750000000000004</v>
      </c>
      <c r="E28" s="28">
        <v>12.15</v>
      </c>
      <c r="F28" s="28">
        <v>7.9515000000000002</v>
      </c>
      <c r="G28" s="28">
        <v>11.326500000000001</v>
      </c>
    </row>
    <row r="29" spans="1:13" x14ac:dyDescent="0.25">
      <c r="A29" s="29" t="s">
        <v>17</v>
      </c>
      <c r="B29" s="28">
        <v>5.25</v>
      </c>
      <c r="C29" s="28">
        <v>9.8010000000000002</v>
      </c>
      <c r="D29" s="28">
        <v>6.5</v>
      </c>
      <c r="E29" s="28">
        <v>9</v>
      </c>
      <c r="F29" s="28">
        <v>5.89</v>
      </c>
      <c r="G29" s="28">
        <v>8.39</v>
      </c>
    </row>
    <row r="30" spans="1:13" x14ac:dyDescent="0.25">
      <c r="A30" s="28" t="s">
        <v>18</v>
      </c>
      <c r="B30" s="28">
        <v>7.0875000000000004</v>
      </c>
      <c r="C30" s="28">
        <v>9.8010000000000002</v>
      </c>
      <c r="D30" s="28">
        <v>8.7750000000000004</v>
      </c>
      <c r="E30" s="28">
        <v>12.15</v>
      </c>
      <c r="F30" s="28">
        <v>7.9515000000000002</v>
      </c>
      <c r="G30" s="28">
        <v>11.326500000000001</v>
      </c>
    </row>
    <row r="31" spans="1:13" x14ac:dyDescent="0.25">
      <c r="A31" s="28" t="s">
        <v>19</v>
      </c>
      <c r="B31" s="28">
        <v>5.25</v>
      </c>
      <c r="C31" s="28">
        <v>7.26</v>
      </c>
      <c r="D31" s="28">
        <v>6.5</v>
      </c>
      <c r="E31" s="28">
        <v>9</v>
      </c>
      <c r="F31" s="28">
        <v>5.89</v>
      </c>
      <c r="G31" s="28">
        <v>8.39</v>
      </c>
    </row>
    <row r="32" spans="1:13" x14ac:dyDescent="0.25">
      <c r="A32" s="28" t="s">
        <v>20</v>
      </c>
      <c r="B32" s="28">
        <v>5.25</v>
      </c>
      <c r="C32" s="28">
        <v>7.26</v>
      </c>
      <c r="D32" s="28">
        <v>6.5</v>
      </c>
      <c r="E32" s="28">
        <v>9</v>
      </c>
      <c r="F32" s="28">
        <v>5.89</v>
      </c>
      <c r="G32" s="28">
        <v>8.39</v>
      </c>
    </row>
    <row r="33" spans="1:7" x14ac:dyDescent="0.25">
      <c r="A33" s="28" t="s">
        <v>21</v>
      </c>
      <c r="B33" s="28">
        <v>7.0875000000000004</v>
      </c>
      <c r="C33" s="28">
        <v>9.8010000000000002</v>
      </c>
      <c r="D33" s="28">
        <v>8.7750000000000004</v>
      </c>
      <c r="E33" s="28">
        <v>12.15</v>
      </c>
      <c r="F33" s="28">
        <v>7.9515000000000002</v>
      </c>
      <c r="G33" s="28">
        <v>11.326500000000001</v>
      </c>
    </row>
    <row r="34" spans="1:7" x14ac:dyDescent="0.25">
      <c r="A34" s="28" t="s">
        <v>22</v>
      </c>
      <c r="B34" s="28">
        <v>5.25</v>
      </c>
      <c r="C34" s="28">
        <v>7.26</v>
      </c>
      <c r="D34" s="28">
        <v>6.5</v>
      </c>
      <c r="E34" s="28">
        <v>9</v>
      </c>
      <c r="F34" s="28">
        <v>5.89</v>
      </c>
      <c r="G34" s="28">
        <v>8.39</v>
      </c>
    </row>
    <row r="35" spans="1:7" x14ac:dyDescent="0.25">
      <c r="A35" s="28" t="s">
        <v>23</v>
      </c>
      <c r="B35" s="28">
        <v>7.0875000000000004</v>
      </c>
      <c r="C35" s="28">
        <v>7.26</v>
      </c>
      <c r="D35" s="28">
        <v>6.5</v>
      </c>
      <c r="E35" s="28">
        <v>9</v>
      </c>
      <c r="F35" s="28">
        <v>7.9515000000000002</v>
      </c>
      <c r="G35" s="28">
        <v>8.39</v>
      </c>
    </row>
  </sheetData>
  <mergeCells count="2">
    <mergeCell ref="A1:M1"/>
    <mergeCell ref="A24:G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FCC1-475D-4D2B-99A9-C3F5F259EBFD}">
  <dimension ref="A1:O31"/>
  <sheetViews>
    <sheetView tabSelected="1" topLeftCell="A3" zoomScale="90" zoomScaleNormal="90" workbookViewId="0">
      <selection activeCell="O15" sqref="O15"/>
    </sheetView>
  </sheetViews>
  <sheetFormatPr defaultRowHeight="12.75" x14ac:dyDescent="0.2"/>
  <cols>
    <col min="1" max="1" width="13.5703125" style="1" customWidth="1"/>
    <col min="2" max="2" width="15.140625" style="1" customWidth="1"/>
    <col min="3" max="3" width="12.42578125" style="1" customWidth="1"/>
    <col min="4" max="4" width="15" style="1" customWidth="1"/>
    <col min="5" max="5" width="17" style="1" bestFit="1" customWidth="1"/>
    <col min="6" max="6" width="9.140625" style="1"/>
    <col min="7" max="7" width="14.7109375" style="1" customWidth="1"/>
    <col min="8" max="8" width="11.28515625" style="1" bestFit="1" customWidth="1"/>
    <col min="9" max="10" width="15" style="1" bestFit="1" customWidth="1"/>
    <col min="11" max="11" width="10.140625" style="1" bestFit="1" customWidth="1"/>
    <col min="12" max="14" width="9.140625" style="1"/>
    <col min="15" max="15" width="34.5703125" style="1" bestFit="1" customWidth="1"/>
    <col min="16" max="16384" width="9.140625" style="1"/>
  </cols>
  <sheetData>
    <row r="1" spans="1:15" ht="15.75" x14ac:dyDescent="0.25">
      <c r="A1" s="21" t="s">
        <v>27</v>
      </c>
      <c r="B1" s="21"/>
      <c r="C1" s="21"/>
      <c r="D1" s="21"/>
      <c r="E1" s="21"/>
      <c r="F1" s="21"/>
      <c r="G1" s="21"/>
      <c r="H1" s="21"/>
      <c r="L1" s="36"/>
    </row>
    <row r="3" spans="1:15" x14ac:dyDescent="0.2">
      <c r="I3" s="2"/>
    </row>
    <row r="4" spans="1:15" ht="15.75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G4" s="22" t="s">
        <v>33</v>
      </c>
      <c r="H4" s="22"/>
      <c r="I4" s="4" t="s">
        <v>34</v>
      </c>
      <c r="J4" s="4" t="s">
        <v>35</v>
      </c>
      <c r="O4" s="40" t="s">
        <v>57</v>
      </c>
    </row>
    <row r="5" spans="1:15" ht="15" x14ac:dyDescent="0.25">
      <c r="A5" s="1" t="s">
        <v>36</v>
      </c>
      <c r="B5" s="1" t="s">
        <v>37</v>
      </c>
      <c r="C5" s="1" t="s">
        <v>38</v>
      </c>
      <c r="D5" s="5">
        <v>5000</v>
      </c>
      <c r="E5" s="42">
        <f>VLOOKUP(B5,$G$5:$J$9,4,0)*D5</f>
        <v>357500</v>
      </c>
      <c r="G5" s="1" t="s">
        <v>37</v>
      </c>
      <c r="H5" s="35"/>
      <c r="I5" s="7">
        <f>VLOOKUP(G5,tabela,2,0)</f>
        <v>65</v>
      </c>
      <c r="J5" s="7">
        <f>I5*(1+VLOOKUP(G5,tabela,3,0))</f>
        <v>71.5</v>
      </c>
      <c r="K5" s="2"/>
      <c r="O5" s="41" t="str">
        <f ca="1">_xlfn.FORMULATEXT(I5)</f>
        <v>=PROCV(G5;tabela;2;0)</v>
      </c>
    </row>
    <row r="6" spans="1:15" ht="15" x14ac:dyDescent="0.25">
      <c r="A6" s="1" t="s">
        <v>36</v>
      </c>
      <c r="B6" s="1" t="s">
        <v>39</v>
      </c>
      <c r="C6" s="1" t="s">
        <v>38</v>
      </c>
      <c r="D6" s="5">
        <v>4572</v>
      </c>
      <c r="E6" s="42">
        <f t="shared" ref="E6:E19" si="0">VLOOKUP(B6,$G$5:$J$9,4,0)*D6</f>
        <v>433768.49999999994</v>
      </c>
      <c r="G6" s="1" t="s">
        <v>39</v>
      </c>
      <c r="H6" s="35"/>
      <c r="I6" s="7">
        <f>VLOOKUP(G6,tabela,2,0)</f>
        <v>82.5</v>
      </c>
      <c r="J6" s="7">
        <f>I6*(1+VLOOKUP(G6,tabela,3,0))</f>
        <v>94.874999999999986</v>
      </c>
      <c r="O6" s="41" t="str">
        <f ca="1">_xlfn.FORMULATEXT(H12)</f>
        <v>=SOMASE(meses;G12;quantidade)</v>
      </c>
    </row>
    <row r="7" spans="1:15" ht="15" x14ac:dyDescent="0.25">
      <c r="A7" s="1" t="s">
        <v>36</v>
      </c>
      <c r="B7" s="1" t="s">
        <v>40</v>
      </c>
      <c r="C7" s="1" t="s">
        <v>41</v>
      </c>
      <c r="D7" s="5">
        <v>8925</v>
      </c>
      <c r="E7" s="42">
        <f t="shared" si="0"/>
        <v>795440.625</v>
      </c>
      <c r="G7" s="1" t="s">
        <v>40</v>
      </c>
      <c r="H7" s="35"/>
      <c r="I7" s="7">
        <f>VLOOKUP(G7,tabela,2,0)</f>
        <v>77.5</v>
      </c>
      <c r="J7" s="7">
        <f>I7*(1+VLOOKUP(G7,tabela,3,0))</f>
        <v>89.125</v>
      </c>
      <c r="O7" s="41" t="str">
        <f ca="1">_xlfn.FORMULATEXT(H17)</f>
        <v>=SOMASE(vendedor;G17;quantidade)</v>
      </c>
    </row>
    <row r="8" spans="1:15" ht="15" x14ac:dyDescent="0.25">
      <c r="A8" s="1" t="s">
        <v>36</v>
      </c>
      <c r="B8" s="1" t="s">
        <v>42</v>
      </c>
      <c r="C8" s="1" t="s">
        <v>43</v>
      </c>
      <c r="D8" s="5">
        <v>7210</v>
      </c>
      <c r="E8" s="42">
        <f t="shared" si="0"/>
        <v>808241</v>
      </c>
      <c r="G8" s="1" t="s">
        <v>42</v>
      </c>
      <c r="H8" s="35"/>
      <c r="I8" s="7">
        <f>VLOOKUP(G8,tabela,2,0)</f>
        <v>95</v>
      </c>
      <c r="J8" s="7">
        <f>I8*(1+VLOOKUP(G8,tabela,3,0))</f>
        <v>112.1</v>
      </c>
      <c r="O8" s="41" t="str">
        <f ca="1">_xlfn.FORMULATEXT(I17)</f>
        <v>=CONT.SE(vendedor;G17)</v>
      </c>
    </row>
    <row r="9" spans="1:15" ht="15" x14ac:dyDescent="0.25">
      <c r="A9" s="1" t="s">
        <v>44</v>
      </c>
      <c r="B9" s="1" t="s">
        <v>45</v>
      </c>
      <c r="C9" s="1" t="s">
        <v>46</v>
      </c>
      <c r="D9" s="5">
        <v>6389</v>
      </c>
      <c r="E9" s="42">
        <f t="shared" si="0"/>
        <v>608232.80000000005</v>
      </c>
      <c r="G9" s="1" t="s">
        <v>45</v>
      </c>
      <c r="H9" s="35"/>
      <c r="I9" s="7">
        <f>VLOOKUP(G9,tabela,2,0)</f>
        <v>85</v>
      </c>
      <c r="J9" s="7">
        <f>I9*(1+VLOOKUP(G9,tabela,3,0))</f>
        <v>95.2</v>
      </c>
      <c r="O9" s="41" t="str">
        <f ca="1">_xlfn.FORMULATEXT(I25)</f>
        <v>=CONT.VALORES(A5:A19)</v>
      </c>
    </row>
    <row r="10" spans="1:15" x14ac:dyDescent="0.2">
      <c r="A10" s="1" t="s">
        <v>44</v>
      </c>
      <c r="B10" s="1" t="s">
        <v>37</v>
      </c>
      <c r="C10" s="1" t="s">
        <v>38</v>
      </c>
      <c r="D10" s="5">
        <v>5517</v>
      </c>
      <c r="E10" s="42">
        <f t="shared" si="0"/>
        <v>394465.5</v>
      </c>
      <c r="H10" s="2"/>
      <c r="O10" s="41" t="str">
        <f ca="1">_xlfn.FORMULATEXT(H27)</f>
        <v>=MÉDIASE(região;G27;quantidade)</v>
      </c>
    </row>
    <row r="11" spans="1:15" x14ac:dyDescent="0.2">
      <c r="A11" s="1" t="s">
        <v>44</v>
      </c>
      <c r="B11" s="1" t="s">
        <v>39</v>
      </c>
      <c r="C11" s="1" t="s">
        <v>38</v>
      </c>
      <c r="D11" s="5">
        <v>6461</v>
      </c>
      <c r="E11" s="42">
        <f t="shared" si="0"/>
        <v>612987.37499999988</v>
      </c>
      <c r="G11" s="22" t="s">
        <v>47</v>
      </c>
      <c r="H11" s="22"/>
      <c r="O11" s="41" t="str">
        <f ca="1">_xlfn.FORMULATEXT(E5)</f>
        <v>=PROCV(B5;$G$5:$J$9;4;0)*D5</v>
      </c>
    </row>
    <row r="12" spans="1:15" ht="15" x14ac:dyDescent="0.25">
      <c r="A12" s="1" t="s">
        <v>44</v>
      </c>
      <c r="B12" s="1" t="s">
        <v>40</v>
      </c>
      <c r="C12" s="1" t="s">
        <v>46</v>
      </c>
      <c r="D12" s="5">
        <v>7835</v>
      </c>
      <c r="E12" s="42">
        <f t="shared" si="0"/>
        <v>698294.375</v>
      </c>
      <c r="G12" s="1" t="s">
        <v>36</v>
      </c>
      <c r="H12" s="6">
        <f>SUMIF(meses,G12,quantidade)</f>
        <v>25707</v>
      </c>
      <c r="I12" s="2"/>
    </row>
    <row r="13" spans="1:15" ht="15" x14ac:dyDescent="0.25">
      <c r="A13" s="1" t="s">
        <v>44</v>
      </c>
      <c r="B13" s="1" t="s">
        <v>42</v>
      </c>
      <c r="C13" s="1" t="s">
        <v>41</v>
      </c>
      <c r="D13" s="5">
        <v>9301</v>
      </c>
      <c r="E13" s="42">
        <f t="shared" si="0"/>
        <v>1042642.1</v>
      </c>
      <c r="G13" s="1" t="s">
        <v>44</v>
      </c>
      <c r="H13" s="6">
        <f>SUMIF(meses,G13,quantidade)</f>
        <v>43457</v>
      </c>
    </row>
    <row r="14" spans="1:15" ht="15" x14ac:dyDescent="0.25">
      <c r="A14" s="1" t="s">
        <v>44</v>
      </c>
      <c r="B14" s="1" t="s">
        <v>45</v>
      </c>
      <c r="C14" s="1" t="s">
        <v>43</v>
      </c>
      <c r="D14" s="5">
        <v>7954</v>
      </c>
      <c r="E14" s="42">
        <f t="shared" si="0"/>
        <v>757220.8</v>
      </c>
      <c r="G14" s="1" t="s">
        <v>48</v>
      </c>
      <c r="H14" s="6">
        <f>SUMIF(meses,G14,quantidade)</f>
        <v>35915</v>
      </c>
    </row>
    <row r="15" spans="1:15" x14ac:dyDescent="0.2">
      <c r="A15" s="1" t="s">
        <v>48</v>
      </c>
      <c r="B15" s="1" t="s">
        <v>37</v>
      </c>
      <c r="C15" s="1" t="s">
        <v>38</v>
      </c>
      <c r="D15" s="5">
        <v>4944</v>
      </c>
      <c r="E15" s="42">
        <f t="shared" si="0"/>
        <v>353496</v>
      </c>
    </row>
    <row r="16" spans="1:15" x14ac:dyDescent="0.2">
      <c r="A16" s="1" t="s">
        <v>48</v>
      </c>
      <c r="B16" s="1" t="s">
        <v>39</v>
      </c>
      <c r="C16" s="1" t="s">
        <v>38</v>
      </c>
      <c r="D16" s="5">
        <v>6598</v>
      </c>
      <c r="E16" s="42">
        <f t="shared" si="0"/>
        <v>625985.24999999988</v>
      </c>
      <c r="G16" s="22" t="s">
        <v>49</v>
      </c>
      <c r="H16" s="22"/>
      <c r="I16" s="8" t="s">
        <v>50</v>
      </c>
      <c r="K16" s="9"/>
    </row>
    <row r="17" spans="1:10" ht="15" x14ac:dyDescent="0.25">
      <c r="A17" s="1" t="s">
        <v>48</v>
      </c>
      <c r="B17" s="1" t="s">
        <v>40</v>
      </c>
      <c r="C17" s="1" t="s">
        <v>46</v>
      </c>
      <c r="D17" s="5">
        <v>7109</v>
      </c>
      <c r="E17" s="42">
        <f t="shared" si="0"/>
        <v>633589.625</v>
      </c>
      <c r="G17" s="1" t="s">
        <v>38</v>
      </c>
      <c r="H17" s="6">
        <f>SUMIF(vendedor,G17,quantidade)</f>
        <v>33092</v>
      </c>
      <c r="I17" s="10">
        <f>COUNTIF(vendedor,G17)</f>
        <v>6</v>
      </c>
      <c r="J17" s="2"/>
    </row>
    <row r="18" spans="1:10" ht="15" x14ac:dyDescent="0.25">
      <c r="A18" s="1" t="s">
        <v>48</v>
      </c>
      <c r="B18" s="1" t="s">
        <v>42</v>
      </c>
      <c r="C18" s="1" t="s">
        <v>43</v>
      </c>
      <c r="D18" s="5">
        <v>10258</v>
      </c>
      <c r="E18" s="42">
        <f t="shared" si="0"/>
        <v>1149921.8</v>
      </c>
      <c r="G18" s="1" t="s">
        <v>41</v>
      </c>
      <c r="H18" s="6">
        <f>SUMIF(vendedor,G18,quantidade)</f>
        <v>25232</v>
      </c>
      <c r="I18" s="10">
        <f>COUNTIF(vendedor,G18)</f>
        <v>3</v>
      </c>
    </row>
    <row r="19" spans="1:10" ht="15" x14ac:dyDescent="0.25">
      <c r="A19" s="1" t="s">
        <v>48</v>
      </c>
      <c r="B19" s="1" t="s">
        <v>45</v>
      </c>
      <c r="C19" s="1" t="s">
        <v>41</v>
      </c>
      <c r="D19" s="5">
        <v>7006</v>
      </c>
      <c r="E19" s="42">
        <f t="shared" si="0"/>
        <v>666971.20000000007</v>
      </c>
      <c r="G19" s="1" t="s">
        <v>43</v>
      </c>
      <c r="H19" s="6">
        <f>SUMIF(vendedor,G19,quantidade)</f>
        <v>25422</v>
      </c>
      <c r="I19" s="10">
        <f>COUNTIF(vendedor,G19)</f>
        <v>3</v>
      </c>
    </row>
    <row r="20" spans="1:10" ht="15" x14ac:dyDescent="0.25">
      <c r="E20" s="11"/>
      <c r="G20" s="1" t="s">
        <v>46</v>
      </c>
      <c r="H20" s="6">
        <f>SUMIF(vendedor,G20,quantidade)</f>
        <v>21333</v>
      </c>
      <c r="I20" s="10">
        <f>COUNTIF(vendedor,G20)</f>
        <v>3</v>
      </c>
    </row>
    <row r="21" spans="1:10" x14ac:dyDescent="0.2">
      <c r="A21" s="22" t="s">
        <v>51</v>
      </c>
      <c r="B21" s="22"/>
      <c r="C21" s="22"/>
      <c r="H21" s="12"/>
    </row>
    <row r="22" spans="1:10" ht="15" x14ac:dyDescent="0.25">
      <c r="A22" s="34">
        <f>SUM(D5:D19)</f>
        <v>105079</v>
      </c>
    </row>
    <row r="24" spans="1:10" ht="25.5" x14ac:dyDescent="0.2">
      <c r="A24" s="13" t="s">
        <v>29</v>
      </c>
      <c r="B24" s="13" t="s">
        <v>52</v>
      </c>
      <c r="C24" s="14" t="s">
        <v>53</v>
      </c>
      <c r="G24" s="23" t="s">
        <v>54</v>
      </c>
      <c r="H24" s="23"/>
      <c r="I24" s="23"/>
    </row>
    <row r="25" spans="1:10" ht="15" x14ac:dyDescent="0.25">
      <c r="A25" s="15" t="s">
        <v>37</v>
      </c>
      <c r="B25" s="16">
        <v>65</v>
      </c>
      <c r="C25" s="17">
        <v>0.1</v>
      </c>
      <c r="G25" s="1" t="s">
        <v>55</v>
      </c>
      <c r="I25" s="6">
        <f>COUNTA(A5:A19)</f>
        <v>15</v>
      </c>
      <c r="J25" s="2"/>
    </row>
    <row r="26" spans="1:10" ht="15" x14ac:dyDescent="0.25">
      <c r="A26" s="15" t="s">
        <v>39</v>
      </c>
      <c r="B26" s="16">
        <v>82.5</v>
      </c>
      <c r="C26" s="17">
        <v>0.15</v>
      </c>
      <c r="G26" s="20" t="s">
        <v>56</v>
      </c>
      <c r="H26" s="20"/>
      <c r="I26" s="20"/>
    </row>
    <row r="27" spans="1:10" ht="15" x14ac:dyDescent="0.25">
      <c r="A27" s="15" t="s">
        <v>40</v>
      </c>
      <c r="B27" s="16">
        <v>77.5</v>
      </c>
      <c r="C27" s="17">
        <v>0.15</v>
      </c>
      <c r="G27" s="18" t="s">
        <v>37</v>
      </c>
      <c r="H27" s="1">
        <f>AVERAGEIF(região,G27,quantidade)</f>
        <v>5153.666666666667</v>
      </c>
      <c r="I27" s="19"/>
      <c r="J27" s="2"/>
    </row>
    <row r="28" spans="1:10" ht="15" x14ac:dyDescent="0.25">
      <c r="A28" s="15" t="s">
        <v>42</v>
      </c>
      <c r="B28" s="16">
        <v>95</v>
      </c>
      <c r="C28" s="17">
        <v>0.18</v>
      </c>
      <c r="G28" s="18" t="s">
        <v>39</v>
      </c>
      <c r="H28" s="1">
        <f>AVERAGEIF(região,G28,quantidade)</f>
        <v>5877</v>
      </c>
      <c r="I28" s="19"/>
    </row>
    <row r="29" spans="1:10" ht="15" x14ac:dyDescent="0.25">
      <c r="A29" s="15" t="s">
        <v>45</v>
      </c>
      <c r="B29" s="16">
        <v>85</v>
      </c>
      <c r="C29" s="17">
        <v>0.12</v>
      </c>
      <c r="G29" s="18" t="s">
        <v>40</v>
      </c>
      <c r="H29" s="1">
        <f>AVERAGEIF(região,G29,quantidade)</f>
        <v>7956.333333333333</v>
      </c>
      <c r="I29" s="19"/>
    </row>
    <row r="30" spans="1:10" ht="15" x14ac:dyDescent="0.25">
      <c r="G30" s="18" t="s">
        <v>42</v>
      </c>
      <c r="H30" s="1">
        <f>AVERAGEIF(região,G30,quantidade)</f>
        <v>8923</v>
      </c>
      <c r="I30" s="19"/>
    </row>
    <row r="31" spans="1:10" ht="15" x14ac:dyDescent="0.25">
      <c r="G31" s="18" t="s">
        <v>45</v>
      </c>
      <c r="H31" s="1">
        <f>AVERAGEIF(região,G31,quantidade)</f>
        <v>7116.333333333333</v>
      </c>
      <c r="I31" s="19"/>
    </row>
  </sheetData>
  <mergeCells count="7">
    <mergeCell ref="G26:I26"/>
    <mergeCell ref="A1:H1"/>
    <mergeCell ref="G4:H4"/>
    <mergeCell ref="G11:H11"/>
    <mergeCell ref="G16:H16"/>
    <mergeCell ref="A21:C21"/>
    <mergeCell ref="G24:I24"/>
  </mergeCells>
  <pageMargins left="0.78740157499999996" right="0.78740157499999996" top="0.984251969" bottom="0.984251969" header="0.49212598499999999" footer="0.49212598499999999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38EACDEB32E14E811804BCC8CF8A06" ma:contentTypeVersion="3" ma:contentTypeDescription="Crie um novo documento." ma:contentTypeScope="" ma:versionID="f7e76c7d54f00e2f0aff52ac894d7b1d">
  <xsd:schema xmlns:xsd="http://www.w3.org/2001/XMLSchema" xmlns:xs="http://www.w3.org/2001/XMLSchema" xmlns:p="http://schemas.microsoft.com/office/2006/metadata/properties" xmlns:ns2="b9ab6d4d-6490-4164-9fc0-592559187bb4" targetNamespace="http://schemas.microsoft.com/office/2006/metadata/properties" ma:root="true" ma:fieldsID="e30e541039ea0fb7b0c185bae0535c77" ns2:_="">
    <xsd:import namespace="b9ab6d4d-6490-4164-9fc0-592559187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b6d4d-6490-4164-9fc0-592559187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3E023A-1316-423A-859A-EAB972C76C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b6d4d-6490-4164-9fc0-592559187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E8D956-F1A4-4DFE-AFA5-F4BECC3A02C7}">
  <ds:schemaRefs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b9ab6d4d-6490-4164-9fc0-592559187bb4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2ADB16F-76E1-4F76-A5AA-10B418A3FD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Revisão inicial</vt:lpstr>
      <vt:lpstr>Revisão 2</vt:lpstr>
      <vt:lpstr>meses</vt:lpstr>
      <vt:lpstr>quantidade</vt:lpstr>
      <vt:lpstr>região</vt:lpstr>
      <vt:lpstr>tabela</vt:lpstr>
      <vt:lpstr>valor</vt:lpstr>
      <vt:lpstr>vendedor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CAROLINA DE CAMARGO BARROS LUCHETTA</dc:creator>
  <cp:keywords/>
  <dc:description/>
  <cp:lastModifiedBy>YURI DA SILVA MENDES</cp:lastModifiedBy>
  <cp:revision/>
  <dcterms:created xsi:type="dcterms:W3CDTF">2016-05-30T22:01:07Z</dcterms:created>
  <dcterms:modified xsi:type="dcterms:W3CDTF">2026-10-15T01:14:57Z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0x0101004338EACDEB32E14E811804BCC8CF8A06</vt:lpwstr>
  </property>
</Properties>
</file>