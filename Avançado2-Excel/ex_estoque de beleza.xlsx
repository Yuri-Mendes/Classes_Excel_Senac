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enacspedu.sharepoint.com/sites/Section_sec_276219900361495/Documentos Compartilhados/General/YuriMendes/"/>
    </mc:Choice>
  </mc:AlternateContent>
  <xr:revisionPtr revIDLastSave="369" documentId="8_{6732AB81-32A6-4402-B061-073BCA9EAD07}" xr6:coauthVersionLast="47" xr6:coauthVersionMax="47" xr10:uidLastSave="{4B165716-2586-4779-B832-619C5087CA02}"/>
  <bookViews>
    <workbookView xWindow="-120" yWindow="-120" windowWidth="24240" windowHeight="13020" activeTab="2" xr2:uid="{D34D4CC0-4757-4950-A76E-3DD058D9A161}"/>
  </bookViews>
  <sheets>
    <sheet name="Base_Estoque" sheetId="2" r:id="rId1"/>
    <sheet name="Planilha1" sheetId="3" r:id="rId2"/>
    <sheet name="Planilha2" sheetId="4" r:id="rId3"/>
  </sheets>
  <calcPr calcId="191028"/>
  <pivotCaches>
    <pivotCache cacheId="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 a="1"/>
  <c r="E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<sst xmlns="http://schemas.openxmlformats.org/spreadsheetml/2006/main" count="174" uniqueCount="31">
  <si>
    <t>Fornecedor</t>
  </si>
  <si>
    <t>Produto</t>
  </si>
  <si>
    <t>Data de Entrada</t>
  </si>
  <si>
    <t>Quantidade de Entrada</t>
  </si>
  <si>
    <t>Data de Saída</t>
  </si>
  <si>
    <t>Quantidade de Saída</t>
  </si>
  <si>
    <t>Preço</t>
  </si>
  <si>
    <t>Validade</t>
  </si>
  <si>
    <t>Quantidade em Estoque</t>
  </si>
  <si>
    <t>Fornecedor B</t>
  </si>
  <si>
    <t>Condicionador</t>
  </si>
  <si>
    <t>Fornecedor A</t>
  </si>
  <si>
    <t>Fornecedor D</t>
  </si>
  <si>
    <t>Máscara Capilar</t>
  </si>
  <si>
    <t>Fornecedor C</t>
  </si>
  <si>
    <t>Gel Fixador</t>
  </si>
  <si>
    <t>Shampoo</t>
  </si>
  <si>
    <t>Creme para Pentear</t>
  </si>
  <si>
    <t>Fornecedor E</t>
  </si>
  <si>
    <t>Rótulos de Linha</t>
  </si>
  <si>
    <t>Total Geral</t>
  </si>
  <si>
    <t>Rótulos de Coluna</t>
  </si>
  <si>
    <t>Soma de Preço</t>
  </si>
  <si>
    <t>Soma de Quantidade de Entrada</t>
  </si>
  <si>
    <t>mar</t>
  </si>
  <si>
    <t>abr</t>
  </si>
  <si>
    <t>jun</t>
  </si>
  <si>
    <t>jul</t>
  </si>
  <si>
    <t>ago</t>
  </si>
  <si>
    <t>out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</si>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</sst>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44" fontId="0" fillId="0" borderId="0" xfId="1" applyFont="1"/>
    <xf numFmtId="14" fontId="2" fillId="0" borderId="1" xfId="0" applyNumberFormat="1" applyFont="1" applyBorder="1" applyAlignment="1">
      <alignment horizontal="center" vertical="top"/>
    </xf>
    <xf numFmtId="44" fontId="2" fillId="0" borderId="1" xfId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[ex_estoque de beleza.xlsx]Planilha2!Tabela dinâmica15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261592300962376E-2"/>
          <c:y val="0.2572178477690289"/>
          <c:w val="0.52129396325459321"/>
          <c:h val="0.4390430883639545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Soma de Preço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Planilha2!$A$4:$A$32</c:f>
              <c:multiLvlStrCache>
                <c:ptCount val="23"/>
                <c:lvl>
                  <c:pt idx="0">
                    <c:v>Condicionador</c:v>
                  </c:pt>
                  <c:pt idx="1">
                    <c:v>Creme para Pentear</c:v>
                  </c:pt>
                  <c:pt idx="2">
                    <c:v>Gel Fixador</c:v>
                  </c:pt>
                  <c:pt idx="3">
                    <c:v>Máscara Capilar</c:v>
                  </c:pt>
                  <c:pt idx="4">
                    <c:v>Shampoo</c:v>
                  </c:pt>
                  <c:pt idx="5">
                    <c:v>Condicionador</c:v>
                  </c:pt>
                  <c:pt idx="6">
                    <c:v>Creme para Pentear</c:v>
                  </c:pt>
                  <c:pt idx="7">
                    <c:v>Máscara Capilar</c:v>
                  </c:pt>
                  <c:pt idx="8">
                    <c:v>Shampoo</c:v>
                  </c:pt>
                  <c:pt idx="9">
                    <c:v>Condicionador</c:v>
                  </c:pt>
                  <c:pt idx="10">
                    <c:v>Creme para Pentear</c:v>
                  </c:pt>
                  <c:pt idx="11">
                    <c:v>Gel Fixador</c:v>
                  </c:pt>
                  <c:pt idx="12">
                    <c:v>Máscara Capilar</c:v>
                  </c:pt>
                  <c:pt idx="13">
                    <c:v>Shampoo</c:v>
                  </c:pt>
                  <c:pt idx="14">
                    <c:v>Condicionador</c:v>
                  </c:pt>
                  <c:pt idx="15">
                    <c:v>Creme para Pentear</c:v>
                  </c:pt>
                  <c:pt idx="16">
                    <c:v>Gel Fixador</c:v>
                  </c:pt>
                  <c:pt idx="17">
                    <c:v>Máscara Capilar</c:v>
                  </c:pt>
                  <c:pt idx="18">
                    <c:v>Shampoo</c:v>
                  </c:pt>
                  <c:pt idx="19">
                    <c:v>Condicionador</c:v>
                  </c:pt>
                  <c:pt idx="20">
                    <c:v>Gel Fixador</c:v>
                  </c:pt>
                  <c:pt idx="21">
                    <c:v>Máscara Capilar</c:v>
                  </c:pt>
                  <c:pt idx="22">
                    <c:v>Shampoo</c:v>
                  </c:pt>
                </c:lvl>
                <c:lvl>
                  <c:pt idx="0">
                    <c:v>Fornecedor A</c:v>
                  </c:pt>
                  <c:pt idx="5">
                    <c:v>Fornecedor B</c:v>
                  </c:pt>
                  <c:pt idx="9">
                    <c:v>Fornecedor C</c:v>
                  </c:pt>
                  <c:pt idx="14">
                    <c:v>Fornecedor D</c:v>
                  </c:pt>
                  <c:pt idx="19">
                    <c:v>Fornecedor E</c:v>
                  </c:pt>
                </c:lvl>
              </c:multiLvlStrCache>
            </c:multiLvlStrRef>
          </c:cat>
          <c:val>
            <c:numRef>
              <c:f>Planilha2!$B$4:$B$32</c:f>
              <c:numCache>
                <c:formatCode>_("R$"* #,##0.00_);_("R$"* \(#,##0.00\);_("R$"* "-"??_);_(@_)</c:formatCode>
                <c:ptCount val="23"/>
                <c:pt idx="0">
                  <c:v>100.55</c:v>
                </c:pt>
                <c:pt idx="1">
                  <c:v>18.75</c:v>
                </c:pt>
                <c:pt idx="2">
                  <c:v>18.75</c:v>
                </c:pt>
                <c:pt idx="3">
                  <c:v>22.5</c:v>
                </c:pt>
                <c:pt idx="4">
                  <c:v>40.9</c:v>
                </c:pt>
                <c:pt idx="5">
                  <c:v>12.4</c:v>
                </c:pt>
                <c:pt idx="6">
                  <c:v>47.05</c:v>
                </c:pt>
                <c:pt idx="7">
                  <c:v>31.8</c:v>
                </c:pt>
                <c:pt idx="8">
                  <c:v>72.400000000000006</c:v>
                </c:pt>
                <c:pt idx="9">
                  <c:v>12.4</c:v>
                </c:pt>
                <c:pt idx="10">
                  <c:v>41.25</c:v>
                </c:pt>
                <c:pt idx="11">
                  <c:v>41.25</c:v>
                </c:pt>
                <c:pt idx="12">
                  <c:v>60.9</c:v>
                </c:pt>
                <c:pt idx="13">
                  <c:v>25</c:v>
                </c:pt>
                <c:pt idx="14">
                  <c:v>31.15</c:v>
                </c:pt>
                <c:pt idx="15">
                  <c:v>47.5</c:v>
                </c:pt>
                <c:pt idx="16">
                  <c:v>25</c:v>
                </c:pt>
                <c:pt idx="17">
                  <c:v>97.850000000000009</c:v>
                </c:pt>
                <c:pt idx="18">
                  <c:v>18.75</c:v>
                </c:pt>
                <c:pt idx="19">
                  <c:v>24.8</c:v>
                </c:pt>
                <c:pt idx="20">
                  <c:v>78.300000000000011</c:v>
                </c:pt>
                <c:pt idx="21">
                  <c:v>18.75</c:v>
                </c:pt>
                <c:pt idx="22">
                  <c:v>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F-4907-8C27-D3726DBC1C57}"/>
            </c:ext>
          </c:extLst>
        </c:ser>
        <c:ser>
          <c:idx val="1"/>
          <c:order val="1"/>
          <c:tx>
            <c:strRef>
              <c:f>Planilha2!$C$3</c:f>
              <c:strCache>
                <c:ptCount val="1"/>
                <c:pt idx="0">
                  <c:v>Soma de Quantidade de Entrada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Planilha2!$A$4:$A$32</c:f>
              <c:multiLvlStrCache>
                <c:ptCount val="23"/>
                <c:lvl>
                  <c:pt idx="0">
                    <c:v>Condicionador</c:v>
                  </c:pt>
                  <c:pt idx="1">
                    <c:v>Creme para Pentear</c:v>
                  </c:pt>
                  <c:pt idx="2">
                    <c:v>Gel Fixador</c:v>
                  </c:pt>
                  <c:pt idx="3">
                    <c:v>Máscara Capilar</c:v>
                  </c:pt>
                  <c:pt idx="4">
                    <c:v>Shampoo</c:v>
                  </c:pt>
                  <c:pt idx="5">
                    <c:v>Condicionador</c:v>
                  </c:pt>
                  <c:pt idx="6">
                    <c:v>Creme para Pentear</c:v>
                  </c:pt>
                  <c:pt idx="7">
                    <c:v>Máscara Capilar</c:v>
                  </c:pt>
                  <c:pt idx="8">
                    <c:v>Shampoo</c:v>
                  </c:pt>
                  <c:pt idx="9">
                    <c:v>Condicionador</c:v>
                  </c:pt>
                  <c:pt idx="10">
                    <c:v>Creme para Pentear</c:v>
                  </c:pt>
                  <c:pt idx="11">
                    <c:v>Gel Fixador</c:v>
                  </c:pt>
                  <c:pt idx="12">
                    <c:v>Máscara Capilar</c:v>
                  </c:pt>
                  <c:pt idx="13">
                    <c:v>Shampoo</c:v>
                  </c:pt>
                  <c:pt idx="14">
                    <c:v>Condicionador</c:v>
                  </c:pt>
                  <c:pt idx="15">
                    <c:v>Creme para Pentear</c:v>
                  </c:pt>
                  <c:pt idx="16">
                    <c:v>Gel Fixador</c:v>
                  </c:pt>
                  <c:pt idx="17">
                    <c:v>Máscara Capilar</c:v>
                  </c:pt>
                  <c:pt idx="18">
                    <c:v>Shampoo</c:v>
                  </c:pt>
                  <c:pt idx="19">
                    <c:v>Condicionador</c:v>
                  </c:pt>
                  <c:pt idx="20">
                    <c:v>Gel Fixador</c:v>
                  </c:pt>
                  <c:pt idx="21">
                    <c:v>Máscara Capilar</c:v>
                  </c:pt>
                  <c:pt idx="22">
                    <c:v>Shampoo</c:v>
                  </c:pt>
                </c:lvl>
                <c:lvl>
                  <c:pt idx="0">
                    <c:v>Fornecedor A</c:v>
                  </c:pt>
                  <c:pt idx="5">
                    <c:v>Fornecedor B</c:v>
                  </c:pt>
                  <c:pt idx="9">
                    <c:v>Fornecedor C</c:v>
                  </c:pt>
                  <c:pt idx="14">
                    <c:v>Fornecedor D</c:v>
                  </c:pt>
                  <c:pt idx="19">
                    <c:v>Fornecedor E</c:v>
                  </c:pt>
                </c:lvl>
              </c:multiLvlStrCache>
            </c:multiLvlStrRef>
          </c:cat>
          <c:val>
            <c:numRef>
              <c:f>Planilha2!$C$4:$C$32</c:f>
              <c:numCache>
                <c:formatCode>General</c:formatCode>
                <c:ptCount val="23"/>
                <c:pt idx="0">
                  <c:v>290</c:v>
                </c:pt>
                <c:pt idx="1">
                  <c:v>59</c:v>
                </c:pt>
                <c:pt idx="2">
                  <c:v>97</c:v>
                </c:pt>
                <c:pt idx="3">
                  <c:v>39</c:v>
                </c:pt>
                <c:pt idx="4">
                  <c:v>140</c:v>
                </c:pt>
                <c:pt idx="5">
                  <c:v>38</c:v>
                </c:pt>
                <c:pt idx="6">
                  <c:v>102</c:v>
                </c:pt>
                <c:pt idx="7">
                  <c:v>109</c:v>
                </c:pt>
                <c:pt idx="8">
                  <c:v>220</c:v>
                </c:pt>
                <c:pt idx="9">
                  <c:v>88</c:v>
                </c:pt>
                <c:pt idx="10">
                  <c:v>146</c:v>
                </c:pt>
                <c:pt idx="11">
                  <c:v>102</c:v>
                </c:pt>
                <c:pt idx="12">
                  <c:v>148</c:v>
                </c:pt>
                <c:pt idx="13">
                  <c:v>59</c:v>
                </c:pt>
                <c:pt idx="14">
                  <c:v>175</c:v>
                </c:pt>
                <c:pt idx="15">
                  <c:v>104</c:v>
                </c:pt>
                <c:pt idx="16">
                  <c:v>58</c:v>
                </c:pt>
                <c:pt idx="17">
                  <c:v>418</c:v>
                </c:pt>
                <c:pt idx="18">
                  <c:v>29</c:v>
                </c:pt>
                <c:pt idx="19">
                  <c:v>123</c:v>
                </c:pt>
                <c:pt idx="20">
                  <c:v>170</c:v>
                </c:pt>
                <c:pt idx="21">
                  <c:v>82</c:v>
                </c:pt>
                <c:pt idx="2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F-4907-8C27-D3726DBC1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5475375"/>
        <c:axId val="1235471535"/>
        <c:axId val="0"/>
      </c:bar3DChart>
      <c:catAx>
        <c:axId val="123547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471535"/>
        <c:crosses val="autoZero"/>
        <c:auto val="1"/>
        <c:lblAlgn val="ctr"/>
        <c:lblOffset val="100"/>
        <c:noMultiLvlLbl val="0"/>
      </c:catAx>
      <c:valAx>
        <c:axId val="123547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47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[ex_estoque de beleza.xlsx]Planilha2!Tabela dinâmica16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Planilha2!$K$2:$K$3</c:f>
              <c:strCache>
                <c:ptCount val="1"/>
                <c:pt idx="0">
                  <c:v>Fornecedor 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Planilha2!$J$4:$J$20</c:f>
              <c:multiLvlStrCache>
                <c:ptCount val="11"/>
                <c:lvl>
                  <c:pt idx="0">
                    <c:v>jun</c:v>
                  </c:pt>
                  <c:pt idx="1">
                    <c:v>out</c:v>
                  </c:pt>
                  <c:pt idx="2">
                    <c:v>abr</c:v>
                  </c:pt>
                  <c:pt idx="3">
                    <c:v>dez</c:v>
                  </c:pt>
                  <c:pt idx="4">
                    <c:v>jul</c:v>
                  </c:pt>
                  <c:pt idx="5">
                    <c:v>mar</c:v>
                  </c:pt>
                  <c:pt idx="6">
                    <c:v>abr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jul</c:v>
                  </c:pt>
                </c:lvl>
                <c:lvl>
                  <c:pt idx="0">
                    <c:v>Condicionador</c:v>
                  </c:pt>
                  <c:pt idx="2">
                    <c:v>Creme para Pentear</c:v>
                  </c:pt>
                  <c:pt idx="4">
                    <c:v>Gel Fixador</c:v>
                  </c:pt>
                  <c:pt idx="5">
                    <c:v>Máscara Capilar</c:v>
                  </c:pt>
                  <c:pt idx="10">
                    <c:v>Shampoo</c:v>
                  </c:pt>
                </c:lvl>
              </c:multiLvlStrCache>
            </c:multiLvlStrRef>
          </c:cat>
          <c:val>
            <c:numRef>
              <c:f>Planilha2!$K$4:$K$20</c:f>
              <c:numCache>
                <c:formatCode>General</c:formatCode>
                <c:ptCount val="11"/>
                <c:pt idx="0">
                  <c:v>77</c:v>
                </c:pt>
                <c:pt idx="1">
                  <c:v>98</c:v>
                </c:pt>
                <c:pt idx="2">
                  <c:v>24</c:v>
                </c:pt>
                <c:pt idx="3">
                  <c:v>80</c:v>
                </c:pt>
                <c:pt idx="4">
                  <c:v>58</c:v>
                </c:pt>
                <c:pt idx="5">
                  <c:v>163</c:v>
                </c:pt>
                <c:pt idx="6">
                  <c:v>15</c:v>
                </c:pt>
                <c:pt idx="7">
                  <c:v>79</c:v>
                </c:pt>
                <c:pt idx="8">
                  <c:v>85</c:v>
                </c:pt>
                <c:pt idx="9">
                  <c:v>76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9-4122-ABFA-2951604A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220111"/>
        <c:axId val="1185232367"/>
      </c:barChart>
      <c:catAx>
        <c:axId val="98022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232367"/>
        <c:crosses val="autoZero"/>
        <c:auto val="1"/>
        <c:lblAlgn val="ctr"/>
        <c:lblOffset val="100"/>
        <c:noMultiLvlLbl val="0"/>
      </c:catAx>
      <c:valAx>
        <c:axId val="118523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22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4760</xdr:rowOff>
    </xdr:from>
    <xdr:to>
      <xdr:col>8</xdr:col>
      <xdr:colOff>314326</xdr:colOff>
      <xdr:row>17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C46588-C209-F25F-F473-9A9988F9F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145674</xdr:colOff>
      <xdr:row>1</xdr:row>
      <xdr:rowOff>124385</xdr:rowOff>
    </xdr:from>
    <xdr:to>
      <xdr:col>16</xdr:col>
      <xdr:colOff>190499</xdr:colOff>
      <xdr:row>21</xdr:row>
      <xdr:rowOff>112059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4A56D4-0343-E94A-865B-488EB93F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DA SILVA MENDES" refreshedDate="46314.912691319441" createdVersion="8" refreshedVersion="8" minRefreshableVersion="3" recordCount="50" xr:uid="{A3DD3C80-C562-466E-985B-565572C89A71}">
  <cacheSource type="worksheet">
    <worksheetSource ref="A1:I51" sheet="Base_Estoque"/>
  </cacheSource>
  <cacheFields count="17">
    <cacheField name="Fornecedor" numFmtId="0">
      <sharedItems count="5">
        <s v="Fornecedor B"/>
        <s v="Fornecedor A"/>
        <s v="Fornecedor D"/>
        <s v="Fornecedor C"/>
        <s v="Fornecedor E"/>
      </sharedItems>
    </cacheField>
    <cacheField name="Produto" numFmtId="0">
      <sharedItems count="5">
        <s v="Condicionador"/>
        <s v="Máscara Capilar"/>
        <s v="Gel Fixador"/>
        <s v="Shampoo"/>
        <s v="Creme para Pentear"/>
      </sharedItems>
    </cacheField>
    <cacheField name="Data de Entrada" numFmtId="14">
      <sharedItems containsSemiMixedTypes="0" containsNonDate="0" containsDate="1" containsString="0" minDate="2023-01-13T00:00:00" maxDate="2023-12-26T00:00:00" count="48">
        <d v="2023-03-16T00:00:00"/>
        <d v="2023-08-21T00:00:00"/>
        <d v="2023-03-05T00:00:00"/>
        <d v="2023-03-09T00:00:00"/>
        <d v="2023-01-16T00:00:00"/>
        <d v="2023-02-05T00:00:00"/>
        <d v="2023-09-26T00:00:00"/>
        <d v="2023-12-05T00:00:00"/>
        <d v="2023-05-17T00:00:00"/>
        <d v="2023-04-09T00:00:00"/>
        <d v="2023-10-19T00:00:00"/>
        <d v="2023-07-04T00:00:00"/>
        <d v="2023-10-16T00:00:00"/>
        <d v="2023-05-13T00:00:00"/>
        <d v="2023-06-06T00:00:00"/>
        <d v="2023-03-28T00:00:00"/>
        <d v="2023-11-18T00:00:00"/>
        <d v="2023-12-25T00:00:00"/>
        <d v="2023-04-27T00:00:00"/>
        <d v="2023-12-07T00:00:00"/>
        <d v="2023-01-13T00:00:00"/>
        <d v="2023-05-04T00:00:00"/>
        <d v="2023-07-18T00:00:00"/>
        <d v="2023-09-05T00:00:00"/>
        <d v="2023-09-01T00:00:00"/>
        <d v="2023-03-04T00:00:00"/>
        <d v="2023-07-12T00:00:00"/>
        <d v="2023-01-26T00:00:00"/>
        <d v="2023-08-10T00:00:00"/>
        <d v="2023-07-10T00:00:00"/>
        <d v="2023-06-16T00:00:00"/>
        <d v="2023-05-06T00:00:00"/>
        <d v="2023-10-31T00:00:00"/>
        <d v="2023-08-09T00:00:00"/>
        <d v="2023-08-27T00:00:00"/>
        <d v="2023-07-07T00:00:00"/>
        <d v="2023-04-22T00:00:00"/>
        <d v="2023-06-11T00:00:00"/>
        <d v="2023-09-22T00:00:00"/>
        <d v="2023-04-07T00:00:00"/>
        <d v="2023-08-03T00:00:00"/>
        <d v="2023-01-29T00:00:00"/>
        <d v="2023-05-27T00:00:00"/>
        <d v="2023-09-08T00:00:00"/>
        <d v="2023-06-12T00:00:00"/>
        <d v="2023-10-06T00:00:00"/>
        <d v="2023-07-21T00:00:00"/>
        <d v="2023-11-11T00:00:00"/>
      </sharedItems>
      <fieldGroup par="10"/>
    </cacheField>
    <cacheField name="Quantidade de Entrada" numFmtId="0">
      <sharedItems containsSemiMixedTypes="0" containsString="0" containsNumber="1" containsInteger="1" minValue="15" maxValue="99"/>
    </cacheField>
    <cacheField name="Data de Saída" numFmtId="14">
      <sharedItems containsSemiMixedTypes="0" containsNonDate="0" containsDate="1" containsString="0" minDate="2023-01-29T00:00:00" maxDate="2024-12-28T00:00:00" count="46">
        <d v="2024-07-04T00:00:00"/>
        <d v="2024-10-02T00:00:00"/>
        <d v="2023-03-23T00:00:00"/>
        <d v="2024-01-19T00:00:00"/>
        <d v="2024-11-16T00:00:00"/>
        <d v="2023-09-08T00:00:00"/>
        <d v="2024-02-18T00:00:00"/>
        <d v="2024-02-08T00:00:00"/>
        <d v="2023-05-19T00:00:00"/>
        <d v="2024-07-09T00:00:00"/>
        <d v="2024-07-22T00:00:00"/>
        <d v="2024-12-27T00:00:00"/>
        <d v="2024-06-02T00:00:00"/>
        <d v="2023-08-28T00:00:00"/>
        <d v="2024-05-19T00:00:00"/>
        <d v="2024-06-21T00:00:00"/>
        <d v="2024-12-21T00:00:00"/>
        <d v="2024-11-03T00:00:00"/>
        <d v="2024-09-18T00:00:00"/>
        <d v="2024-02-12T00:00:00"/>
        <d v="2023-07-01T00:00:00"/>
        <d v="2024-03-14T00:00:00"/>
        <d v="2024-11-17T00:00:00"/>
        <d v="2024-03-26T00:00:00"/>
        <d v="2024-04-18T00:00:00"/>
        <d v="2024-12-18T00:00:00"/>
        <d v="2024-06-25T00:00:00"/>
        <d v="2023-07-11T00:00:00"/>
        <d v="2023-01-29T00:00:00"/>
        <d v="2024-10-27T00:00:00"/>
        <d v="2024-03-01T00:00:00"/>
        <d v="2024-11-18T00:00:00"/>
        <d v="2023-06-01T00:00:00"/>
        <d v="2024-06-30T00:00:00"/>
        <d v="2024-08-03T00:00:00"/>
        <d v="2023-10-31T00:00:00"/>
        <d v="2024-11-20T00:00:00"/>
        <d v="2024-04-26T00:00:00"/>
        <d v="2024-06-12T00:00:00"/>
        <d v="2023-10-12T00:00:00"/>
        <d v="2023-08-25T00:00:00"/>
        <d v="2024-08-07T00:00:00"/>
        <d v="2024-01-08T00:00:00"/>
        <d v="2024-10-20T00:00:00"/>
        <d v="2024-10-04T00:00:00"/>
        <d v="2024-11-21T00:00:00"/>
      </sharedItems>
      <fieldGroup par="13"/>
    </cacheField>
    <cacheField name="Quantidade de Saída" numFmtId="0">
      <sharedItems containsSemiMixedTypes="0" containsString="0" containsNumber="1" containsInteger="1" minValue="0" maxValue="79"/>
    </cacheField>
    <cacheField name="Preço" numFmtId="44">
      <sharedItems containsSemiMixedTypes="0" containsString="0" containsNumber="1" minValue="12.4" maxValue="25"/>
    </cacheField>
    <cacheField name="Validade" numFmtId="14">
      <sharedItems containsSemiMixedTypes="0" containsNonDate="0" containsDate="1" containsString="0" minDate="2024-01-08T00:00:00" maxDate="2025-11-28T00:00:00" count="47">
        <d v="2025-05-25T00:00:00"/>
        <d v="2025-04-28T00:00:00"/>
        <d v="2025-02-15T00:00:00"/>
        <d v="2025-11-27T00:00:00"/>
        <d v="2025-03-31T00:00:00"/>
        <d v="2024-02-05T00:00:00"/>
        <d v="2024-01-26T00:00:00"/>
        <d v="2024-12-27T00:00:00"/>
        <d v="2024-11-17T00:00:00"/>
        <d v="2024-11-14T00:00:00"/>
        <d v="2024-06-13T00:00:00"/>
        <d v="2025-09-26T00:00:00"/>
        <d v="2024-04-09T00:00:00"/>
        <d v="2025-02-09T00:00:00"/>
        <d v="2025-08-28T00:00:00"/>
        <d v="2025-05-01T00:00:00"/>
        <d v="2024-03-15T00:00:00"/>
        <d v="2024-01-24T00:00:00"/>
        <d v="2024-01-13T00:00:00"/>
        <d v="2024-02-10T00:00:00"/>
        <d v="2025-09-16T00:00:00"/>
        <d v="2024-07-18T00:00:00"/>
        <d v="2025-08-26T00:00:00"/>
        <d v="2024-01-28T00:00:00"/>
        <d v="2024-04-30T00:00:00"/>
        <d v="2025-03-13T00:00:00"/>
        <d v="2024-01-08T00:00:00"/>
        <d v="2024-08-02T00:00:00"/>
        <d v="2025-10-23T00:00:00"/>
        <d v="2024-07-12T00:00:00"/>
        <d v="2025-10-25T00:00:00"/>
        <d v="2025-04-11T00:00:00"/>
        <d v="2025-02-20T00:00:00"/>
        <d v="2024-09-23T00:00:00"/>
        <d v="2024-04-25T00:00:00"/>
        <d v="2024-02-29T00:00:00"/>
        <d v="2025-09-07T00:00:00"/>
        <d v="2024-08-27T00:00:00"/>
        <d v="2024-06-11T00:00:00"/>
        <d v="2025-07-16T00:00:00"/>
        <d v="2025-06-03T00:00:00"/>
        <d v="2025-11-15T00:00:00"/>
        <d v="2025-09-28T00:00:00"/>
        <d v="2025-08-01T00:00:00"/>
        <d v="2024-07-31T00:00:00"/>
        <d v="2025-02-10T00:00:00"/>
        <d v="2024-05-17T00:00:00"/>
      </sharedItems>
      <fieldGroup par="16"/>
    </cacheField>
    <cacheField name="Quantidade em Estoque" numFmtId="0">
      <sharedItems containsSemiMixedTypes="0" containsString="0" containsNumber="1" containsInteger="1" minValue="0" maxValue="91"/>
    </cacheField>
    <cacheField name="Dias (Data de Entrada)" numFmtId="0" databaseField="0">
      <fieldGroup base="2">
        <rangePr groupBy="days" startDate="2023-01-13T00:00:00" endDate="2023-12-26T00:00:00"/>
        <groupItems count="368">
          <s v="&lt;13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6/12/2023"/>
        </groupItems>
      </fieldGroup>
    </cacheField>
    <cacheField name="Meses (Data de Entrada)" numFmtId="0" databaseField="0">
      <fieldGroup base="2">
        <rangePr groupBy="months" startDate="2023-01-13T00:00:00" endDate="2023-12-26T00:00:00"/>
        <groupItems count="14">
          <s v="&lt;13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12/2023"/>
        </groupItems>
      </fieldGroup>
    </cacheField>
    <cacheField name="Meses (Data de Saída)" numFmtId="0" databaseField="0">
      <fieldGroup base="4">
        <rangePr groupBy="months" startDate="2023-01-29T00:00:00" endDate="2024-12-28T00:00:00"/>
        <groupItems count="14">
          <s v="&lt;29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12/2024"/>
        </groupItems>
      </fieldGroup>
    </cacheField>
    <cacheField name="Trimestres (Data de Saída)" numFmtId="0" databaseField="0">
      <fieldGroup base="4">
        <rangePr groupBy="quarters" startDate="2023-01-29T00:00:00" endDate="2024-12-28T00:00:00"/>
        <groupItems count="6">
          <s v="&lt;29/01/2023"/>
          <s v="Trim1"/>
          <s v="Trim2"/>
          <s v="Trim3"/>
          <s v="Trim4"/>
          <s v="&gt;28/12/2024"/>
        </groupItems>
      </fieldGroup>
    </cacheField>
    <cacheField name="Anos (Data de Saída)" numFmtId="0" databaseField="0">
      <fieldGroup base="4">
        <rangePr groupBy="years" startDate="2023-01-29T00:00:00" endDate="2024-12-28T00:00:00"/>
        <groupItems count="4">
          <s v="&lt;29/01/2023"/>
          <s v="2023"/>
          <s v="2024"/>
          <s v="&gt;28/12/2024"/>
        </groupItems>
      </fieldGroup>
    </cacheField>
    <cacheField name="Meses (Validade)" numFmtId="0" databaseField="0">
      <fieldGroup base="7">
        <rangePr groupBy="months" startDate="2024-01-08T00:00:00" endDate="2025-11-28T00:00:00"/>
        <groupItems count="14">
          <s v="&lt;08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11/2025"/>
        </groupItems>
      </fieldGroup>
    </cacheField>
    <cacheField name="Trimestres (Validade)" numFmtId="0" databaseField="0">
      <fieldGroup base="7">
        <rangePr groupBy="quarters" startDate="2024-01-08T00:00:00" endDate="2025-11-28T00:00:00"/>
        <groupItems count="6">
          <s v="&lt;08/01/2024"/>
          <s v="Trim1"/>
          <s v="Trim2"/>
          <s v="Trim3"/>
          <s v="Trim4"/>
          <s v="&gt;28/11/2025"/>
        </groupItems>
      </fieldGroup>
    </cacheField>
    <cacheField name="Anos (Validade)" numFmtId="0" databaseField="0">
      <fieldGroup base="7">
        <rangePr groupBy="years" startDate="2024-01-08T00:00:00" endDate="2025-11-28T00:00:00"/>
        <groupItems count="4">
          <s v="&lt;08/01/2024"/>
          <s v="2024"/>
          <s v="2025"/>
          <s v="&gt;28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38"/>
    <x v="0"/>
    <n v="32"/>
    <n v="12.4"/>
    <x v="0"/>
    <n v="6"/>
  </r>
  <r>
    <x v="1"/>
    <x v="0"/>
    <x v="1"/>
    <n v="17"/>
    <x v="1"/>
    <n v="2"/>
    <n v="15.9"/>
    <x v="1"/>
    <n v="15"/>
  </r>
  <r>
    <x v="2"/>
    <x v="1"/>
    <x v="2"/>
    <n v="91"/>
    <x v="2"/>
    <n v="66"/>
    <n v="22.5"/>
    <x v="2"/>
    <n v="25"/>
  </r>
  <r>
    <x v="2"/>
    <x v="1"/>
    <x v="3"/>
    <n v="72"/>
    <x v="3"/>
    <n v="26"/>
    <n v="15.9"/>
    <x v="3"/>
    <n v="46"/>
  </r>
  <r>
    <x v="3"/>
    <x v="0"/>
    <x v="4"/>
    <n v="88"/>
    <x v="4"/>
    <n v="40"/>
    <n v="12.4"/>
    <x v="4"/>
    <n v="48"/>
  </r>
  <r>
    <x v="1"/>
    <x v="0"/>
    <x v="5"/>
    <n v="57"/>
    <x v="5"/>
    <n v="9"/>
    <n v="25"/>
    <x v="5"/>
    <n v="48"/>
  </r>
  <r>
    <x v="1"/>
    <x v="2"/>
    <x v="6"/>
    <n v="97"/>
    <x v="6"/>
    <n v="52"/>
    <n v="18.75"/>
    <x v="6"/>
    <n v="45"/>
  </r>
  <r>
    <x v="1"/>
    <x v="0"/>
    <x v="7"/>
    <n v="66"/>
    <x v="7"/>
    <n v="32"/>
    <n v="18.75"/>
    <x v="7"/>
    <n v="34"/>
  </r>
  <r>
    <x v="0"/>
    <x v="3"/>
    <x v="8"/>
    <n v="77"/>
    <x v="8"/>
    <n v="48"/>
    <n v="12.4"/>
    <x v="8"/>
    <n v="29"/>
  </r>
  <r>
    <x v="1"/>
    <x v="0"/>
    <x v="9"/>
    <n v="52"/>
    <x v="9"/>
    <n v="23"/>
    <n v="15.9"/>
    <x v="9"/>
    <n v="29"/>
  </r>
  <r>
    <x v="0"/>
    <x v="4"/>
    <x v="10"/>
    <n v="46"/>
    <x v="10"/>
    <n v="17"/>
    <n v="15.9"/>
    <x v="10"/>
    <n v="29"/>
  </r>
  <r>
    <x v="1"/>
    <x v="0"/>
    <x v="11"/>
    <n v="98"/>
    <x v="11"/>
    <n v="66"/>
    <n v="25"/>
    <x v="11"/>
    <n v="32"/>
  </r>
  <r>
    <x v="2"/>
    <x v="0"/>
    <x v="12"/>
    <n v="98"/>
    <x v="12"/>
    <n v="48"/>
    <n v="18.75"/>
    <x v="12"/>
    <n v="50"/>
  </r>
  <r>
    <x v="4"/>
    <x v="3"/>
    <x v="13"/>
    <n v="99"/>
    <x v="13"/>
    <n v="8"/>
    <n v="15.9"/>
    <x v="13"/>
    <n v="91"/>
  </r>
  <r>
    <x v="2"/>
    <x v="0"/>
    <x v="14"/>
    <n v="77"/>
    <x v="14"/>
    <n v="35"/>
    <n v="12.4"/>
    <x v="14"/>
    <n v="42"/>
  </r>
  <r>
    <x v="4"/>
    <x v="2"/>
    <x v="15"/>
    <n v="28"/>
    <x v="15"/>
    <n v="7"/>
    <n v="25"/>
    <x v="15"/>
    <n v="21"/>
  </r>
  <r>
    <x v="1"/>
    <x v="4"/>
    <x v="16"/>
    <n v="59"/>
    <x v="16"/>
    <n v="19"/>
    <n v="18.75"/>
    <x v="16"/>
    <n v="40"/>
  </r>
  <r>
    <x v="0"/>
    <x v="3"/>
    <x v="17"/>
    <n v="72"/>
    <x v="17"/>
    <n v="22"/>
    <n v="18.75"/>
    <x v="17"/>
    <n v="50"/>
  </r>
  <r>
    <x v="2"/>
    <x v="1"/>
    <x v="18"/>
    <n v="15"/>
    <x v="18"/>
    <n v="15"/>
    <n v="12.4"/>
    <x v="18"/>
    <n v="0"/>
  </r>
  <r>
    <x v="2"/>
    <x v="4"/>
    <x v="19"/>
    <n v="80"/>
    <x v="4"/>
    <n v="24"/>
    <n v="22.5"/>
    <x v="19"/>
    <n v="56"/>
  </r>
  <r>
    <x v="0"/>
    <x v="4"/>
    <x v="20"/>
    <n v="33"/>
    <x v="19"/>
    <n v="24"/>
    <n v="18.75"/>
    <x v="20"/>
    <n v="9"/>
  </r>
  <r>
    <x v="1"/>
    <x v="3"/>
    <x v="21"/>
    <n v="80"/>
    <x v="20"/>
    <n v="21"/>
    <n v="15.9"/>
    <x v="21"/>
    <n v="59"/>
  </r>
  <r>
    <x v="0"/>
    <x v="3"/>
    <x v="22"/>
    <n v="29"/>
    <x v="21"/>
    <n v="3"/>
    <n v="18.75"/>
    <x v="22"/>
    <n v="26"/>
  </r>
  <r>
    <x v="4"/>
    <x v="3"/>
    <x v="23"/>
    <n v="87"/>
    <x v="22"/>
    <n v="3"/>
    <n v="12.4"/>
    <x v="23"/>
    <n v="84"/>
  </r>
  <r>
    <x v="3"/>
    <x v="1"/>
    <x v="24"/>
    <n v="43"/>
    <x v="23"/>
    <n v="43"/>
    <n v="15.9"/>
    <x v="24"/>
    <n v="0"/>
  </r>
  <r>
    <x v="3"/>
    <x v="2"/>
    <x v="25"/>
    <n v="17"/>
    <x v="24"/>
    <n v="6"/>
    <n v="22.5"/>
    <x v="25"/>
    <n v="11"/>
  </r>
  <r>
    <x v="3"/>
    <x v="4"/>
    <x v="26"/>
    <n v="92"/>
    <x v="25"/>
    <n v="50"/>
    <n v="18.75"/>
    <x v="26"/>
    <n v="42"/>
  </r>
  <r>
    <x v="4"/>
    <x v="0"/>
    <x v="12"/>
    <n v="68"/>
    <x v="26"/>
    <n v="66"/>
    <n v="12.4"/>
    <x v="27"/>
    <n v="2"/>
  </r>
  <r>
    <x v="4"/>
    <x v="2"/>
    <x v="18"/>
    <n v="28"/>
    <x v="27"/>
    <n v="13"/>
    <n v="25"/>
    <x v="28"/>
    <n v="15"/>
  </r>
  <r>
    <x v="1"/>
    <x v="1"/>
    <x v="27"/>
    <n v="39"/>
    <x v="28"/>
    <n v="22"/>
    <n v="22.5"/>
    <x v="29"/>
    <n v="17"/>
  </r>
  <r>
    <x v="3"/>
    <x v="1"/>
    <x v="28"/>
    <n v="29"/>
    <x v="29"/>
    <n v="17"/>
    <n v="22.5"/>
    <x v="30"/>
    <n v="12"/>
  </r>
  <r>
    <x v="2"/>
    <x v="2"/>
    <x v="29"/>
    <n v="58"/>
    <x v="30"/>
    <n v="22"/>
    <n v="25"/>
    <x v="31"/>
    <n v="36"/>
  </r>
  <r>
    <x v="0"/>
    <x v="1"/>
    <x v="30"/>
    <n v="86"/>
    <x v="31"/>
    <n v="8"/>
    <n v="15.9"/>
    <x v="26"/>
    <n v="78"/>
  </r>
  <r>
    <x v="4"/>
    <x v="0"/>
    <x v="31"/>
    <n v="55"/>
    <x v="32"/>
    <n v="10"/>
    <n v="12.4"/>
    <x v="32"/>
    <n v="45"/>
  </r>
  <r>
    <x v="0"/>
    <x v="4"/>
    <x v="32"/>
    <n v="23"/>
    <x v="33"/>
    <n v="8"/>
    <n v="12.4"/>
    <x v="33"/>
    <n v="15"/>
  </r>
  <r>
    <x v="2"/>
    <x v="1"/>
    <x v="33"/>
    <n v="76"/>
    <x v="34"/>
    <n v="20"/>
    <n v="15.9"/>
    <x v="34"/>
    <n v="56"/>
  </r>
  <r>
    <x v="4"/>
    <x v="1"/>
    <x v="34"/>
    <n v="82"/>
    <x v="35"/>
    <n v="0"/>
    <n v="18.75"/>
    <x v="35"/>
    <n v="82"/>
  </r>
  <r>
    <x v="2"/>
    <x v="1"/>
    <x v="35"/>
    <n v="85"/>
    <x v="36"/>
    <n v="16"/>
    <n v="18.75"/>
    <x v="36"/>
    <n v="69"/>
  </r>
  <r>
    <x v="2"/>
    <x v="4"/>
    <x v="36"/>
    <n v="24"/>
    <x v="17"/>
    <n v="13"/>
    <n v="25"/>
    <x v="37"/>
    <n v="11"/>
  </r>
  <r>
    <x v="2"/>
    <x v="1"/>
    <x v="37"/>
    <n v="79"/>
    <x v="37"/>
    <n v="79"/>
    <n v="12.4"/>
    <x v="38"/>
    <n v="0"/>
  </r>
  <r>
    <x v="4"/>
    <x v="2"/>
    <x v="38"/>
    <n v="52"/>
    <x v="38"/>
    <n v="30"/>
    <n v="15.9"/>
    <x v="39"/>
    <n v="22"/>
  </r>
  <r>
    <x v="3"/>
    <x v="4"/>
    <x v="39"/>
    <n v="54"/>
    <x v="39"/>
    <n v="27"/>
    <n v="22.5"/>
    <x v="40"/>
    <n v="27"/>
  </r>
  <r>
    <x v="0"/>
    <x v="3"/>
    <x v="40"/>
    <n v="42"/>
    <x v="40"/>
    <n v="41"/>
    <n v="22.5"/>
    <x v="41"/>
    <n v="1"/>
  </r>
  <r>
    <x v="1"/>
    <x v="3"/>
    <x v="41"/>
    <n v="60"/>
    <x v="41"/>
    <n v="11"/>
    <n v="25"/>
    <x v="42"/>
    <n v="49"/>
  </r>
  <r>
    <x v="3"/>
    <x v="1"/>
    <x v="42"/>
    <n v="76"/>
    <x v="37"/>
    <n v="21"/>
    <n v="22.5"/>
    <x v="21"/>
    <n v="55"/>
  </r>
  <r>
    <x v="3"/>
    <x v="3"/>
    <x v="43"/>
    <n v="59"/>
    <x v="35"/>
    <n v="59"/>
    <n v="25"/>
    <x v="30"/>
    <n v="0"/>
  </r>
  <r>
    <x v="0"/>
    <x v="1"/>
    <x v="44"/>
    <n v="23"/>
    <x v="42"/>
    <n v="11"/>
    <n v="15.9"/>
    <x v="43"/>
    <n v="12"/>
  </r>
  <r>
    <x v="3"/>
    <x v="2"/>
    <x v="45"/>
    <n v="85"/>
    <x v="43"/>
    <n v="33"/>
    <n v="18.75"/>
    <x v="44"/>
    <n v="52"/>
  </r>
  <r>
    <x v="2"/>
    <x v="3"/>
    <x v="46"/>
    <n v="29"/>
    <x v="44"/>
    <n v="3"/>
    <n v="18.75"/>
    <x v="45"/>
    <n v="26"/>
  </r>
  <r>
    <x v="4"/>
    <x v="2"/>
    <x v="47"/>
    <n v="62"/>
    <x v="45"/>
    <n v="17"/>
    <n v="12.4"/>
    <x v="46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D5B7F-7AB0-4DD6-9F56-7D0457E75BE5}" name="Tabela dinâmica15" cacheId="5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A3:C32" firstHeaderRow="0" firstDataRow="1" firstDataCol="1"/>
  <pivotFields count="17">
    <pivotField axis="axisRow" showAll="0">
      <items count="6">
        <item x="1"/>
        <item x="0"/>
        <item x="3"/>
        <item x="2"/>
        <item x="4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numFmtId="14" multipleItemSelectionAllowed="1" showAll="0">
      <items count="49">
        <item x="20"/>
        <item x="4"/>
        <item x="27"/>
        <item x="41"/>
        <item x="5"/>
        <item x="25"/>
        <item x="2"/>
        <item x="3"/>
        <item x="0"/>
        <item x="15"/>
        <item x="39"/>
        <item x="9"/>
        <item x="36"/>
        <item x="18"/>
        <item x="21"/>
        <item x="31"/>
        <item x="13"/>
        <item x="8"/>
        <item x="42"/>
        <item x="14"/>
        <item x="37"/>
        <item x="44"/>
        <item x="30"/>
        <item x="11"/>
        <item x="35"/>
        <item x="29"/>
        <item x="26"/>
        <item x="22"/>
        <item x="46"/>
        <item x="40"/>
        <item x="33"/>
        <item x="28"/>
        <item x="1"/>
        <item x="34"/>
        <item x="24"/>
        <item x="23"/>
        <item x="43"/>
        <item x="38"/>
        <item x="6"/>
        <item x="45"/>
        <item x="12"/>
        <item x="10"/>
        <item x="32"/>
        <item x="47"/>
        <item x="16"/>
        <item x="7"/>
        <item x="19"/>
        <item x="17"/>
        <item t="default"/>
      </items>
    </pivotField>
    <pivotField dataField="1" showAll="0"/>
    <pivotField numFmtId="14" showAll="0">
      <items count="47">
        <item x="28"/>
        <item x="2"/>
        <item x="8"/>
        <item x="32"/>
        <item x="20"/>
        <item x="27"/>
        <item x="40"/>
        <item x="13"/>
        <item x="5"/>
        <item x="39"/>
        <item x="35"/>
        <item x="42"/>
        <item x="3"/>
        <item x="7"/>
        <item x="19"/>
        <item x="6"/>
        <item x="30"/>
        <item x="21"/>
        <item x="23"/>
        <item x="24"/>
        <item x="37"/>
        <item x="14"/>
        <item x="12"/>
        <item x="38"/>
        <item x="15"/>
        <item x="26"/>
        <item x="33"/>
        <item x="0"/>
        <item x="9"/>
        <item x="10"/>
        <item x="34"/>
        <item x="41"/>
        <item x="18"/>
        <item x="1"/>
        <item x="44"/>
        <item x="43"/>
        <item x="29"/>
        <item x="17"/>
        <item x="4"/>
        <item x="22"/>
        <item x="31"/>
        <item x="36"/>
        <item x="45"/>
        <item x="25"/>
        <item x="16"/>
        <item x="11"/>
        <item t="default"/>
      </items>
    </pivotField>
    <pivotField showAll="0"/>
    <pivotField dataField="1" numFmtId="44" showAll="0"/>
    <pivotField numFmtId="14" showAll="0">
      <items count="48">
        <item x="26"/>
        <item x="18"/>
        <item x="17"/>
        <item x="6"/>
        <item x="23"/>
        <item x="5"/>
        <item x="19"/>
        <item x="35"/>
        <item x="16"/>
        <item x="12"/>
        <item x="34"/>
        <item x="24"/>
        <item x="46"/>
        <item x="38"/>
        <item x="10"/>
        <item x="29"/>
        <item x="21"/>
        <item x="44"/>
        <item x="27"/>
        <item x="37"/>
        <item x="33"/>
        <item x="9"/>
        <item x="8"/>
        <item x="7"/>
        <item x="13"/>
        <item x="45"/>
        <item x="2"/>
        <item x="32"/>
        <item x="25"/>
        <item x="4"/>
        <item x="31"/>
        <item x="1"/>
        <item x="15"/>
        <item x="0"/>
        <item x="40"/>
        <item x="39"/>
        <item x="43"/>
        <item x="22"/>
        <item x="14"/>
        <item x="36"/>
        <item x="20"/>
        <item x="11"/>
        <item x="42"/>
        <item x="28"/>
        <item x="30"/>
        <item x="41"/>
        <item x="3"/>
        <item t="default"/>
      </items>
    </pivotField>
    <pivotField showAll="0"/>
    <pivotField multipleItemSelectionAllowed="1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0"/>
    <field x="1"/>
  </rowFields>
  <rowItems count="2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ço" fld="6" baseField="0" baseItem="0" numFmtId="44"/>
    <dataField name="Soma de Quantidade de Entrada" fld="3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8B88D-2762-4FBE-9496-82E19E47D5CD}" name="Tabela dinâmica16" cacheId="5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J2:L20" firstHeaderRow="1" firstDataRow="2" firstDataCol="1"/>
  <pivotFields count="17">
    <pivotField axis="axisCol" multipleItemSelectionAllowed="1" showAll="0">
      <items count="6">
        <item h="1" x="1"/>
        <item h="1" x="0"/>
        <item h="1" x="3"/>
        <item x="2"/>
        <item h="1" x="4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numFmtId="14" showAll="0">
      <items count="49">
        <item x="20"/>
        <item x="4"/>
        <item x="27"/>
        <item x="41"/>
        <item x="5"/>
        <item x="25"/>
        <item x="2"/>
        <item x="3"/>
        <item x="0"/>
        <item x="15"/>
        <item x="39"/>
        <item x="9"/>
        <item x="36"/>
        <item x="18"/>
        <item x="21"/>
        <item x="31"/>
        <item x="13"/>
        <item x="8"/>
        <item x="42"/>
        <item x="14"/>
        <item x="37"/>
        <item x="44"/>
        <item x="30"/>
        <item x="11"/>
        <item x="35"/>
        <item x="29"/>
        <item x="26"/>
        <item x="22"/>
        <item x="46"/>
        <item x="40"/>
        <item x="33"/>
        <item x="28"/>
        <item x="1"/>
        <item x="34"/>
        <item x="24"/>
        <item x="23"/>
        <item x="43"/>
        <item x="38"/>
        <item x="6"/>
        <item x="45"/>
        <item x="12"/>
        <item x="10"/>
        <item x="32"/>
        <item x="47"/>
        <item x="16"/>
        <item x="7"/>
        <item x="19"/>
        <item x="17"/>
        <item t="default"/>
      </items>
    </pivotField>
    <pivotField dataField="1" showAll="0"/>
    <pivotField numFmtId="14" showAll="0">
      <items count="47">
        <item x="28"/>
        <item x="2"/>
        <item x="8"/>
        <item x="32"/>
        <item x="20"/>
        <item x="27"/>
        <item x="40"/>
        <item x="13"/>
        <item x="5"/>
        <item x="39"/>
        <item x="35"/>
        <item x="42"/>
        <item x="3"/>
        <item x="7"/>
        <item x="19"/>
        <item x="6"/>
        <item x="30"/>
        <item x="21"/>
        <item x="23"/>
        <item x="24"/>
        <item x="37"/>
        <item x="14"/>
        <item x="12"/>
        <item x="38"/>
        <item x="15"/>
        <item x="26"/>
        <item x="33"/>
        <item x="0"/>
        <item x="9"/>
        <item x="10"/>
        <item x="34"/>
        <item x="41"/>
        <item x="18"/>
        <item x="1"/>
        <item x="44"/>
        <item x="43"/>
        <item x="29"/>
        <item x="17"/>
        <item x="4"/>
        <item x="22"/>
        <item x="31"/>
        <item x="36"/>
        <item x="45"/>
        <item x="25"/>
        <item x="16"/>
        <item x="11"/>
        <item t="default"/>
      </items>
    </pivotField>
    <pivotField showAll="0"/>
    <pivotField numFmtId="44" showAll="0"/>
    <pivotField numFmtId="14" showAll="0">
      <items count="48">
        <item x="26"/>
        <item x="18"/>
        <item x="17"/>
        <item x="6"/>
        <item x="23"/>
        <item x="5"/>
        <item x="19"/>
        <item x="35"/>
        <item x="16"/>
        <item x="12"/>
        <item x="34"/>
        <item x="24"/>
        <item x="46"/>
        <item x="38"/>
        <item x="10"/>
        <item x="29"/>
        <item x="21"/>
        <item x="44"/>
        <item x="27"/>
        <item x="37"/>
        <item x="33"/>
        <item x="9"/>
        <item x="8"/>
        <item x="7"/>
        <item x="13"/>
        <item x="45"/>
        <item x="2"/>
        <item x="32"/>
        <item x="25"/>
        <item x="4"/>
        <item x="31"/>
        <item x="1"/>
        <item x="15"/>
        <item x="0"/>
        <item x="40"/>
        <item x="39"/>
        <item x="43"/>
        <item x="22"/>
        <item x="14"/>
        <item x="36"/>
        <item x="20"/>
        <item x="11"/>
        <item x="42"/>
        <item x="28"/>
        <item x="30"/>
        <item x="41"/>
        <item x="3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sd="0" x="14"/>
        <item sd="0" x="15"/>
        <item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3">
    <field x="1"/>
    <field x="10"/>
    <field x="9"/>
  </rowFields>
  <rowItems count="17">
    <i>
      <x/>
    </i>
    <i r="1">
      <x v="6"/>
    </i>
    <i r="1">
      <x v="10"/>
    </i>
    <i>
      <x v="1"/>
    </i>
    <i r="1">
      <x v="4"/>
    </i>
    <i r="1">
      <x v="12"/>
    </i>
    <i>
      <x v="2"/>
    </i>
    <i r="1">
      <x v="7"/>
    </i>
    <i>
      <x v="3"/>
    </i>
    <i r="1">
      <x v="3"/>
    </i>
    <i r="1">
      <x v="4"/>
    </i>
    <i r="1">
      <x v="6"/>
    </i>
    <i r="1">
      <x v="7"/>
    </i>
    <i r="1">
      <x v="8"/>
    </i>
    <i>
      <x v="4"/>
    </i>
    <i r="1">
      <x v="7"/>
    </i>
    <i t="grand">
      <x/>
    </i>
  </rowItems>
  <colFields count="1">
    <field x="0"/>
  </colFields>
  <colItems count="2">
    <i>
      <x v="3"/>
    </i>
    <i t="grand">
      <x/>
    </i>
  </colItems>
  <dataFields count="1">
    <dataField name="Soma de Quantidade de Entrada" fld="3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8224-1240-4FD3-BFD7-FFE2F17E0FE8}">
  <sheetPr codeName="Planilha2"/>
  <dimension ref="A1:I51"/>
  <sheetViews>
    <sheetView topLeftCell="A23" workbookViewId="0"/>
  </sheetViews>
  <sheetFormatPr defaultRowHeight="14.25" x14ac:dyDescent="0.2"/>
  <cols>
    <col min="1" max="1" width="12.875" bestFit="1" customWidth="1"/>
    <col min="2" max="2" width="18.875" bestFit="1" customWidth="1"/>
    <col min="3" max="3" width="18.25" bestFit="1" customWidth="1"/>
    <col min="4" max="4" width="21.75" bestFit="1" customWidth="1"/>
    <col min="5" max="5" width="18.25" bestFit="1" customWidth="1"/>
    <col min="6" max="6" width="19.625" bestFit="1" customWidth="1"/>
    <col min="7" max="7" width="15.875" customWidth="1"/>
    <col min="8" max="8" width="18.25" bestFit="1" customWidth="1"/>
    <col min="9" max="9" width="22.7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2">
        <v>45001</v>
      </c>
      <c r="D2">
        <v>38</v>
      </c>
      <c r="E2" s="2">
        <v>45477</v>
      </c>
      <c r="F2">
        <v>32</v>
      </c>
      <c r="G2" s="3">
        <v>12.4</v>
      </c>
      <c r="H2" s="2">
        <v>45802</v>
      </c>
      <c r="I2">
        <v>6</v>
      </c>
    </row>
    <row r="3" spans="1:9" x14ac:dyDescent="0.2">
      <c r="A3" t="s">
        <v>11</v>
      </c>
      <c r="B3" t="s">
        <v>10</v>
      </c>
      <c r="C3" s="2">
        <v>45159</v>
      </c>
      <c r="D3">
        <v>17</v>
      </c>
      <c r="E3" s="2">
        <v>45567</v>
      </c>
      <c r="F3">
        <v>2</v>
      </c>
      <c r="G3" s="3">
        <v>15.9</v>
      </c>
      <c r="H3" s="2">
        <v>45775</v>
      </c>
      <c r="I3">
        <v>15</v>
      </c>
    </row>
    <row r="4" spans="1:9" x14ac:dyDescent="0.2">
      <c r="A4" t="s">
        <v>12</v>
      </c>
      <c r="B4" t="s">
        <v>13</v>
      </c>
      <c r="C4" s="2">
        <v>44990</v>
      </c>
      <c r="D4">
        <v>91</v>
      </c>
      <c r="E4" s="2">
        <v>45008</v>
      </c>
      <c r="F4">
        <v>66</v>
      </c>
      <c r="G4" s="3">
        <v>22.5</v>
      </c>
      <c r="H4" s="2">
        <v>45703</v>
      </c>
      <c r="I4">
        <v>25</v>
      </c>
    </row>
    <row r="5" spans="1:9" x14ac:dyDescent="0.2">
      <c r="A5" t="s">
        <v>12</v>
      </c>
      <c r="B5" t="s">
        <v>13</v>
      </c>
      <c r="C5" s="2">
        <v>44994</v>
      </c>
      <c r="D5">
        <v>72</v>
      </c>
      <c r="E5" s="2">
        <v>45310</v>
      </c>
      <c r="F5">
        <v>26</v>
      </c>
      <c r="G5" s="3">
        <v>15.9</v>
      </c>
      <c r="H5" s="2">
        <v>45988</v>
      </c>
      <c r="I5">
        <v>46</v>
      </c>
    </row>
    <row r="6" spans="1:9" x14ac:dyDescent="0.2">
      <c r="A6" t="s">
        <v>14</v>
      </c>
      <c r="B6" t="s">
        <v>10</v>
      </c>
      <c r="C6" s="2">
        <v>44942</v>
      </c>
      <c r="D6">
        <v>88</v>
      </c>
      <c r="E6" s="2">
        <v>45612</v>
      </c>
      <c r="F6">
        <v>40</v>
      </c>
      <c r="G6" s="3">
        <v>12.4</v>
      </c>
      <c r="H6" s="2">
        <v>45747</v>
      </c>
      <c r="I6">
        <v>48</v>
      </c>
    </row>
    <row r="7" spans="1:9" x14ac:dyDescent="0.2">
      <c r="A7" t="s">
        <v>11</v>
      </c>
      <c r="B7" t="s">
        <v>10</v>
      </c>
      <c r="C7" s="2">
        <v>44962</v>
      </c>
      <c r="D7">
        <v>57</v>
      </c>
      <c r="E7" s="2">
        <v>45177</v>
      </c>
      <c r="F7">
        <v>9</v>
      </c>
      <c r="G7" s="3">
        <v>25</v>
      </c>
      <c r="H7" s="2">
        <v>45327</v>
      </c>
      <c r="I7">
        <v>48</v>
      </c>
    </row>
    <row r="8" spans="1:9" x14ac:dyDescent="0.2">
      <c r="A8" t="s">
        <v>11</v>
      </c>
      <c r="B8" t="s">
        <v>15</v>
      </c>
      <c r="C8" s="2">
        <v>45195</v>
      </c>
      <c r="D8">
        <v>97</v>
      </c>
      <c r="E8" s="2">
        <v>45340</v>
      </c>
      <c r="F8">
        <v>52</v>
      </c>
      <c r="G8" s="3">
        <v>18.75</v>
      </c>
      <c r="H8" s="2">
        <v>45317</v>
      </c>
      <c r="I8">
        <v>45</v>
      </c>
    </row>
    <row r="9" spans="1:9" x14ac:dyDescent="0.2">
      <c r="A9" t="s">
        <v>11</v>
      </c>
      <c r="B9" t="s">
        <v>10</v>
      </c>
      <c r="C9" s="2">
        <v>45265</v>
      </c>
      <c r="D9">
        <v>66</v>
      </c>
      <c r="E9" s="2">
        <v>45330</v>
      </c>
      <c r="F9">
        <v>32</v>
      </c>
      <c r="G9" s="3">
        <v>18.75</v>
      </c>
      <c r="H9" s="2">
        <v>45653</v>
      </c>
      <c r="I9">
        <v>34</v>
      </c>
    </row>
    <row r="10" spans="1:9" x14ac:dyDescent="0.2">
      <c r="A10" t="s">
        <v>9</v>
      </c>
      <c r="B10" t="s">
        <v>16</v>
      </c>
      <c r="C10" s="2">
        <v>45063</v>
      </c>
      <c r="D10">
        <v>77</v>
      </c>
      <c r="E10" s="2">
        <v>45065</v>
      </c>
      <c r="F10">
        <v>48</v>
      </c>
      <c r="G10" s="3">
        <v>12.4</v>
      </c>
      <c r="H10" s="2">
        <v>45613</v>
      </c>
      <c r="I10">
        <v>29</v>
      </c>
    </row>
    <row r="11" spans="1:9" x14ac:dyDescent="0.2">
      <c r="A11" t="s">
        <v>11</v>
      </c>
      <c r="B11" t="s">
        <v>10</v>
      </c>
      <c r="C11" s="2">
        <v>45025</v>
      </c>
      <c r="D11">
        <v>52</v>
      </c>
      <c r="E11" s="2">
        <v>45482</v>
      </c>
      <c r="F11">
        <v>23</v>
      </c>
      <c r="G11" s="3">
        <v>15.9</v>
      </c>
      <c r="H11" s="2">
        <v>45610</v>
      </c>
      <c r="I11">
        <v>29</v>
      </c>
    </row>
    <row r="12" spans="1:9" x14ac:dyDescent="0.2">
      <c r="A12" t="s">
        <v>9</v>
      </c>
      <c r="B12" t="s">
        <v>17</v>
      </c>
      <c r="C12" s="2">
        <v>45218</v>
      </c>
      <c r="D12">
        <v>46</v>
      </c>
      <c r="E12" s="2">
        <v>45495</v>
      </c>
      <c r="F12">
        <v>17</v>
      </c>
      <c r="G12" s="3">
        <v>15.9</v>
      </c>
      <c r="H12" s="2">
        <v>45456</v>
      </c>
      <c r="I12">
        <v>29</v>
      </c>
    </row>
    <row r="13" spans="1:9" x14ac:dyDescent="0.2">
      <c r="A13" t="s">
        <v>11</v>
      </c>
      <c r="B13" t="s">
        <v>10</v>
      </c>
      <c r="C13" s="2">
        <v>45111</v>
      </c>
      <c r="D13">
        <v>98</v>
      </c>
      <c r="E13" s="2">
        <v>45653</v>
      </c>
      <c r="F13">
        <v>66</v>
      </c>
      <c r="G13" s="3">
        <v>25</v>
      </c>
      <c r="H13" s="2">
        <v>45926</v>
      </c>
      <c r="I13">
        <v>32</v>
      </c>
    </row>
    <row r="14" spans="1:9" x14ac:dyDescent="0.2">
      <c r="A14" t="s">
        <v>12</v>
      </c>
      <c r="B14" t="s">
        <v>10</v>
      </c>
      <c r="C14" s="2">
        <v>45215</v>
      </c>
      <c r="D14">
        <v>98</v>
      </c>
      <c r="E14" s="2">
        <v>45445</v>
      </c>
      <c r="F14">
        <v>48</v>
      </c>
      <c r="G14" s="3">
        <v>18.75</v>
      </c>
      <c r="H14" s="2">
        <v>45391</v>
      </c>
      <c r="I14">
        <v>50</v>
      </c>
    </row>
    <row r="15" spans="1:9" x14ac:dyDescent="0.2">
      <c r="A15" t="s">
        <v>18</v>
      </c>
      <c r="B15" t="s">
        <v>16</v>
      </c>
      <c r="C15" s="2">
        <v>45059</v>
      </c>
      <c r="D15">
        <v>99</v>
      </c>
      <c r="E15" s="2">
        <v>45166</v>
      </c>
      <c r="F15">
        <v>8</v>
      </c>
      <c r="G15" s="3">
        <v>15.9</v>
      </c>
      <c r="H15" s="2">
        <v>45697</v>
      </c>
      <c r="I15">
        <v>91</v>
      </c>
    </row>
    <row r="16" spans="1:9" x14ac:dyDescent="0.2">
      <c r="A16" t="s">
        <v>12</v>
      </c>
      <c r="B16" t="s">
        <v>10</v>
      </c>
      <c r="C16" s="2">
        <v>45083</v>
      </c>
      <c r="D16">
        <v>77</v>
      </c>
      <c r="E16" s="2">
        <v>45431</v>
      </c>
      <c r="F16">
        <v>35</v>
      </c>
      <c r="G16" s="3">
        <v>12.4</v>
      </c>
      <c r="H16" s="2">
        <v>45897</v>
      </c>
      <c r="I16">
        <v>42</v>
      </c>
    </row>
    <row r="17" spans="1:9" x14ac:dyDescent="0.2">
      <c r="A17" t="s">
        <v>18</v>
      </c>
      <c r="B17" t="s">
        <v>15</v>
      </c>
      <c r="C17" s="2">
        <v>45013</v>
      </c>
      <c r="D17">
        <v>28</v>
      </c>
      <c r="E17" s="2">
        <v>45464</v>
      </c>
      <c r="F17">
        <v>7</v>
      </c>
      <c r="G17" s="3">
        <v>25</v>
      </c>
      <c r="H17" s="2">
        <v>45778</v>
      </c>
      <c r="I17">
        <v>21</v>
      </c>
    </row>
    <row r="18" spans="1:9" x14ac:dyDescent="0.2">
      <c r="A18" t="s">
        <v>11</v>
      </c>
      <c r="B18" t="s">
        <v>17</v>
      </c>
      <c r="C18" s="2">
        <v>45248</v>
      </c>
      <c r="D18">
        <v>59</v>
      </c>
      <c r="E18" s="2">
        <v>45647</v>
      </c>
      <c r="F18">
        <v>19</v>
      </c>
      <c r="G18" s="3">
        <v>18.75</v>
      </c>
      <c r="H18" s="2">
        <v>45366</v>
      </c>
      <c r="I18">
        <v>40</v>
      </c>
    </row>
    <row r="19" spans="1:9" x14ac:dyDescent="0.2">
      <c r="A19" t="s">
        <v>9</v>
      </c>
      <c r="B19" t="s">
        <v>16</v>
      </c>
      <c r="C19" s="2">
        <v>45285</v>
      </c>
      <c r="D19">
        <v>72</v>
      </c>
      <c r="E19" s="2">
        <v>45599</v>
      </c>
      <c r="F19">
        <v>22</v>
      </c>
      <c r="G19" s="3">
        <v>18.75</v>
      </c>
      <c r="H19" s="2">
        <v>45315</v>
      </c>
      <c r="I19">
        <v>50</v>
      </c>
    </row>
    <row r="20" spans="1:9" x14ac:dyDescent="0.2">
      <c r="A20" t="s">
        <v>12</v>
      </c>
      <c r="B20" t="s">
        <v>13</v>
      </c>
      <c r="C20" s="2">
        <v>45043</v>
      </c>
      <c r="D20">
        <v>15</v>
      </c>
      <c r="E20" s="2">
        <v>45553</v>
      </c>
      <c r="F20">
        <v>15</v>
      </c>
      <c r="G20" s="3">
        <v>12.4</v>
      </c>
      <c r="H20" s="2">
        <v>45304</v>
      </c>
      <c r="I20">
        <v>0</v>
      </c>
    </row>
    <row r="21" spans="1:9" x14ac:dyDescent="0.2">
      <c r="A21" t="s">
        <v>12</v>
      </c>
      <c r="B21" t="s">
        <v>17</v>
      </c>
      <c r="C21" s="2">
        <v>45267</v>
      </c>
      <c r="D21">
        <v>80</v>
      </c>
      <c r="E21" s="2">
        <v>45612</v>
      </c>
      <c r="F21">
        <v>24</v>
      </c>
      <c r="G21" s="3">
        <v>22.5</v>
      </c>
      <c r="H21" s="2">
        <v>45332</v>
      </c>
      <c r="I21">
        <v>56</v>
      </c>
    </row>
    <row r="22" spans="1:9" x14ac:dyDescent="0.2">
      <c r="A22" t="s">
        <v>9</v>
      </c>
      <c r="B22" t="s">
        <v>17</v>
      </c>
      <c r="C22" s="2">
        <v>44939</v>
      </c>
      <c r="D22">
        <v>33</v>
      </c>
      <c r="E22" s="2">
        <v>45334</v>
      </c>
      <c r="F22">
        <v>24</v>
      </c>
      <c r="G22" s="3">
        <v>18.75</v>
      </c>
      <c r="H22" s="2">
        <v>45916</v>
      </c>
      <c r="I22">
        <v>9</v>
      </c>
    </row>
    <row r="23" spans="1:9" x14ac:dyDescent="0.2">
      <c r="A23" t="s">
        <v>11</v>
      </c>
      <c r="B23" t="s">
        <v>16</v>
      </c>
      <c r="C23" s="2">
        <v>45050</v>
      </c>
      <c r="D23">
        <v>80</v>
      </c>
      <c r="E23" s="2">
        <v>45108</v>
      </c>
      <c r="F23">
        <v>21</v>
      </c>
      <c r="G23" s="3">
        <v>15.9</v>
      </c>
      <c r="H23" s="2">
        <v>45491</v>
      </c>
      <c r="I23">
        <v>59</v>
      </c>
    </row>
    <row r="24" spans="1:9" x14ac:dyDescent="0.2">
      <c r="A24" t="s">
        <v>9</v>
      </c>
      <c r="B24" t="s">
        <v>16</v>
      </c>
      <c r="C24" s="2">
        <v>45125</v>
      </c>
      <c r="D24">
        <v>29</v>
      </c>
      <c r="E24" s="2">
        <v>45365</v>
      </c>
      <c r="F24">
        <v>3</v>
      </c>
      <c r="G24" s="3">
        <v>18.75</v>
      </c>
      <c r="H24" s="2">
        <v>45895</v>
      </c>
      <c r="I24">
        <v>26</v>
      </c>
    </row>
    <row r="25" spans="1:9" x14ac:dyDescent="0.2">
      <c r="A25" t="s">
        <v>18</v>
      </c>
      <c r="B25" t="s">
        <v>16</v>
      </c>
      <c r="C25" s="2">
        <v>45174</v>
      </c>
      <c r="D25">
        <v>87</v>
      </c>
      <c r="E25" s="2">
        <v>45613</v>
      </c>
      <c r="F25">
        <v>3</v>
      </c>
      <c r="G25" s="3">
        <v>12.4</v>
      </c>
      <c r="H25" s="2">
        <v>45319</v>
      </c>
      <c r="I25">
        <v>84</v>
      </c>
    </row>
    <row r="26" spans="1:9" x14ac:dyDescent="0.2">
      <c r="A26" t="s">
        <v>14</v>
      </c>
      <c r="B26" t="s">
        <v>13</v>
      </c>
      <c r="C26" s="2">
        <v>45170</v>
      </c>
      <c r="D26">
        <v>43</v>
      </c>
      <c r="E26" s="2">
        <v>45377</v>
      </c>
      <c r="F26">
        <v>43</v>
      </c>
      <c r="G26" s="3">
        <v>15.9</v>
      </c>
      <c r="H26" s="2">
        <v>45412</v>
      </c>
      <c r="I26">
        <v>0</v>
      </c>
    </row>
    <row r="27" spans="1:9" x14ac:dyDescent="0.2">
      <c r="A27" t="s">
        <v>14</v>
      </c>
      <c r="B27" t="s">
        <v>15</v>
      </c>
      <c r="C27" s="2">
        <v>44989</v>
      </c>
      <c r="D27">
        <v>17</v>
      </c>
      <c r="E27" s="2">
        <v>45400</v>
      </c>
      <c r="F27">
        <v>6</v>
      </c>
      <c r="G27" s="3">
        <v>22.5</v>
      </c>
      <c r="H27" s="2">
        <v>45729</v>
      </c>
      <c r="I27">
        <v>11</v>
      </c>
    </row>
    <row r="28" spans="1:9" x14ac:dyDescent="0.2">
      <c r="A28" t="s">
        <v>14</v>
      </c>
      <c r="B28" t="s">
        <v>17</v>
      </c>
      <c r="C28" s="2">
        <v>45119</v>
      </c>
      <c r="D28">
        <v>92</v>
      </c>
      <c r="E28" s="2">
        <v>45644</v>
      </c>
      <c r="F28">
        <v>50</v>
      </c>
      <c r="G28" s="3">
        <v>18.75</v>
      </c>
      <c r="H28" s="2">
        <v>45299</v>
      </c>
      <c r="I28">
        <v>42</v>
      </c>
    </row>
    <row r="29" spans="1:9" x14ac:dyDescent="0.2">
      <c r="A29" t="s">
        <v>18</v>
      </c>
      <c r="B29" t="s">
        <v>10</v>
      </c>
      <c r="C29" s="2">
        <v>45215</v>
      </c>
      <c r="D29">
        <v>68</v>
      </c>
      <c r="E29" s="2">
        <v>45468</v>
      </c>
      <c r="F29">
        <v>66</v>
      </c>
      <c r="G29" s="3">
        <v>12.4</v>
      </c>
      <c r="H29" s="2">
        <v>45506</v>
      </c>
      <c r="I29">
        <v>2</v>
      </c>
    </row>
    <row r="30" spans="1:9" x14ac:dyDescent="0.2">
      <c r="A30" t="s">
        <v>18</v>
      </c>
      <c r="B30" t="s">
        <v>15</v>
      </c>
      <c r="C30" s="2">
        <v>45043</v>
      </c>
      <c r="D30">
        <v>28</v>
      </c>
      <c r="E30" s="2">
        <v>45118</v>
      </c>
      <c r="F30">
        <v>13</v>
      </c>
      <c r="G30" s="3">
        <v>25</v>
      </c>
      <c r="H30" s="2">
        <v>45953</v>
      </c>
      <c r="I30">
        <v>15</v>
      </c>
    </row>
    <row r="31" spans="1:9" x14ac:dyDescent="0.2">
      <c r="A31" t="s">
        <v>11</v>
      </c>
      <c r="B31" t="s">
        <v>13</v>
      </c>
      <c r="C31" s="2">
        <v>44952</v>
      </c>
      <c r="D31">
        <v>39</v>
      </c>
      <c r="E31" s="2">
        <v>44955</v>
      </c>
      <c r="F31">
        <v>22</v>
      </c>
      <c r="G31" s="3">
        <v>22.5</v>
      </c>
      <c r="H31" s="2">
        <v>45485</v>
      </c>
      <c r="I31">
        <v>17</v>
      </c>
    </row>
    <row r="32" spans="1:9" x14ac:dyDescent="0.2">
      <c r="A32" t="s">
        <v>14</v>
      </c>
      <c r="B32" t="s">
        <v>13</v>
      </c>
      <c r="C32" s="2">
        <v>45148</v>
      </c>
      <c r="D32">
        <v>29</v>
      </c>
      <c r="E32" s="2">
        <v>45592</v>
      </c>
      <c r="F32">
        <v>17</v>
      </c>
      <c r="G32" s="3">
        <v>22.5</v>
      </c>
      <c r="H32" s="2">
        <v>45955</v>
      </c>
      <c r="I32">
        <v>12</v>
      </c>
    </row>
    <row r="33" spans="1:9" x14ac:dyDescent="0.2">
      <c r="A33" t="s">
        <v>12</v>
      </c>
      <c r="B33" t="s">
        <v>15</v>
      </c>
      <c r="C33" s="2">
        <v>45117</v>
      </c>
      <c r="D33">
        <v>58</v>
      </c>
      <c r="E33" s="2">
        <v>45352</v>
      </c>
      <c r="F33">
        <v>22</v>
      </c>
      <c r="G33" s="3">
        <v>25</v>
      </c>
      <c r="H33" s="2">
        <v>45758</v>
      </c>
      <c r="I33">
        <v>36</v>
      </c>
    </row>
    <row r="34" spans="1:9" x14ac:dyDescent="0.2">
      <c r="A34" t="s">
        <v>9</v>
      </c>
      <c r="B34" t="s">
        <v>13</v>
      </c>
      <c r="C34" s="2">
        <v>45093</v>
      </c>
      <c r="D34">
        <v>86</v>
      </c>
      <c r="E34" s="2">
        <v>45614</v>
      </c>
      <c r="F34">
        <v>8</v>
      </c>
      <c r="G34" s="3">
        <v>15.9</v>
      </c>
      <c r="H34" s="2">
        <v>45299</v>
      </c>
      <c r="I34">
        <v>78</v>
      </c>
    </row>
    <row r="35" spans="1:9" x14ac:dyDescent="0.2">
      <c r="A35" t="s">
        <v>18</v>
      </c>
      <c r="B35" t="s">
        <v>10</v>
      </c>
      <c r="C35" s="2">
        <v>45052</v>
      </c>
      <c r="D35">
        <v>55</v>
      </c>
      <c r="E35" s="2">
        <v>45078</v>
      </c>
      <c r="F35">
        <v>10</v>
      </c>
      <c r="G35" s="3">
        <v>12.4</v>
      </c>
      <c r="H35" s="2">
        <v>45708</v>
      </c>
      <c r="I35">
        <v>45</v>
      </c>
    </row>
    <row r="36" spans="1:9" x14ac:dyDescent="0.2">
      <c r="A36" t="s">
        <v>9</v>
      </c>
      <c r="B36" t="s">
        <v>17</v>
      </c>
      <c r="C36" s="2">
        <v>45230</v>
      </c>
      <c r="D36">
        <v>23</v>
      </c>
      <c r="E36" s="2">
        <v>45473</v>
      </c>
      <c r="F36">
        <v>8</v>
      </c>
      <c r="G36" s="3">
        <v>12.4</v>
      </c>
      <c r="H36" s="2">
        <v>45558</v>
      </c>
      <c r="I36">
        <v>15</v>
      </c>
    </row>
    <row r="37" spans="1:9" x14ac:dyDescent="0.2">
      <c r="A37" t="s">
        <v>12</v>
      </c>
      <c r="B37" t="s">
        <v>13</v>
      </c>
      <c r="C37" s="2">
        <v>45147</v>
      </c>
      <c r="D37">
        <v>76</v>
      </c>
      <c r="E37" s="2">
        <v>45507</v>
      </c>
      <c r="F37">
        <v>20</v>
      </c>
      <c r="G37" s="3">
        <v>15.9</v>
      </c>
      <c r="H37" s="2">
        <v>45407</v>
      </c>
      <c r="I37">
        <v>56</v>
      </c>
    </row>
    <row r="38" spans="1:9" x14ac:dyDescent="0.2">
      <c r="A38" t="s">
        <v>18</v>
      </c>
      <c r="B38" t="s">
        <v>13</v>
      </c>
      <c r="C38" s="2">
        <v>45165</v>
      </c>
      <c r="D38">
        <v>82</v>
      </c>
      <c r="E38" s="2">
        <v>45230</v>
      </c>
      <c r="F38">
        <v>0</v>
      </c>
      <c r="G38" s="3">
        <v>18.75</v>
      </c>
      <c r="H38" s="2">
        <v>45351</v>
      </c>
      <c r="I38">
        <v>82</v>
      </c>
    </row>
    <row r="39" spans="1:9" x14ac:dyDescent="0.2">
      <c r="A39" t="s">
        <v>12</v>
      </c>
      <c r="B39" t="s">
        <v>13</v>
      </c>
      <c r="C39" s="2">
        <v>45114</v>
      </c>
      <c r="D39">
        <v>85</v>
      </c>
      <c r="E39" s="2">
        <v>45616</v>
      </c>
      <c r="F39">
        <v>16</v>
      </c>
      <c r="G39" s="3">
        <v>18.75</v>
      </c>
      <c r="H39" s="2">
        <v>45907</v>
      </c>
      <c r="I39">
        <v>69</v>
      </c>
    </row>
    <row r="40" spans="1:9" x14ac:dyDescent="0.2">
      <c r="A40" t="s">
        <v>12</v>
      </c>
      <c r="B40" t="s">
        <v>17</v>
      </c>
      <c r="C40" s="2">
        <v>45038</v>
      </c>
      <c r="D40">
        <v>24</v>
      </c>
      <c r="E40" s="2">
        <v>45599</v>
      </c>
      <c r="F40">
        <v>13</v>
      </c>
      <c r="G40" s="3">
        <v>25</v>
      </c>
      <c r="H40" s="2">
        <v>45531</v>
      </c>
      <c r="I40">
        <v>11</v>
      </c>
    </row>
    <row r="41" spans="1:9" x14ac:dyDescent="0.2">
      <c r="A41" t="s">
        <v>12</v>
      </c>
      <c r="B41" t="s">
        <v>13</v>
      </c>
      <c r="C41" s="2">
        <v>45088</v>
      </c>
      <c r="D41">
        <v>79</v>
      </c>
      <c r="E41" s="2">
        <v>45408</v>
      </c>
      <c r="F41">
        <v>79</v>
      </c>
      <c r="G41" s="3">
        <v>12.4</v>
      </c>
      <c r="H41" s="2">
        <v>45454</v>
      </c>
      <c r="I41">
        <v>0</v>
      </c>
    </row>
    <row r="42" spans="1:9" x14ac:dyDescent="0.2">
      <c r="A42" t="s">
        <v>18</v>
      </c>
      <c r="B42" t="s">
        <v>15</v>
      </c>
      <c r="C42" s="2">
        <v>45191</v>
      </c>
      <c r="D42">
        <v>52</v>
      </c>
      <c r="E42" s="2">
        <v>45455</v>
      </c>
      <c r="F42">
        <v>30</v>
      </c>
      <c r="G42" s="3">
        <v>15.9</v>
      </c>
      <c r="H42" s="2">
        <v>45854</v>
      </c>
      <c r="I42">
        <v>22</v>
      </c>
    </row>
    <row r="43" spans="1:9" x14ac:dyDescent="0.2">
      <c r="A43" t="s">
        <v>14</v>
      </c>
      <c r="B43" t="s">
        <v>17</v>
      </c>
      <c r="C43" s="2">
        <v>45023</v>
      </c>
      <c r="D43">
        <v>54</v>
      </c>
      <c r="E43" s="2">
        <v>45211</v>
      </c>
      <c r="F43">
        <v>27</v>
      </c>
      <c r="G43" s="3">
        <v>22.5</v>
      </c>
      <c r="H43" s="2">
        <v>45811</v>
      </c>
      <c r="I43">
        <v>27</v>
      </c>
    </row>
    <row r="44" spans="1:9" x14ac:dyDescent="0.2">
      <c r="A44" t="s">
        <v>9</v>
      </c>
      <c r="B44" t="s">
        <v>16</v>
      </c>
      <c r="C44" s="2">
        <v>45141</v>
      </c>
      <c r="D44">
        <v>42</v>
      </c>
      <c r="E44" s="2">
        <v>45163</v>
      </c>
      <c r="F44">
        <v>41</v>
      </c>
      <c r="G44" s="3">
        <v>22.5</v>
      </c>
      <c r="H44" s="2">
        <v>45976</v>
      </c>
      <c r="I44">
        <v>1</v>
      </c>
    </row>
    <row r="45" spans="1:9" x14ac:dyDescent="0.2">
      <c r="A45" t="s">
        <v>11</v>
      </c>
      <c r="B45" t="s">
        <v>16</v>
      </c>
      <c r="C45" s="2">
        <v>44955</v>
      </c>
      <c r="D45">
        <v>60</v>
      </c>
      <c r="E45" s="2">
        <v>45511</v>
      </c>
      <c r="F45">
        <v>11</v>
      </c>
      <c r="G45" s="3">
        <v>25</v>
      </c>
      <c r="H45" s="2">
        <v>45928</v>
      </c>
      <c r="I45">
        <v>49</v>
      </c>
    </row>
    <row r="46" spans="1:9" x14ac:dyDescent="0.2">
      <c r="A46" t="s">
        <v>14</v>
      </c>
      <c r="B46" t="s">
        <v>13</v>
      </c>
      <c r="C46" s="2">
        <v>45073</v>
      </c>
      <c r="D46">
        <v>76</v>
      </c>
      <c r="E46" s="2">
        <v>45408</v>
      </c>
      <c r="F46">
        <v>21</v>
      </c>
      <c r="G46" s="3">
        <v>22.5</v>
      </c>
      <c r="H46" s="2">
        <v>45491</v>
      </c>
      <c r="I46">
        <v>55</v>
      </c>
    </row>
    <row r="47" spans="1:9" x14ac:dyDescent="0.2">
      <c r="A47" t="s">
        <v>14</v>
      </c>
      <c r="B47" t="s">
        <v>16</v>
      </c>
      <c r="C47" s="2">
        <v>45177</v>
      </c>
      <c r="D47">
        <v>59</v>
      </c>
      <c r="E47" s="2">
        <v>45230</v>
      </c>
      <c r="F47">
        <v>59</v>
      </c>
      <c r="G47" s="3">
        <v>25</v>
      </c>
      <c r="H47" s="2">
        <v>45955</v>
      </c>
      <c r="I47">
        <v>0</v>
      </c>
    </row>
    <row r="48" spans="1:9" x14ac:dyDescent="0.2">
      <c r="A48" t="s">
        <v>9</v>
      </c>
      <c r="B48" t="s">
        <v>13</v>
      </c>
      <c r="C48" s="2">
        <v>45089</v>
      </c>
      <c r="D48">
        <v>23</v>
      </c>
      <c r="E48" s="2">
        <v>45299</v>
      </c>
      <c r="F48">
        <v>11</v>
      </c>
      <c r="G48" s="3">
        <v>15.9</v>
      </c>
      <c r="H48" s="2">
        <v>45870</v>
      </c>
      <c r="I48">
        <v>12</v>
      </c>
    </row>
    <row r="49" spans="1:9" x14ac:dyDescent="0.2">
      <c r="A49" t="s">
        <v>14</v>
      </c>
      <c r="B49" t="s">
        <v>15</v>
      </c>
      <c r="C49" s="2">
        <v>45205</v>
      </c>
      <c r="D49">
        <v>85</v>
      </c>
      <c r="E49" s="2">
        <v>45585</v>
      </c>
      <c r="F49">
        <v>33</v>
      </c>
      <c r="G49" s="3">
        <v>18.75</v>
      </c>
      <c r="H49" s="2">
        <v>45504</v>
      </c>
      <c r="I49">
        <v>52</v>
      </c>
    </row>
    <row r="50" spans="1:9" x14ac:dyDescent="0.2">
      <c r="A50" t="s">
        <v>12</v>
      </c>
      <c r="B50" t="s">
        <v>16</v>
      </c>
      <c r="C50" s="2">
        <v>45128</v>
      </c>
      <c r="D50">
        <v>29</v>
      </c>
      <c r="E50" s="2">
        <v>45569</v>
      </c>
      <c r="F50">
        <v>3</v>
      </c>
      <c r="G50" s="3">
        <v>18.75</v>
      </c>
      <c r="H50" s="2">
        <v>45698</v>
      </c>
      <c r="I50">
        <v>26</v>
      </c>
    </row>
    <row r="51" spans="1:9" x14ac:dyDescent="0.2">
      <c r="A51" t="s">
        <v>18</v>
      </c>
      <c r="B51" t="s">
        <v>15</v>
      </c>
      <c r="C51" s="2">
        <v>45241</v>
      </c>
      <c r="D51">
        <v>62</v>
      </c>
      <c r="E51" s="2">
        <v>45617</v>
      </c>
      <c r="F51">
        <v>17</v>
      </c>
      <c r="G51" s="3">
        <v>12.4</v>
      </c>
      <c r="H51" s="2">
        <v>45429</v>
      </c>
      <c r="I5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7653-B4CA-4B70-8259-DE8FA1821A8E}">
  <dimension ref="A2:M12"/>
  <sheetViews>
    <sheetView workbookViewId="0">
      <selection activeCell="H7" sqref="H7"/>
    </sheetView>
  </sheetViews>
  <sheetFormatPr defaultRowHeight="14.25" x14ac:dyDescent="0.2"/>
  <cols>
    <col min="1" max="1" width="10.25" bestFit="1" customWidth="1"/>
    <col min="2" max="2" width="12" bestFit="1" customWidth="1"/>
    <col min="5" max="5" width="12.875" bestFit="1" customWidth="1"/>
    <col min="6" max="6" width="18.875" bestFit="1" customWidth="1"/>
    <col min="7" max="7" width="18.25" style="3" bestFit="1" customWidth="1"/>
    <col min="8" max="8" width="21.75" bestFit="1" customWidth="1"/>
    <col min="9" max="9" width="18.25" style="2" bestFit="1" customWidth="1"/>
    <col min="10" max="10" width="19.625" bestFit="1" customWidth="1"/>
    <col min="11" max="11" width="15.875" style="3" customWidth="1"/>
    <col min="12" max="12" width="18.25" style="2" bestFit="1" customWidth="1"/>
    <col min="13" max="13" width="22.75" bestFit="1" customWidth="1"/>
  </cols>
  <sheetData>
    <row r="2" spans="1:13" ht="15" x14ac:dyDescent="0.2">
      <c r="A2" t="s">
        <v>0</v>
      </c>
      <c r="B2" t="s">
        <v>11</v>
      </c>
      <c r="E2" s="1" t="s">
        <v>0</v>
      </c>
      <c r="F2" s="1" t="s">
        <v>1</v>
      </c>
      <c r="G2" s="5" t="s">
        <v>2</v>
      </c>
      <c r="H2" s="1" t="s">
        <v>3</v>
      </c>
      <c r="I2" s="4" t="s">
        <v>4</v>
      </c>
      <c r="J2" s="1" t="s">
        <v>5</v>
      </c>
      <c r="K2" s="5" t="s">
        <v>6</v>
      </c>
      <c r="L2" s="4" t="s">
        <v>7</v>
      </c>
      <c r="M2" s="1" t="s">
        <v>8</v>
      </c>
    </row>
    <row r="3" spans="1:13" x14ac:dyDescent="0.2">
      <c r="E3" t="str" cm="1">
        <f t="array" ref="E3:M12">_xlfn._xlws.FILTER(Base_Estoque!A2:I51,Base_Estoque!A2:A51=B2,"Fornecedor não encontrado")</f>
        <v>Fornecedor A</v>
      </c>
      <c r="F3" t="str">
        <v>Condicionador</v>
      </c>
      <c r="G3" s="3">
        <v>45159</v>
      </c>
      <c r="H3">
        <v>17</v>
      </c>
      <c r="I3" s="2">
        <v>45567</v>
      </c>
      <c r="J3">
        <v>2</v>
      </c>
      <c r="K3" s="3">
        <v>15.9</v>
      </c>
      <c r="L3" s="2">
        <v>45775</v>
      </c>
      <c r="M3">
        <v>15</v>
      </c>
    </row>
    <row r="4" spans="1:13" x14ac:dyDescent="0.2">
      <c r="E4" t="str">
        <v>Fornecedor A</v>
      </c>
      <c r="F4" t="str">
        <v>Condicionador</v>
      </c>
      <c r="G4" s="3">
        <v>44962</v>
      </c>
      <c r="H4">
        <v>57</v>
      </c>
      <c r="I4" s="2">
        <v>45177</v>
      </c>
      <c r="J4">
        <v>9</v>
      </c>
      <c r="K4" s="3">
        <v>25</v>
      </c>
      <c r="L4" s="2">
        <v>45327</v>
      </c>
      <c r="M4">
        <v>48</v>
      </c>
    </row>
    <row r="5" spans="1:13" x14ac:dyDescent="0.2">
      <c r="E5" t="str">
        <v>Fornecedor A</v>
      </c>
      <c r="F5" t="str">
        <v>Gel Fixador</v>
      </c>
      <c r="G5" s="3">
        <v>45195</v>
      </c>
      <c r="H5">
        <v>97</v>
      </c>
      <c r="I5" s="2">
        <v>45340</v>
      </c>
      <c r="J5">
        <v>52</v>
      </c>
      <c r="K5" s="3">
        <v>18.75</v>
      </c>
      <c r="L5" s="2">
        <v>45317</v>
      </c>
      <c r="M5">
        <v>45</v>
      </c>
    </row>
    <row r="6" spans="1:13" x14ac:dyDescent="0.2">
      <c r="E6" t="str">
        <v>Fornecedor A</v>
      </c>
      <c r="F6" t="str">
        <v>Condicionador</v>
      </c>
      <c r="G6" s="3">
        <v>45265</v>
      </c>
      <c r="H6">
        <v>66</v>
      </c>
      <c r="I6" s="2">
        <v>45330</v>
      </c>
      <c r="J6">
        <v>32</v>
      </c>
      <c r="K6" s="3">
        <v>18.75</v>
      </c>
      <c r="L6" s="2">
        <v>45653</v>
      </c>
      <c r="M6">
        <v>34</v>
      </c>
    </row>
    <row r="7" spans="1:13" x14ac:dyDescent="0.2">
      <c r="E7" t="str">
        <v>Fornecedor A</v>
      </c>
      <c r="F7" t="str">
        <v>Condicionador</v>
      </c>
      <c r="G7" s="3">
        <v>45025</v>
      </c>
      <c r="H7">
        <v>52</v>
      </c>
      <c r="I7" s="2">
        <v>45482</v>
      </c>
      <c r="J7">
        <v>23</v>
      </c>
      <c r="K7" s="3">
        <v>15.9</v>
      </c>
      <c r="L7" s="2">
        <v>45610</v>
      </c>
      <c r="M7">
        <v>29</v>
      </c>
    </row>
    <row r="8" spans="1:13" x14ac:dyDescent="0.2">
      <c r="E8" t="str">
        <v>Fornecedor A</v>
      </c>
      <c r="F8" t="str">
        <v>Condicionador</v>
      </c>
      <c r="G8" s="3">
        <v>45111</v>
      </c>
      <c r="H8">
        <v>98</v>
      </c>
      <c r="I8" s="2">
        <v>45653</v>
      </c>
      <c r="J8">
        <v>66</v>
      </c>
      <c r="K8" s="3">
        <v>25</v>
      </c>
      <c r="L8" s="2">
        <v>45926</v>
      </c>
      <c r="M8">
        <v>32</v>
      </c>
    </row>
    <row r="9" spans="1:13" x14ac:dyDescent="0.2">
      <c r="E9" t="str">
        <v>Fornecedor A</v>
      </c>
      <c r="F9" t="str">
        <v>Creme para Pentear</v>
      </c>
      <c r="G9" s="3">
        <v>45248</v>
      </c>
      <c r="H9">
        <v>59</v>
      </c>
      <c r="I9" s="2">
        <v>45647</v>
      </c>
      <c r="J9">
        <v>19</v>
      </c>
      <c r="K9" s="3">
        <v>18.75</v>
      </c>
      <c r="L9" s="2">
        <v>45366</v>
      </c>
      <c r="M9">
        <v>40</v>
      </c>
    </row>
    <row r="10" spans="1:13" x14ac:dyDescent="0.2">
      <c r="E10" t="str">
        <v>Fornecedor A</v>
      </c>
      <c r="F10" t="str">
        <v>Shampoo</v>
      </c>
      <c r="G10" s="3">
        <v>45050</v>
      </c>
      <c r="H10">
        <v>80</v>
      </c>
      <c r="I10" s="2">
        <v>45108</v>
      </c>
      <c r="J10">
        <v>21</v>
      </c>
      <c r="K10" s="3">
        <v>15.9</v>
      </c>
      <c r="L10" s="2">
        <v>45491</v>
      </c>
      <c r="M10">
        <v>59</v>
      </c>
    </row>
    <row r="11" spans="1:13" x14ac:dyDescent="0.2">
      <c r="E11" t="str">
        <v>Fornecedor A</v>
      </c>
      <c r="F11" t="str">
        <v>Máscara Capilar</v>
      </c>
      <c r="G11" s="3">
        <v>44952</v>
      </c>
      <c r="H11">
        <v>39</v>
      </c>
      <c r="I11" s="2">
        <v>44955</v>
      </c>
      <c r="J11">
        <v>22</v>
      </c>
      <c r="K11" s="3">
        <v>22.5</v>
      </c>
      <c r="L11" s="2">
        <v>45485</v>
      </c>
      <c r="M11">
        <v>17</v>
      </c>
    </row>
    <row r="12" spans="1:13" x14ac:dyDescent="0.2">
      <c r="E12" t="str">
        <v>Fornecedor A</v>
      </c>
      <c r="F12" t="str">
        <v>Shampoo</v>
      </c>
      <c r="G12" s="3">
        <v>44955</v>
      </c>
      <c r="H12">
        <v>60</v>
      </c>
      <c r="I12" s="2">
        <v>45511</v>
      </c>
      <c r="J12">
        <v>11</v>
      </c>
      <c r="K12" s="3">
        <v>25</v>
      </c>
      <c r="L12" s="2">
        <v>45928</v>
      </c>
      <c r="M12">
        <v>49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62FC2F-B7B6-4F19-8C28-6C3D506E4E35}">
          <x14:formula1>
            <xm:f>Base_Estoque!$A$2:$A$51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379F-E478-405A-9586-2EC42150EC81}">
  <dimension ref="A2:L32"/>
  <sheetViews>
    <sheetView tabSelected="1" zoomScale="85" zoomScaleNormal="85" workbookViewId="0">
      <selection activeCell="J2" sqref="J2"/>
    </sheetView>
  </sheetViews>
  <sheetFormatPr defaultRowHeight="14.25" x14ac:dyDescent="0.2"/>
  <cols>
    <col min="1" max="1" width="21.625" bestFit="1" customWidth="1"/>
    <col min="2" max="2" width="13.25" bestFit="1" customWidth="1"/>
    <col min="3" max="3" width="30" bestFit="1" customWidth="1"/>
    <col min="4" max="5" width="9.875" bestFit="1" customWidth="1"/>
    <col min="6" max="6" width="30" bestFit="1" customWidth="1"/>
    <col min="7" max="9" width="9.875" bestFit="1" customWidth="1"/>
    <col min="10" max="10" width="16.875" bestFit="1" customWidth="1"/>
    <col min="11" max="11" width="35.125" bestFit="1" customWidth="1"/>
    <col min="12" max="12" width="16.875" bestFit="1" customWidth="1"/>
    <col min="13" max="13" width="35.125" bestFit="1" customWidth="1"/>
    <col min="14" max="14" width="11.125" bestFit="1" customWidth="1"/>
    <col min="15" max="15" width="13.375" bestFit="1" customWidth="1"/>
    <col min="16" max="16" width="9.125" bestFit="1" customWidth="1"/>
    <col min="17" max="17" width="16.875" bestFit="1" customWidth="1"/>
    <col min="18" max="18" width="36" bestFit="1" customWidth="1"/>
    <col min="19" max="19" width="28.875" bestFit="1" customWidth="1"/>
    <col min="20" max="20" width="13.375" bestFit="1" customWidth="1"/>
    <col min="21" max="21" width="9.125" bestFit="1" customWidth="1"/>
    <col min="22" max="22" width="16.875" bestFit="1" customWidth="1"/>
    <col min="23" max="23" width="35.125" bestFit="1" customWidth="1"/>
    <col min="24" max="24" width="36" bestFit="1" customWidth="1"/>
    <col min="25" max="25" width="28.875" bestFit="1" customWidth="1"/>
    <col min="26" max="27" width="14.875" bestFit="1" customWidth="1"/>
    <col min="28" max="28" width="18.25" bestFit="1" customWidth="1"/>
    <col min="29" max="33" width="30" bestFit="1" customWidth="1"/>
    <col min="34" max="34" width="18.125" bestFit="1" customWidth="1"/>
    <col min="35" max="38" width="18.875" bestFit="1" customWidth="1"/>
    <col min="39" max="39" width="18.375" bestFit="1" customWidth="1"/>
    <col min="40" max="44" width="18.875" bestFit="1" customWidth="1"/>
    <col min="45" max="45" width="18.375" bestFit="1" customWidth="1"/>
    <col min="46" max="50" width="18.875" bestFit="1" customWidth="1"/>
    <col min="51" max="51" width="18.375" bestFit="1" customWidth="1"/>
    <col min="52" max="55" width="14.875" bestFit="1" customWidth="1"/>
    <col min="56" max="56" width="18.25" bestFit="1" customWidth="1"/>
    <col min="57" max="61" width="30.875" bestFit="1" customWidth="1"/>
    <col min="62" max="62" width="18.125" bestFit="1" customWidth="1"/>
    <col min="63" max="66" width="18.875" bestFit="1" customWidth="1"/>
    <col min="67" max="67" width="18.375" bestFit="1" customWidth="1"/>
    <col min="68" max="72" width="18.875" bestFit="1" customWidth="1"/>
    <col min="73" max="73" width="18.375" bestFit="1" customWidth="1"/>
    <col min="74" max="78" width="18.875" bestFit="1" customWidth="1"/>
    <col min="79" max="79" width="18.375" bestFit="1" customWidth="1"/>
    <col min="80" max="83" width="14.875" bestFit="1" customWidth="1"/>
    <col min="84" max="84" width="18.25" bestFit="1" customWidth="1"/>
    <col min="85" max="89" width="24.5" bestFit="1" customWidth="1"/>
    <col min="90" max="90" width="18.125" bestFit="1" customWidth="1"/>
    <col min="91" max="94" width="18.875" bestFit="1" customWidth="1"/>
    <col min="95" max="95" width="18.375" bestFit="1" customWidth="1"/>
    <col min="96" max="100" width="18.875" bestFit="1" customWidth="1"/>
    <col min="101" max="101" width="18.375" bestFit="1" customWidth="1"/>
    <col min="102" max="106" width="18.875" bestFit="1" customWidth="1"/>
    <col min="107" max="107" width="18.375" bestFit="1" customWidth="1"/>
    <col min="108" max="111" width="14.875" bestFit="1" customWidth="1"/>
    <col min="112" max="112" width="18.25" bestFit="1" customWidth="1"/>
    <col min="113" max="113" width="16.875" bestFit="1" customWidth="1"/>
    <col min="114" max="114" width="35.125" bestFit="1" customWidth="1"/>
    <col min="115" max="115" width="36" bestFit="1" customWidth="1"/>
    <col min="116" max="116" width="28.875" bestFit="1" customWidth="1"/>
  </cols>
  <sheetData>
    <row r="2" spans="1:12" x14ac:dyDescent="0.2">
      <c r="J2" s="6" t="s">
        <v>23</v>
      </c>
      <c r="K2" s="6" t="s">
        <v>21</v>
      </c>
    </row>
    <row r="3" spans="1:12" x14ac:dyDescent="0.2">
      <c r="A3" s="6" t="s">
        <v>19</v>
      </c>
      <c r="B3" t="s">
        <v>22</v>
      </c>
      <c r="C3" t="s">
        <v>23</v>
      </c>
      <c r="J3" s="6" t="s">
        <v>19</v>
      </c>
      <c r="K3" t="s">
        <v>12</v>
      </c>
      <c r="L3" t="s">
        <v>20</v>
      </c>
    </row>
    <row r="4" spans="1:12" x14ac:dyDescent="0.2">
      <c r="A4" s="7" t="s">
        <v>11</v>
      </c>
      <c r="B4" s="9">
        <v>201.45000000000002</v>
      </c>
      <c r="C4" s="10">
        <v>625</v>
      </c>
      <c r="J4" s="7" t="s">
        <v>10</v>
      </c>
      <c r="K4" s="10">
        <v>175</v>
      </c>
      <c r="L4" s="10">
        <v>175</v>
      </c>
    </row>
    <row r="5" spans="1:12" x14ac:dyDescent="0.2">
      <c r="A5" s="8" t="s">
        <v>10</v>
      </c>
      <c r="B5" s="9">
        <v>100.55</v>
      </c>
      <c r="C5" s="10">
        <v>290</v>
      </c>
      <c r="J5" s="8" t="s">
        <v>26</v>
      </c>
      <c r="K5" s="10">
        <v>77</v>
      </c>
      <c r="L5" s="10">
        <v>77</v>
      </c>
    </row>
    <row r="6" spans="1:12" x14ac:dyDescent="0.2">
      <c r="A6" s="8" t="s">
        <v>17</v>
      </c>
      <c r="B6" s="9">
        <v>18.75</v>
      </c>
      <c r="C6" s="10">
        <v>59</v>
      </c>
      <c r="J6" s="8" t="s">
        <v>29</v>
      </c>
      <c r="K6" s="10">
        <v>98</v>
      </c>
      <c r="L6" s="10">
        <v>98</v>
      </c>
    </row>
    <row r="7" spans="1:12" x14ac:dyDescent="0.2">
      <c r="A7" s="8" t="s">
        <v>15</v>
      </c>
      <c r="B7" s="9">
        <v>18.75</v>
      </c>
      <c r="C7" s="10">
        <v>97</v>
      </c>
      <c r="J7" s="7" t="s">
        <v>17</v>
      </c>
      <c r="K7" s="10">
        <v>104</v>
      </c>
      <c r="L7" s="10">
        <v>104</v>
      </c>
    </row>
    <row r="8" spans="1:12" x14ac:dyDescent="0.2">
      <c r="A8" s="8" t="s">
        <v>13</v>
      </c>
      <c r="B8" s="9">
        <v>22.5</v>
      </c>
      <c r="C8" s="10">
        <v>39</v>
      </c>
      <c r="J8" s="8" t="s">
        <v>25</v>
      </c>
      <c r="K8" s="10">
        <v>24</v>
      </c>
      <c r="L8" s="10">
        <v>24</v>
      </c>
    </row>
    <row r="9" spans="1:12" x14ac:dyDescent="0.2">
      <c r="A9" s="8" t="s">
        <v>16</v>
      </c>
      <c r="B9" s="9">
        <v>40.9</v>
      </c>
      <c r="C9" s="10">
        <v>140</v>
      </c>
      <c r="J9" s="8" t="s">
        <v>30</v>
      </c>
      <c r="K9" s="10">
        <v>80</v>
      </c>
      <c r="L9" s="10">
        <v>80</v>
      </c>
    </row>
    <row r="10" spans="1:12" x14ac:dyDescent="0.2">
      <c r="A10" s="7" t="s">
        <v>9</v>
      </c>
      <c r="B10" s="9">
        <v>163.65</v>
      </c>
      <c r="C10" s="10">
        <v>469</v>
      </c>
      <c r="J10" s="7" t="s">
        <v>15</v>
      </c>
      <c r="K10" s="10">
        <v>58</v>
      </c>
      <c r="L10" s="10">
        <v>58</v>
      </c>
    </row>
    <row r="11" spans="1:12" x14ac:dyDescent="0.2">
      <c r="A11" s="8" t="s">
        <v>10</v>
      </c>
      <c r="B11" s="9">
        <v>12.4</v>
      </c>
      <c r="C11" s="10">
        <v>38</v>
      </c>
      <c r="J11" s="8" t="s">
        <v>27</v>
      </c>
      <c r="K11" s="10">
        <v>58</v>
      </c>
      <c r="L11" s="10">
        <v>58</v>
      </c>
    </row>
    <row r="12" spans="1:12" x14ac:dyDescent="0.2">
      <c r="A12" s="8" t="s">
        <v>17</v>
      </c>
      <c r="B12" s="9">
        <v>47.05</v>
      </c>
      <c r="C12" s="10">
        <v>102</v>
      </c>
      <c r="J12" s="7" t="s">
        <v>13</v>
      </c>
      <c r="K12" s="10">
        <v>418</v>
      </c>
      <c r="L12" s="10">
        <v>418</v>
      </c>
    </row>
    <row r="13" spans="1:12" x14ac:dyDescent="0.2">
      <c r="A13" s="8" t="s">
        <v>13</v>
      </c>
      <c r="B13" s="9">
        <v>31.8</v>
      </c>
      <c r="C13" s="10">
        <v>109</v>
      </c>
      <c r="J13" s="8" t="s">
        <v>24</v>
      </c>
      <c r="K13" s="10">
        <v>163</v>
      </c>
      <c r="L13" s="10">
        <v>163</v>
      </c>
    </row>
    <row r="14" spans="1:12" x14ac:dyDescent="0.2">
      <c r="A14" s="8" t="s">
        <v>16</v>
      </c>
      <c r="B14" s="9">
        <v>72.400000000000006</v>
      </c>
      <c r="C14" s="10">
        <v>220</v>
      </c>
      <c r="J14" s="8" t="s">
        <v>25</v>
      </c>
      <c r="K14" s="10">
        <v>15</v>
      </c>
      <c r="L14" s="10">
        <v>15</v>
      </c>
    </row>
    <row r="15" spans="1:12" x14ac:dyDescent="0.2">
      <c r="A15" s="7" t="s">
        <v>14</v>
      </c>
      <c r="B15" s="9">
        <v>180.8</v>
      </c>
      <c r="C15" s="10">
        <v>543</v>
      </c>
      <c r="J15" s="8" t="s">
        <v>26</v>
      </c>
      <c r="K15" s="10">
        <v>79</v>
      </c>
      <c r="L15" s="10">
        <v>79</v>
      </c>
    </row>
    <row r="16" spans="1:12" x14ac:dyDescent="0.2">
      <c r="A16" s="8" t="s">
        <v>10</v>
      </c>
      <c r="B16" s="9">
        <v>12.4</v>
      </c>
      <c r="C16" s="10">
        <v>88</v>
      </c>
      <c r="J16" s="8" t="s">
        <v>27</v>
      </c>
      <c r="K16" s="10">
        <v>85</v>
      </c>
      <c r="L16" s="10">
        <v>85</v>
      </c>
    </row>
    <row r="17" spans="1:12" x14ac:dyDescent="0.2">
      <c r="A17" s="8" t="s">
        <v>17</v>
      </c>
      <c r="B17" s="9">
        <v>41.25</v>
      </c>
      <c r="C17" s="10">
        <v>146</v>
      </c>
      <c r="J17" s="8" t="s">
        <v>28</v>
      </c>
      <c r="K17" s="10">
        <v>76</v>
      </c>
      <c r="L17" s="10">
        <v>76</v>
      </c>
    </row>
    <row r="18" spans="1:12" x14ac:dyDescent="0.2">
      <c r="A18" s="8" t="s">
        <v>15</v>
      </c>
      <c r="B18" s="9">
        <v>41.25</v>
      </c>
      <c r="C18" s="10">
        <v>102</v>
      </c>
      <c r="J18" s="7" t="s">
        <v>16</v>
      </c>
      <c r="K18" s="10">
        <v>29</v>
      </c>
      <c r="L18" s="10">
        <v>29</v>
      </c>
    </row>
    <row r="19" spans="1:12" x14ac:dyDescent="0.2">
      <c r="A19" s="8" t="s">
        <v>13</v>
      </c>
      <c r="B19" s="9">
        <v>60.9</v>
      </c>
      <c r="C19" s="10">
        <v>148</v>
      </c>
      <c r="J19" s="8" t="s">
        <v>27</v>
      </c>
      <c r="K19" s="10">
        <v>29</v>
      </c>
      <c r="L19" s="10">
        <v>29</v>
      </c>
    </row>
    <row r="20" spans="1:12" x14ac:dyDescent="0.2">
      <c r="A20" s="8" t="s">
        <v>16</v>
      </c>
      <c r="B20" s="9">
        <v>25</v>
      </c>
      <c r="C20" s="10">
        <v>59</v>
      </c>
      <c r="J20" s="7" t="s">
        <v>20</v>
      </c>
      <c r="K20" s="10">
        <v>784</v>
      </c>
      <c r="L20" s="10">
        <v>784</v>
      </c>
    </row>
    <row r="21" spans="1:12" x14ac:dyDescent="0.2">
      <c r="A21" s="7" t="s">
        <v>12</v>
      </c>
      <c r="B21" s="9">
        <v>220.25</v>
      </c>
      <c r="C21" s="10">
        <v>784</v>
      </c>
    </row>
    <row r="22" spans="1:12" x14ac:dyDescent="0.2">
      <c r="A22" s="8" t="s">
        <v>10</v>
      </c>
      <c r="B22" s="9">
        <v>31.15</v>
      </c>
      <c r="C22" s="10">
        <v>175</v>
      </c>
    </row>
    <row r="23" spans="1:12" x14ac:dyDescent="0.2">
      <c r="A23" s="8" t="s">
        <v>17</v>
      </c>
      <c r="B23" s="9">
        <v>47.5</v>
      </c>
      <c r="C23" s="10">
        <v>104</v>
      </c>
    </row>
    <row r="24" spans="1:12" x14ac:dyDescent="0.2">
      <c r="A24" s="8" t="s">
        <v>15</v>
      </c>
      <c r="B24" s="9">
        <v>25</v>
      </c>
      <c r="C24" s="10">
        <v>58</v>
      </c>
    </row>
    <row r="25" spans="1:12" x14ac:dyDescent="0.2">
      <c r="A25" s="8" t="s">
        <v>13</v>
      </c>
      <c r="B25" s="9">
        <v>97.850000000000009</v>
      </c>
      <c r="C25" s="10">
        <v>418</v>
      </c>
    </row>
    <row r="26" spans="1:12" x14ac:dyDescent="0.2">
      <c r="A26" s="8" t="s">
        <v>16</v>
      </c>
      <c r="B26" s="9">
        <v>18.75</v>
      </c>
      <c r="C26" s="10">
        <v>29</v>
      </c>
    </row>
    <row r="27" spans="1:12" x14ac:dyDescent="0.2">
      <c r="A27" s="7" t="s">
        <v>18</v>
      </c>
      <c r="B27" s="9">
        <v>150.15</v>
      </c>
      <c r="C27" s="10">
        <v>561</v>
      </c>
    </row>
    <row r="28" spans="1:12" x14ac:dyDescent="0.2">
      <c r="A28" s="8" t="s">
        <v>10</v>
      </c>
      <c r="B28" s="9">
        <v>24.8</v>
      </c>
      <c r="C28" s="10">
        <v>123</v>
      </c>
    </row>
    <row r="29" spans="1:12" x14ac:dyDescent="0.2">
      <c r="A29" s="8" t="s">
        <v>15</v>
      </c>
      <c r="B29" s="9">
        <v>78.300000000000011</v>
      </c>
      <c r="C29" s="10">
        <v>170</v>
      </c>
    </row>
    <row r="30" spans="1:12" x14ac:dyDescent="0.2">
      <c r="A30" s="8" t="s">
        <v>13</v>
      </c>
      <c r="B30" s="9">
        <v>18.75</v>
      </c>
      <c r="C30" s="10">
        <v>82</v>
      </c>
    </row>
    <row r="31" spans="1:12" x14ac:dyDescent="0.2">
      <c r="A31" s="8" t="s">
        <v>16</v>
      </c>
      <c r="B31" s="9">
        <v>28.3</v>
      </c>
      <c r="C31" s="10">
        <v>186</v>
      </c>
    </row>
    <row r="32" spans="1:12" x14ac:dyDescent="0.2">
      <c r="A32" s="7" t="s">
        <v>20</v>
      </c>
      <c r="B32" s="9">
        <v>916.3</v>
      </c>
      <c r="C32" s="10">
        <v>2982</v>
      </c>
    </row>
  </sheetData>
  <pageMargins left="0.511811024" right="0.511811024" top="0.78740157499999996" bottom="0.78740157499999996" header="0.31496062000000002" footer="0.3149606200000000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38EACDEB32E14E811804BCC8CF8A06" ma:contentTypeVersion="3" ma:contentTypeDescription="Crie um novo documento." ma:contentTypeScope="" ma:versionID="f7e76c7d54f00e2f0aff52ac894d7b1d">
  <xsd:schema xmlns:xsd="http://www.w3.org/2001/XMLSchema" xmlns:xs="http://www.w3.org/2001/XMLSchema" xmlns:p="http://schemas.microsoft.com/office/2006/metadata/properties" xmlns:ns2="b9ab6d4d-6490-4164-9fc0-592559187bb4" targetNamespace="http://schemas.microsoft.com/office/2006/metadata/properties" ma:root="true" ma:fieldsID="e30e541039ea0fb7b0c185bae0535c77" ns2:_="">
    <xsd:import namespace="b9ab6d4d-6490-4164-9fc0-592559187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b6d4d-6490-4164-9fc0-592559187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F3667E-E55B-4E41-910B-9EE73FBEA5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b6d4d-6490-4164-9fc0-592559187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DED803-30B6-473D-9B39-E8D133BDCF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137456-A9BC-4BD9-A83E-40CC20F1E41F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b9ab6d4d-6490-4164-9fc0-592559187bb4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Base_Estoque</vt:lpstr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ANTONIO ENGRACIA</dc:creator>
  <cp:keywords/>
  <dc:description/>
  <cp:lastModifiedBy>YURI DA SILVA MENDES</cp:lastModifiedBy>
  <cp:revision/>
  <dcterms:created xsi:type="dcterms:W3CDTF">2025-07-14T17:14:24Z</dcterms:created>
  <dcterms:modified xsi:type="dcterms:W3CDTF">2026-10-20T01:21:23Z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0x0101004338EACDEB32E14E811804BCC8CF8A06</vt:lpwstr>
  </property>
</Properties>
</file>