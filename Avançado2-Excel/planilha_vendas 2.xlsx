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nacspedu.sharepoint.com/sites/Section_sec_276219900361495/Documentos Compartilhados/General/YuriMendes/"/>
    </mc:Choice>
  </mc:AlternateContent>
  <xr:revisionPtr revIDLastSave="348" documentId="13_ncr:1_{6EC5A9B8-2545-4284-BE56-1761E7DD0174}" xr6:coauthVersionLast="47" xr6:coauthVersionMax="47" xr10:uidLastSave="{31FEC6CF-E770-4E68-B626-13A4618EA313}"/>
  <bookViews>
    <workbookView xWindow="-120" yWindow="-120" windowWidth="24240" windowHeight="13020" activeTab="1" xr2:uid="{00000000-000D-0000-FFFF-FFFF00000000}"/>
  </bookViews>
  <sheets>
    <sheet name="Vendas" sheetId="1" r:id="rId1"/>
    <sheet name="VendasFiltro" sheetId="2" r:id="rId2"/>
  </sheets>
  <definedNames>
    <definedName name="_xlnm._FilterDatabase" localSheetId="0" hidden="1">Vendas!$A$1:$K$31</definedName>
    <definedName name="_xlnm._FilterDatabase" localSheetId="1" hidden="1">VendasFiltro!$A$4:$F$34</definedName>
    <definedName name="_xlnm.Extract" localSheetId="1">VendasFiltro!#REF!</definedName>
    <definedName name="bdvendas" localSheetId="1">VendasFiltro!$A$4:$F$34</definedName>
    <definedName name="bdvendas">Vendas!$A$1:$F$31</definedName>
    <definedName name="_xlnm.Criteria" localSheetId="1">VendasFiltro!$A$1:$C$2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2" l="1" a="1"/>
  <c r="J14" i="1"/>
  <c r="K5" i="1"/>
  <c r="K6" i="1"/>
  <c r="K7" i="1"/>
  <c r="K8" i="1"/>
  <c r="K9" i="1"/>
  <c r="K10" i="1"/>
  <c r="K11" i="1"/>
  <c r="K12" i="1"/>
  <c r="K13" i="1"/>
  <c r="K14" i="1"/>
  <c r="K15" i="1"/>
  <c r="K16" i="1"/>
  <c r="K4" i="1"/>
  <c r="J7" i="1"/>
  <c r="J16" i="1"/>
  <c r="J15" i="1"/>
  <c r="J13" i="1"/>
  <c r="J12" i="1"/>
  <c r="J11" i="1"/>
  <c r="J10" i="1"/>
  <c r="J9" i="1"/>
  <c r="J8" i="1"/>
  <c r="J6" i="1"/>
  <c r="J5" i="1"/>
  <c r="J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<sst xmlns="http://schemas.openxmlformats.org/spreadsheetml/2006/main" count="220" uniqueCount="35">
  <si>
    <t>Nome do Vendedor</t>
  </si>
  <si>
    <t>Quantidade Vendida</t>
  </si>
  <si>
    <t>Produto Vendido</t>
  </si>
  <si>
    <t>Nome do Comprador</t>
  </si>
  <si>
    <t>Valor Unitário do Produto</t>
  </si>
  <si>
    <t>Valor Total da Venda</t>
  </si>
  <si>
    <t>Carlos</t>
  </si>
  <si>
    <t>Limpador Multiuso</t>
  </si>
  <si>
    <t>Supermercado E</t>
  </si>
  <si>
    <t>Água Sanitária</t>
  </si>
  <si>
    <t>Supermercado A</t>
  </si>
  <si>
    <t>Supermercado D</t>
  </si>
  <si>
    <t>Ana</t>
  </si>
  <si>
    <t>Desinfetante</t>
  </si>
  <si>
    <t>Supermercado B</t>
  </si>
  <si>
    <t>Soma por Vendedor</t>
  </si>
  <si>
    <t>Maria</t>
  </si>
  <si>
    <t>Sabão em Pó</t>
  </si>
  <si>
    <t>Soma por Produdo Vendido</t>
  </si>
  <si>
    <t>João</t>
  </si>
  <si>
    <t>Supermercado C</t>
  </si>
  <si>
    <t>Pedro</t>
  </si>
  <si>
    <t>Soma por Comprador</t>
  </si>
  <si>
    <t>Quantidade por Comprador</t>
  </si>
  <si>
    <t>Detergente</t>
  </si>
  <si>
    <t>Menor Quantidade</t>
  </si>
  <si>
    <t>Maior Venda</t>
  </si>
  <si>
    <t>Quantidade de Itens Númericos</t>
  </si>
  <si>
    <t>Quantidade de Itens Alfa Numéricos</t>
  </si>
  <si>
    <t xml:space="preserve">selecionar </t>
  </si>
  <si>
    <t>Quantidade de Vendida por Produto</t>
  </si>
  <si>
    <t>Menor Valor Unitário por Produto</t>
  </si>
  <si>
    <t>Média de Venda por Produto</t>
  </si>
  <si>
    <t>Média da Quantidade por Produto</t>
  </si>
  <si>
    <t>selecionar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</si>
</sst>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44" fontId="0" fillId="0" borderId="1" xfId="1" applyFont="1" applyBorder="1"/>
    <xf numFmtId="0" fontId="0" fillId="0" borderId="1" xfId="0" applyBorder="1" applyAlignment="1">
      <alignment horizontal="center"/>
    </xf>
    <xf numFmtId="1" fontId="0" fillId="0" borderId="1" xfId="1" applyNumberFormat="1" applyFont="1" applyBorder="1"/>
    <xf numFmtId="0" fontId="0" fillId="0" borderId="3" xfId="0" applyBorder="1"/>
    <xf numFmtId="0" fontId="0" fillId="0" borderId="2" xfId="0" applyBorder="1"/>
    <xf numFmtId="0" fontId="3" fillId="0" borderId="0" xfId="0" applyFont="1"/>
    <xf numFmtId="0" fontId="1" fillId="2" borderId="1" xfId="0" applyFont="1" applyFill="1" applyBorder="1" applyAlignment="1">
      <alignment horizontal="center" vertical="top"/>
    </xf>
    <xf numFmtId="0" fontId="0" fillId="2" borderId="1" xfId="0" applyFill="1" applyBorder="1"/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3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2.xml"/><Relationship Id="rId4" Type="http://schemas.openxmlformats.org/officeDocument/2006/relationships/styles" Target="styles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workbookViewId="0">
      <selection activeCell="K21" sqref="K21"/>
    </sheetView>
  </sheetViews>
  <sheetFormatPr defaultRowHeight="15" x14ac:dyDescent="0.25"/>
  <cols>
    <col min="1" max="1" width="17.85546875" bestFit="1" customWidth="1"/>
    <col min="2" max="2" width="19.5703125" bestFit="1" customWidth="1"/>
    <col min="3" max="3" width="17.85546875" bestFit="1" customWidth="1"/>
    <col min="4" max="4" width="18.85546875" bestFit="1" customWidth="1"/>
    <col min="5" max="5" width="23" bestFit="1" customWidth="1"/>
    <col min="6" max="6" width="18.5703125" bestFit="1" customWidth="1"/>
    <col min="8" max="8" width="17.85546875" bestFit="1" customWidth="1"/>
    <col min="9" max="9" width="17" bestFit="1" customWidth="1"/>
    <col min="10" max="10" width="18.85546875" bestFit="1" customWidth="1"/>
    <col min="11" max="11" width="18.5703125" bestFit="1" customWidth="1"/>
    <col min="12" max="12" width="14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0</v>
      </c>
      <c r="I1" s="1" t="s">
        <v>2</v>
      </c>
      <c r="J1" s="1" t="s">
        <v>3</v>
      </c>
      <c r="K1" s="1" t="s">
        <v>1</v>
      </c>
    </row>
    <row r="2" spans="1:12" x14ac:dyDescent="0.25">
      <c r="A2" s="2" t="s">
        <v>6</v>
      </c>
      <c r="B2" s="4">
        <v>17</v>
      </c>
      <c r="C2" s="2" t="s">
        <v>7</v>
      </c>
      <c r="D2" s="2" t="s">
        <v>8</v>
      </c>
      <c r="E2" s="3">
        <v>8</v>
      </c>
      <c r="F2" s="3">
        <v>136</v>
      </c>
      <c r="H2" s="2" t="s">
        <v>16</v>
      </c>
      <c r="I2" s="2" t="s">
        <v>7</v>
      </c>
      <c r="J2" s="2" t="s">
        <v>14</v>
      </c>
      <c r="K2" s="4"/>
    </row>
    <row r="3" spans="1:12" x14ac:dyDescent="0.25">
      <c r="A3" s="2" t="s">
        <v>6</v>
      </c>
      <c r="B3" s="4">
        <v>36</v>
      </c>
      <c r="C3" s="2" t="s">
        <v>7</v>
      </c>
      <c r="D3" s="2" t="s">
        <v>11</v>
      </c>
      <c r="E3" s="3">
        <v>8</v>
      </c>
      <c r="F3" s="3">
        <v>288</v>
      </c>
    </row>
    <row r="4" spans="1:12" x14ac:dyDescent="0.25">
      <c r="A4" s="2" t="s">
        <v>12</v>
      </c>
      <c r="B4" s="4">
        <v>80</v>
      </c>
      <c r="C4" s="2" t="s">
        <v>13</v>
      </c>
      <c r="D4" s="2" t="s">
        <v>14</v>
      </c>
      <c r="E4" s="3">
        <v>7.5</v>
      </c>
      <c r="F4" s="3">
        <v>600</v>
      </c>
      <c r="H4" s="2" t="s">
        <v>15</v>
      </c>
      <c r="I4" s="2"/>
      <c r="J4" s="3">
        <f>DSUM(bdvendas,6,H1:H2)</f>
        <v>3397</v>
      </c>
      <c r="K4" s="8" t="str">
        <f ca="1">_xlfn.FORMULATEXT(J4)</f>
        <v>=BDSOMA(bdvendas;6;H1:H2)</v>
      </c>
      <c r="L4" s="8"/>
    </row>
    <row r="5" spans="1:12" x14ac:dyDescent="0.25">
      <c r="A5" s="2" t="s">
        <v>16</v>
      </c>
      <c r="B5" s="4">
        <v>71</v>
      </c>
      <c r="C5" s="2" t="s">
        <v>17</v>
      </c>
      <c r="D5" s="2" t="s">
        <v>14</v>
      </c>
      <c r="E5" s="3">
        <v>10</v>
      </c>
      <c r="F5" s="3">
        <v>710</v>
      </c>
      <c r="H5" s="2" t="s">
        <v>18</v>
      </c>
      <c r="I5" s="2"/>
      <c r="J5" s="3">
        <f>DSUM(bdvendas,2,I1:I2)</f>
        <v>188</v>
      </c>
      <c r="K5" s="8" t="str">
        <f t="shared" ref="K5:K16" ca="1" si="0">_xlfn.FORMULATEXT(J5)</f>
        <v>=BDSOMA(bdvendas;2;I1:I2)</v>
      </c>
      <c r="L5" s="8"/>
    </row>
    <row r="6" spans="1:12" x14ac:dyDescent="0.25">
      <c r="A6" s="2" t="s">
        <v>19</v>
      </c>
      <c r="B6" s="4">
        <v>45</v>
      </c>
      <c r="C6" s="2" t="s">
        <v>9</v>
      </c>
      <c r="D6" s="2" t="s">
        <v>20</v>
      </c>
      <c r="E6" s="3">
        <v>3.5</v>
      </c>
      <c r="F6" s="3">
        <v>157.5</v>
      </c>
      <c r="H6" s="2" t="s">
        <v>30</v>
      </c>
      <c r="I6" s="2"/>
      <c r="J6" s="5">
        <f>DCOUNT(bdvendas,2,I1:I2)</f>
        <v>6</v>
      </c>
      <c r="K6" s="8" t="str">
        <f t="shared" ca="1" si="0"/>
        <v>=BDCONTAR(bdvendas;2;I1:I2)</v>
      </c>
      <c r="L6" s="8"/>
    </row>
    <row r="7" spans="1:12" x14ac:dyDescent="0.25">
      <c r="A7" s="2" t="s">
        <v>21</v>
      </c>
      <c r="B7" s="4">
        <v>90</v>
      </c>
      <c r="C7" s="2" t="s">
        <v>17</v>
      </c>
      <c r="D7" s="2" t="s">
        <v>20</v>
      </c>
      <c r="E7" s="3">
        <v>10</v>
      </c>
      <c r="F7" s="3">
        <v>900</v>
      </c>
      <c r="H7" s="2" t="s">
        <v>22</v>
      </c>
      <c r="I7" s="2"/>
      <c r="J7" s="3">
        <f>DSUM(bdvendas,6,J1:J2)</f>
        <v>3738.5</v>
      </c>
      <c r="K7" s="8" t="str">
        <f t="shared" ca="1" si="0"/>
        <v>=BDSOMA(bdvendas;6;J1:J2)</v>
      </c>
      <c r="L7" s="8"/>
    </row>
    <row r="8" spans="1:12" x14ac:dyDescent="0.25">
      <c r="A8" s="2" t="s">
        <v>12</v>
      </c>
      <c r="B8" s="4">
        <v>27</v>
      </c>
      <c r="C8" s="2" t="s">
        <v>9</v>
      </c>
      <c r="D8" s="2" t="s">
        <v>10</v>
      </c>
      <c r="E8" s="3">
        <v>3.5</v>
      </c>
      <c r="F8" s="3">
        <v>94.5</v>
      </c>
      <c r="H8" s="2" t="s">
        <v>23</v>
      </c>
      <c r="I8" s="2"/>
      <c r="J8" s="5">
        <f>DCOUNT(bdvendas,2,J1:J2)</f>
        <v>7</v>
      </c>
      <c r="K8" s="8" t="str">
        <f t="shared" ca="1" si="0"/>
        <v>=BDCONTAR(bdvendas;2;J1:J2)</v>
      </c>
      <c r="L8" s="8"/>
    </row>
    <row r="9" spans="1:12" x14ac:dyDescent="0.25">
      <c r="A9" s="2" t="s">
        <v>21</v>
      </c>
      <c r="B9" s="4">
        <v>45</v>
      </c>
      <c r="C9" s="2" t="s">
        <v>17</v>
      </c>
      <c r="D9" s="2" t="s">
        <v>20</v>
      </c>
      <c r="E9" s="3">
        <v>10</v>
      </c>
      <c r="F9" s="3">
        <v>450</v>
      </c>
      <c r="H9" s="2" t="s">
        <v>1</v>
      </c>
      <c r="I9" s="2"/>
      <c r="J9" s="5">
        <f>DCOUNT(bdvendas,2,J1:J2)</f>
        <v>7</v>
      </c>
      <c r="K9" s="8" t="str">
        <f t="shared" ca="1" si="0"/>
        <v>=BDCONTAR(bdvendas;2;J1:J2)</v>
      </c>
      <c r="L9" s="8"/>
    </row>
    <row r="10" spans="1:12" x14ac:dyDescent="0.25">
      <c r="A10" s="2" t="s">
        <v>6</v>
      </c>
      <c r="B10" s="4">
        <v>69</v>
      </c>
      <c r="C10" s="2" t="s">
        <v>24</v>
      </c>
      <c r="D10" s="2" t="s">
        <v>8</v>
      </c>
      <c r="E10" s="3">
        <v>5</v>
      </c>
      <c r="F10" s="3">
        <v>345</v>
      </c>
      <c r="H10" s="7" t="s">
        <v>25</v>
      </c>
      <c r="I10" s="6"/>
      <c r="J10" s="2">
        <f>DMIN(bdvendas,2,B2:B31)</f>
        <v>10</v>
      </c>
      <c r="K10" s="8" t="str">
        <f t="shared" ca="1" si="0"/>
        <v>=BDMÍN(bdvendas;2;B2:B31)</v>
      </c>
      <c r="L10" s="8"/>
    </row>
    <row r="11" spans="1:12" x14ac:dyDescent="0.25">
      <c r="A11" s="2" t="s">
        <v>16</v>
      </c>
      <c r="B11" s="4">
        <v>71</v>
      </c>
      <c r="C11" s="2" t="s">
        <v>24</v>
      </c>
      <c r="D11" s="2" t="s">
        <v>20</v>
      </c>
      <c r="E11" s="3">
        <v>5</v>
      </c>
      <c r="F11" s="3">
        <v>355</v>
      </c>
      <c r="H11" s="2" t="s">
        <v>31</v>
      </c>
      <c r="I11" s="2"/>
      <c r="J11" s="3">
        <f>DMIN(bdvendas,5,E2:E31)</f>
        <v>3.5</v>
      </c>
      <c r="K11" s="8" t="str">
        <f t="shared" ca="1" si="0"/>
        <v>=BDMÍN(bdvendas;5;E2:E31)</v>
      </c>
      <c r="L11" s="8"/>
    </row>
    <row r="12" spans="1:12" x14ac:dyDescent="0.25">
      <c r="A12" s="2" t="s">
        <v>6</v>
      </c>
      <c r="B12" s="4">
        <v>97</v>
      </c>
      <c r="C12" s="2" t="s">
        <v>13</v>
      </c>
      <c r="D12" s="2" t="s">
        <v>8</v>
      </c>
      <c r="E12" s="3">
        <v>7.5</v>
      </c>
      <c r="F12" s="3">
        <v>727.5</v>
      </c>
      <c r="H12" s="7" t="s">
        <v>26</v>
      </c>
      <c r="I12" s="6"/>
      <c r="J12" s="3">
        <f>DMAX(bdvendas,6,F2:F31)</f>
        <v>910</v>
      </c>
      <c r="K12" s="8" t="str">
        <f t="shared" ca="1" si="0"/>
        <v>=BDMÁX(bdvendas;6;F2:F31)</v>
      </c>
      <c r="L12" s="8"/>
    </row>
    <row r="13" spans="1:12" x14ac:dyDescent="0.25">
      <c r="A13" s="2" t="s">
        <v>6</v>
      </c>
      <c r="B13" s="4">
        <v>67</v>
      </c>
      <c r="C13" s="2" t="s">
        <v>13</v>
      </c>
      <c r="D13" s="2" t="s">
        <v>14</v>
      </c>
      <c r="E13" s="3">
        <v>7.5</v>
      </c>
      <c r="F13" s="3">
        <v>502.5</v>
      </c>
      <c r="H13" s="2" t="s">
        <v>32</v>
      </c>
      <c r="I13" s="2"/>
      <c r="J13" s="2">
        <f>DAVERAGE(bdvendas,6,F2:F31)</f>
        <v>385.2</v>
      </c>
      <c r="K13" s="8" t="str">
        <f t="shared" ca="1" si="0"/>
        <v>=BDMÉDIA(bdvendas;6;F2:F31)</v>
      </c>
      <c r="L13" s="8"/>
    </row>
    <row r="14" spans="1:12" x14ac:dyDescent="0.25">
      <c r="A14" s="2" t="s">
        <v>12</v>
      </c>
      <c r="B14" s="4">
        <v>26</v>
      </c>
      <c r="C14" s="2" t="s">
        <v>17</v>
      </c>
      <c r="D14" s="2" t="s">
        <v>11</v>
      </c>
      <c r="E14" s="3">
        <v>10</v>
      </c>
      <c r="F14" s="3">
        <v>260</v>
      </c>
      <c r="H14" s="2" t="s">
        <v>33</v>
      </c>
      <c r="I14" s="2"/>
      <c r="J14" s="2">
        <f>DAVERAGE(bdvendas,2,B2:B31)</f>
        <v>51.666666666666664</v>
      </c>
      <c r="K14" s="8" t="str">
        <f t="shared" ca="1" si="0"/>
        <v>=BDMÉDIA(bdvendas;2;B2:B31)</v>
      </c>
      <c r="L14" s="8"/>
    </row>
    <row r="15" spans="1:12" x14ac:dyDescent="0.25">
      <c r="A15" s="2" t="s">
        <v>6</v>
      </c>
      <c r="B15" s="4">
        <v>34</v>
      </c>
      <c r="C15" s="2" t="s">
        <v>13</v>
      </c>
      <c r="D15" s="2" t="s">
        <v>20</v>
      </c>
      <c r="E15" s="3">
        <v>7.5</v>
      </c>
      <c r="F15" s="3">
        <v>255</v>
      </c>
      <c r="H15" s="2" t="s">
        <v>27</v>
      </c>
      <c r="I15" s="2"/>
      <c r="J15" s="2">
        <f>DCOUNT(bdvendas,2,B2:B31)</f>
        <v>30</v>
      </c>
      <c r="K15" s="8" t="str">
        <f t="shared" ca="1" si="0"/>
        <v>=BDCONTAR(bdvendas;2;B2:B31)</v>
      </c>
      <c r="L15" s="8"/>
    </row>
    <row r="16" spans="1:12" x14ac:dyDescent="0.25">
      <c r="A16" s="2" t="s">
        <v>6</v>
      </c>
      <c r="B16" s="4">
        <v>89</v>
      </c>
      <c r="C16" s="2" t="s">
        <v>17</v>
      </c>
      <c r="D16" s="2" t="s">
        <v>11</v>
      </c>
      <c r="E16" s="3">
        <v>10</v>
      </c>
      <c r="F16" s="3">
        <v>890</v>
      </c>
      <c r="H16" s="2" t="s">
        <v>28</v>
      </c>
      <c r="I16" s="2"/>
      <c r="J16" s="2">
        <f>DCOUNTA(bdvendas,4,B2:B31)</f>
        <v>30</v>
      </c>
      <c r="K16" s="8" t="str">
        <f t="shared" ca="1" si="0"/>
        <v>=BDCONTARA(bdvendas;4;B2:B31)</v>
      </c>
      <c r="L16" s="8"/>
    </row>
    <row r="17" spans="1:7" x14ac:dyDescent="0.25">
      <c r="A17" s="2" t="s">
        <v>16</v>
      </c>
      <c r="B17" s="4">
        <v>77</v>
      </c>
      <c r="C17" s="2" t="s">
        <v>17</v>
      </c>
      <c r="D17" s="2" t="s">
        <v>14</v>
      </c>
      <c r="E17" s="3">
        <v>10</v>
      </c>
      <c r="F17" s="3">
        <v>770</v>
      </c>
      <c r="G17" t="s">
        <v>29</v>
      </c>
    </row>
    <row r="18" spans="1:7" x14ac:dyDescent="0.25">
      <c r="A18" s="2" t="s">
        <v>12</v>
      </c>
      <c r="B18" s="4">
        <v>32</v>
      </c>
      <c r="C18" s="2" t="s">
        <v>24</v>
      </c>
      <c r="D18" s="2" t="s">
        <v>11</v>
      </c>
      <c r="E18" s="3">
        <v>5</v>
      </c>
      <c r="F18" s="3">
        <v>160</v>
      </c>
    </row>
    <row r="19" spans="1:7" x14ac:dyDescent="0.25">
      <c r="A19" s="2" t="s">
        <v>6</v>
      </c>
      <c r="B19" s="4">
        <v>29</v>
      </c>
      <c r="C19" s="2" t="s">
        <v>7</v>
      </c>
      <c r="D19" s="2" t="s">
        <v>10</v>
      </c>
      <c r="E19" s="3">
        <v>8</v>
      </c>
      <c r="F19" s="3">
        <v>232</v>
      </c>
    </row>
    <row r="20" spans="1:7" x14ac:dyDescent="0.25">
      <c r="A20" s="2" t="s">
        <v>19</v>
      </c>
      <c r="B20" s="4">
        <v>40</v>
      </c>
      <c r="C20" s="2" t="s">
        <v>13</v>
      </c>
      <c r="D20" s="2" t="s">
        <v>11</v>
      </c>
      <c r="E20" s="3">
        <v>7.5</v>
      </c>
      <c r="F20" s="3">
        <v>300</v>
      </c>
    </row>
    <row r="21" spans="1:7" x14ac:dyDescent="0.25">
      <c r="A21" s="2" t="s">
        <v>16</v>
      </c>
      <c r="B21" s="4">
        <v>49</v>
      </c>
      <c r="C21" s="2" t="s">
        <v>7</v>
      </c>
      <c r="D21" s="2" t="s">
        <v>11</v>
      </c>
      <c r="E21" s="3">
        <v>8</v>
      </c>
      <c r="F21" s="3">
        <v>392</v>
      </c>
    </row>
    <row r="22" spans="1:7" x14ac:dyDescent="0.25">
      <c r="A22" s="2" t="s">
        <v>12</v>
      </c>
      <c r="B22" s="4">
        <v>21</v>
      </c>
      <c r="C22" s="2" t="s">
        <v>24</v>
      </c>
      <c r="D22" s="2" t="s">
        <v>20</v>
      </c>
      <c r="E22" s="3">
        <v>5</v>
      </c>
      <c r="F22" s="3">
        <v>105</v>
      </c>
    </row>
    <row r="23" spans="1:7" x14ac:dyDescent="0.25">
      <c r="A23" s="2" t="s">
        <v>21</v>
      </c>
      <c r="B23" s="4">
        <v>47</v>
      </c>
      <c r="C23" s="2" t="s">
        <v>7</v>
      </c>
      <c r="D23" s="2" t="s">
        <v>14</v>
      </c>
      <c r="E23" s="3">
        <v>8</v>
      </c>
      <c r="F23" s="3">
        <v>376</v>
      </c>
    </row>
    <row r="24" spans="1:7" x14ac:dyDescent="0.25">
      <c r="A24" s="2" t="s">
        <v>6</v>
      </c>
      <c r="B24" s="4">
        <v>48</v>
      </c>
      <c r="C24" s="2" t="s">
        <v>24</v>
      </c>
      <c r="D24" s="2" t="s">
        <v>14</v>
      </c>
      <c r="E24" s="3">
        <v>5</v>
      </c>
      <c r="F24" s="3">
        <v>240</v>
      </c>
    </row>
    <row r="25" spans="1:7" x14ac:dyDescent="0.25">
      <c r="A25" s="2" t="s">
        <v>21</v>
      </c>
      <c r="B25" s="4">
        <v>10</v>
      </c>
      <c r="C25" s="2" t="s">
        <v>7</v>
      </c>
      <c r="D25" s="2" t="s">
        <v>20</v>
      </c>
      <c r="E25" s="3">
        <v>8</v>
      </c>
      <c r="F25" s="3">
        <v>80</v>
      </c>
    </row>
    <row r="26" spans="1:7" x14ac:dyDescent="0.25">
      <c r="A26" s="2" t="s">
        <v>21</v>
      </c>
      <c r="B26" s="4">
        <v>11</v>
      </c>
      <c r="C26" s="2" t="s">
        <v>13</v>
      </c>
      <c r="D26" s="2" t="s">
        <v>11</v>
      </c>
      <c r="E26" s="3">
        <v>7.5</v>
      </c>
      <c r="F26" s="3">
        <v>82.5</v>
      </c>
    </row>
    <row r="27" spans="1:7" x14ac:dyDescent="0.25">
      <c r="A27" s="2" t="s">
        <v>16</v>
      </c>
      <c r="B27" s="4">
        <v>91</v>
      </c>
      <c r="C27" s="2" t="s">
        <v>17</v>
      </c>
      <c r="D27" s="2" t="s">
        <v>11</v>
      </c>
      <c r="E27" s="3">
        <v>10</v>
      </c>
      <c r="F27" s="3">
        <v>910</v>
      </c>
    </row>
    <row r="28" spans="1:7" x14ac:dyDescent="0.25">
      <c r="A28" s="2" t="s">
        <v>6</v>
      </c>
      <c r="B28" s="4">
        <v>29</v>
      </c>
      <c r="C28" s="2" t="s">
        <v>9</v>
      </c>
      <c r="D28" s="2" t="s">
        <v>11</v>
      </c>
      <c r="E28" s="3">
        <v>3.5</v>
      </c>
      <c r="F28" s="3">
        <v>101.5</v>
      </c>
    </row>
    <row r="29" spans="1:7" x14ac:dyDescent="0.25">
      <c r="A29" s="2" t="s">
        <v>16</v>
      </c>
      <c r="B29" s="4">
        <v>52</v>
      </c>
      <c r="C29" s="2" t="s">
        <v>24</v>
      </c>
      <c r="D29" s="2" t="s">
        <v>10</v>
      </c>
      <c r="E29" s="3">
        <v>5</v>
      </c>
      <c r="F29" s="3">
        <v>260</v>
      </c>
    </row>
    <row r="30" spans="1:7" x14ac:dyDescent="0.25">
      <c r="A30" s="2" t="s">
        <v>19</v>
      </c>
      <c r="B30" s="4">
        <v>54</v>
      </c>
      <c r="C30" s="2" t="s">
        <v>17</v>
      </c>
      <c r="D30" s="2" t="s">
        <v>14</v>
      </c>
      <c r="E30" s="3">
        <v>10</v>
      </c>
      <c r="F30" s="3">
        <v>540</v>
      </c>
    </row>
    <row r="31" spans="1:7" x14ac:dyDescent="0.25">
      <c r="A31" s="2" t="s">
        <v>21</v>
      </c>
      <c r="B31" s="4">
        <v>96</v>
      </c>
      <c r="C31" s="2" t="s">
        <v>9</v>
      </c>
      <c r="D31" s="2" t="s">
        <v>20</v>
      </c>
      <c r="E31" s="3">
        <v>3.5</v>
      </c>
      <c r="F31" s="3">
        <v>336</v>
      </c>
    </row>
  </sheetData>
  <autoFilter ref="A1:K31" xr:uid="{00000000-0001-0000-0000-000000000000}"/>
  <dataValidations count="3">
    <dataValidation type="list" allowBlank="1" showInputMessage="1" showErrorMessage="1" sqref="C2 H2" xr:uid="{F683202D-5144-4CA3-8D38-E3F5545DFF75}">
      <formula1>$A$2:$A$31</formula1>
    </dataValidation>
    <dataValidation type="list" allowBlank="1" showInputMessage="1" showErrorMessage="1" sqref="I2" xr:uid="{F1A923D7-E85F-4E0C-A7D6-D2BDD573B7EC}">
      <formula1>$C$2:$C$31</formula1>
    </dataValidation>
    <dataValidation type="list" allowBlank="1" showInputMessage="1" showErrorMessage="1" sqref="J2" xr:uid="{D7EE0693-521C-4E7B-8ECA-71EF8F2E3985}">
      <formula1>$D$2:$D$31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855B4-F91C-4795-AAC5-5C082DEE8368}">
  <dimension ref="A1:M34"/>
  <sheetViews>
    <sheetView tabSelected="1" zoomScale="85" zoomScaleNormal="85" workbookViewId="0">
      <selection activeCell="K11" sqref="K11"/>
    </sheetView>
  </sheetViews>
  <sheetFormatPr defaultColWidth="18" defaultRowHeight="15" x14ac:dyDescent="0.25"/>
  <cols>
    <col min="1" max="1" width="18.7109375" bestFit="1" customWidth="1"/>
    <col min="2" max="2" width="19.5703125" bestFit="1" customWidth="1"/>
    <col min="3" max="4" width="19.7109375" bestFit="1" customWidth="1"/>
    <col min="5" max="5" width="24.140625" bestFit="1" customWidth="1"/>
    <col min="6" max="6" width="19.5703125" bestFit="1" customWidth="1"/>
    <col min="7" max="7" width="10.5703125" bestFit="1" customWidth="1"/>
  </cols>
  <sheetData>
    <row r="1" spans="1:13" x14ac:dyDescent="0.25">
      <c r="A1" s="9" t="s">
        <v>0</v>
      </c>
      <c r="B1" s="9" t="s">
        <v>2</v>
      </c>
      <c r="C1" s="9" t="s">
        <v>3</v>
      </c>
    </row>
    <row r="2" spans="1:13" x14ac:dyDescent="0.25">
      <c r="A2" s="10" t="s">
        <v>21</v>
      </c>
      <c r="B2" s="10" t="s">
        <v>17</v>
      </c>
      <c r="C2" s="10" t="s">
        <v>20</v>
      </c>
    </row>
    <row r="4" spans="1:13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H4" t="str" cm="1">
        <f t="array" ref="H4:M5">_xlfn._xlws.FILTER(A5:F34,(A5:A34=$A$2)*(C5:C34=$B$2)*(D5:D34=$C$2),"N/A")</f>
        <v>Pedro</v>
      </c>
      <c r="I4">
        <v>90</v>
      </c>
      <c r="J4" t="str">
        <v>Sabão em Pó</v>
      </c>
      <c r="K4" t="str">
        <v>Supermercado C</v>
      </c>
      <c r="L4">
        <v>10</v>
      </c>
      <c r="M4">
        <v>900</v>
      </c>
    </row>
    <row r="5" spans="1:13" x14ac:dyDescent="0.25">
      <c r="A5" s="2" t="s">
        <v>6</v>
      </c>
      <c r="B5" s="4">
        <v>17</v>
      </c>
      <c r="C5" s="2" t="s">
        <v>7</v>
      </c>
      <c r="D5" s="2" t="s">
        <v>8</v>
      </c>
      <c r="E5" s="3">
        <v>8</v>
      </c>
      <c r="F5" s="3">
        <v>136</v>
      </c>
      <c r="H5" t="str">
        <v>Pedro</v>
      </c>
      <c r="I5">
        <v>45</v>
      </c>
      <c r="J5" t="str">
        <v>Sabão em Pó</v>
      </c>
      <c r="K5" t="str">
        <v>Supermercado C</v>
      </c>
      <c r="L5">
        <v>10</v>
      </c>
      <c r="M5">
        <v>450</v>
      </c>
    </row>
    <row r="6" spans="1:13" x14ac:dyDescent="0.25">
      <c r="A6" s="2" t="s">
        <v>6</v>
      </c>
      <c r="B6" s="4">
        <v>36</v>
      </c>
      <c r="C6" s="2" t="s">
        <v>7</v>
      </c>
      <c r="D6" s="2" t="s">
        <v>11</v>
      </c>
      <c r="E6" s="3">
        <v>8</v>
      </c>
      <c r="F6" s="3">
        <v>288</v>
      </c>
    </row>
    <row r="7" spans="1:13" x14ac:dyDescent="0.25">
      <c r="A7" s="2" t="s">
        <v>12</v>
      </c>
      <c r="B7" s="4">
        <v>80</v>
      </c>
      <c r="C7" s="2" t="s">
        <v>13</v>
      </c>
      <c r="D7" s="2" t="s">
        <v>14</v>
      </c>
      <c r="E7" s="3">
        <v>7.5</v>
      </c>
      <c r="F7" s="3">
        <v>600</v>
      </c>
    </row>
    <row r="8" spans="1:13" x14ac:dyDescent="0.25">
      <c r="A8" s="2" t="s">
        <v>16</v>
      </c>
      <c r="B8" s="4">
        <v>71</v>
      </c>
      <c r="C8" s="2" t="s">
        <v>17</v>
      </c>
      <c r="D8" s="2" t="s">
        <v>14</v>
      </c>
      <c r="E8" s="3">
        <v>10</v>
      </c>
      <c r="F8" s="3">
        <v>710</v>
      </c>
    </row>
    <row r="9" spans="1:13" x14ac:dyDescent="0.25">
      <c r="A9" s="2" t="s">
        <v>19</v>
      </c>
      <c r="B9" s="4">
        <v>45</v>
      </c>
      <c r="C9" s="2" t="s">
        <v>9</v>
      </c>
      <c r="D9" s="2" t="s">
        <v>20</v>
      </c>
      <c r="E9" s="3">
        <v>3.5</v>
      </c>
      <c r="F9" s="3">
        <v>157.5</v>
      </c>
    </row>
    <row r="10" spans="1:13" x14ac:dyDescent="0.25">
      <c r="A10" s="2" t="s">
        <v>21</v>
      </c>
      <c r="B10" s="4">
        <v>90</v>
      </c>
      <c r="C10" s="2" t="s">
        <v>17</v>
      </c>
      <c r="D10" s="2" t="s">
        <v>20</v>
      </c>
      <c r="E10" s="3">
        <v>10</v>
      </c>
      <c r="F10" s="3">
        <v>900</v>
      </c>
    </row>
    <row r="11" spans="1:13" x14ac:dyDescent="0.25">
      <c r="A11" s="2" t="s">
        <v>12</v>
      </c>
      <c r="B11" s="4">
        <v>27</v>
      </c>
      <c r="C11" s="2" t="s">
        <v>9</v>
      </c>
      <c r="D11" s="2" t="s">
        <v>10</v>
      </c>
      <c r="E11" s="3">
        <v>3.5</v>
      </c>
      <c r="F11" s="3">
        <v>94.5</v>
      </c>
    </row>
    <row r="12" spans="1:13" x14ac:dyDescent="0.25">
      <c r="A12" s="2" t="s">
        <v>21</v>
      </c>
      <c r="B12" s="4">
        <v>45</v>
      </c>
      <c r="C12" s="2" t="s">
        <v>17</v>
      </c>
      <c r="D12" s="2" t="s">
        <v>20</v>
      </c>
      <c r="E12" s="3">
        <v>10</v>
      </c>
      <c r="F12" s="3">
        <v>450</v>
      </c>
    </row>
    <row r="13" spans="1:13" x14ac:dyDescent="0.25">
      <c r="A13" s="2" t="s">
        <v>6</v>
      </c>
      <c r="B13" s="4">
        <v>69</v>
      </c>
      <c r="C13" s="2" t="s">
        <v>24</v>
      </c>
      <c r="D13" s="2" t="s">
        <v>8</v>
      </c>
      <c r="E13" s="3">
        <v>5</v>
      </c>
      <c r="F13" s="3">
        <v>345</v>
      </c>
    </row>
    <row r="14" spans="1:13" x14ac:dyDescent="0.25">
      <c r="A14" s="2" t="s">
        <v>16</v>
      </c>
      <c r="B14" s="4">
        <v>71</v>
      </c>
      <c r="C14" s="2" t="s">
        <v>24</v>
      </c>
      <c r="D14" s="2" t="s">
        <v>20</v>
      </c>
      <c r="E14" s="3">
        <v>5</v>
      </c>
      <c r="F14" s="3">
        <v>355</v>
      </c>
    </row>
    <row r="15" spans="1:13" x14ac:dyDescent="0.25">
      <c r="A15" s="2" t="s">
        <v>6</v>
      </c>
      <c r="B15" s="4">
        <v>97</v>
      </c>
      <c r="C15" s="2" t="s">
        <v>13</v>
      </c>
      <c r="D15" s="2" t="s">
        <v>8</v>
      </c>
      <c r="E15" s="3">
        <v>7.5</v>
      </c>
      <c r="F15" s="3">
        <v>727.5</v>
      </c>
    </row>
    <row r="16" spans="1:13" x14ac:dyDescent="0.25">
      <c r="A16" s="2" t="s">
        <v>6</v>
      </c>
      <c r="B16" s="4">
        <v>67</v>
      </c>
      <c r="C16" s="2" t="s">
        <v>13</v>
      </c>
      <c r="D16" s="2" t="s">
        <v>14</v>
      </c>
      <c r="E16" s="3">
        <v>7.5</v>
      </c>
      <c r="F16" s="3">
        <v>502.5</v>
      </c>
    </row>
    <row r="17" spans="1:7" x14ac:dyDescent="0.25">
      <c r="A17" s="2" t="s">
        <v>12</v>
      </c>
      <c r="B17" s="4">
        <v>26</v>
      </c>
      <c r="C17" s="2" t="s">
        <v>17</v>
      </c>
      <c r="D17" s="2" t="s">
        <v>11</v>
      </c>
      <c r="E17" s="3">
        <v>10</v>
      </c>
      <c r="F17" s="3">
        <v>260</v>
      </c>
    </row>
    <row r="18" spans="1:7" x14ac:dyDescent="0.25">
      <c r="A18" s="2" t="s">
        <v>6</v>
      </c>
      <c r="B18" s="4">
        <v>34</v>
      </c>
      <c r="C18" s="2" t="s">
        <v>13</v>
      </c>
      <c r="D18" s="2" t="s">
        <v>20</v>
      </c>
      <c r="E18" s="3">
        <v>7.5</v>
      </c>
      <c r="F18" s="3">
        <v>255</v>
      </c>
    </row>
    <row r="19" spans="1:7" x14ac:dyDescent="0.25">
      <c r="A19" s="2" t="s">
        <v>6</v>
      </c>
      <c r="B19" s="4">
        <v>89</v>
      </c>
      <c r="C19" s="2" t="s">
        <v>17</v>
      </c>
      <c r="D19" s="2" t="s">
        <v>11</v>
      </c>
      <c r="E19" s="3">
        <v>10</v>
      </c>
      <c r="F19" s="3">
        <v>890</v>
      </c>
    </row>
    <row r="20" spans="1:7" x14ac:dyDescent="0.25">
      <c r="A20" s="2" t="s">
        <v>16</v>
      </c>
      <c r="B20" s="4">
        <v>77</v>
      </c>
      <c r="C20" s="2" t="s">
        <v>17</v>
      </c>
      <c r="D20" s="2" t="s">
        <v>14</v>
      </c>
      <c r="E20" s="3">
        <v>10</v>
      </c>
      <c r="F20" s="3">
        <v>770</v>
      </c>
      <c r="G20" t="s">
        <v>34</v>
      </c>
    </row>
    <row r="21" spans="1:7" x14ac:dyDescent="0.25">
      <c r="A21" s="2" t="s">
        <v>12</v>
      </c>
      <c r="B21" s="4">
        <v>32</v>
      </c>
      <c r="C21" s="2" t="s">
        <v>24</v>
      </c>
      <c r="D21" s="2" t="s">
        <v>11</v>
      </c>
      <c r="E21" s="3">
        <v>5</v>
      </c>
      <c r="F21" s="3">
        <v>160</v>
      </c>
    </row>
    <row r="22" spans="1:7" x14ac:dyDescent="0.25">
      <c r="A22" s="2" t="s">
        <v>6</v>
      </c>
      <c r="B22" s="4">
        <v>29</v>
      </c>
      <c r="C22" s="2" t="s">
        <v>7</v>
      </c>
      <c r="D22" s="2" t="s">
        <v>10</v>
      </c>
      <c r="E22" s="3">
        <v>8</v>
      </c>
      <c r="F22" s="3">
        <v>232</v>
      </c>
    </row>
    <row r="23" spans="1:7" x14ac:dyDescent="0.25">
      <c r="A23" s="2" t="s">
        <v>19</v>
      </c>
      <c r="B23" s="4">
        <v>40</v>
      </c>
      <c r="C23" s="2" t="s">
        <v>13</v>
      </c>
      <c r="D23" s="2" t="s">
        <v>11</v>
      </c>
      <c r="E23" s="3">
        <v>7.5</v>
      </c>
      <c r="F23" s="3">
        <v>300</v>
      </c>
    </row>
    <row r="24" spans="1:7" x14ac:dyDescent="0.25">
      <c r="A24" s="2" t="s">
        <v>16</v>
      </c>
      <c r="B24" s="4">
        <v>49</v>
      </c>
      <c r="C24" s="2" t="s">
        <v>7</v>
      </c>
      <c r="D24" s="2" t="s">
        <v>11</v>
      </c>
      <c r="E24" s="3">
        <v>8</v>
      </c>
      <c r="F24" s="3">
        <v>392</v>
      </c>
    </row>
    <row r="25" spans="1:7" x14ac:dyDescent="0.25">
      <c r="A25" s="2" t="s">
        <v>12</v>
      </c>
      <c r="B25" s="4">
        <v>21</v>
      </c>
      <c r="C25" s="2" t="s">
        <v>24</v>
      </c>
      <c r="D25" s="2" t="s">
        <v>20</v>
      </c>
      <c r="E25" s="3">
        <v>5</v>
      </c>
      <c r="F25" s="3">
        <v>105</v>
      </c>
    </row>
    <row r="26" spans="1:7" x14ac:dyDescent="0.25">
      <c r="A26" s="2" t="s">
        <v>21</v>
      </c>
      <c r="B26" s="4">
        <v>47</v>
      </c>
      <c r="C26" s="2" t="s">
        <v>7</v>
      </c>
      <c r="D26" s="2" t="s">
        <v>14</v>
      </c>
      <c r="E26" s="3">
        <v>8</v>
      </c>
      <c r="F26" s="3">
        <v>376</v>
      </c>
    </row>
    <row r="27" spans="1:7" x14ac:dyDescent="0.25">
      <c r="A27" s="2" t="s">
        <v>6</v>
      </c>
      <c r="B27" s="4">
        <v>48</v>
      </c>
      <c r="C27" s="2" t="s">
        <v>24</v>
      </c>
      <c r="D27" s="2" t="s">
        <v>14</v>
      </c>
      <c r="E27" s="3">
        <v>5</v>
      </c>
      <c r="F27" s="3">
        <v>240</v>
      </c>
    </row>
    <row r="28" spans="1:7" x14ac:dyDescent="0.25">
      <c r="A28" s="2" t="s">
        <v>21</v>
      </c>
      <c r="B28" s="4">
        <v>10</v>
      </c>
      <c r="C28" s="2" t="s">
        <v>7</v>
      </c>
      <c r="D28" s="2" t="s">
        <v>20</v>
      </c>
      <c r="E28" s="3">
        <v>8</v>
      </c>
      <c r="F28" s="3">
        <v>80</v>
      </c>
    </row>
    <row r="29" spans="1:7" x14ac:dyDescent="0.25">
      <c r="A29" s="2" t="s">
        <v>21</v>
      </c>
      <c r="B29" s="4">
        <v>11</v>
      </c>
      <c r="C29" s="2" t="s">
        <v>13</v>
      </c>
      <c r="D29" s="2" t="s">
        <v>11</v>
      </c>
      <c r="E29" s="3">
        <v>7.5</v>
      </c>
      <c r="F29" s="3">
        <v>82.5</v>
      </c>
    </row>
    <row r="30" spans="1:7" x14ac:dyDescent="0.25">
      <c r="A30" s="2" t="s">
        <v>16</v>
      </c>
      <c r="B30" s="4">
        <v>91</v>
      </c>
      <c r="C30" s="2" t="s">
        <v>17</v>
      </c>
      <c r="D30" s="2" t="s">
        <v>11</v>
      </c>
      <c r="E30" s="3">
        <v>10</v>
      </c>
      <c r="F30" s="3">
        <v>910</v>
      </c>
    </row>
    <row r="31" spans="1:7" x14ac:dyDescent="0.25">
      <c r="A31" s="2" t="s">
        <v>6</v>
      </c>
      <c r="B31" s="4">
        <v>29</v>
      </c>
      <c r="C31" s="2" t="s">
        <v>9</v>
      </c>
      <c r="D31" s="2" t="s">
        <v>11</v>
      </c>
      <c r="E31" s="3">
        <v>3.5</v>
      </c>
      <c r="F31" s="3">
        <v>101.5</v>
      </c>
    </row>
    <row r="32" spans="1:7" x14ac:dyDescent="0.25">
      <c r="A32" s="2" t="s">
        <v>16</v>
      </c>
      <c r="B32" s="4">
        <v>52</v>
      </c>
      <c r="C32" s="2" t="s">
        <v>24</v>
      </c>
      <c r="D32" s="2" t="s">
        <v>10</v>
      </c>
      <c r="E32" s="3">
        <v>5</v>
      </c>
      <c r="F32" s="3">
        <v>260</v>
      </c>
    </row>
    <row r="33" spans="1:6" x14ac:dyDescent="0.25">
      <c r="A33" s="2" t="s">
        <v>19</v>
      </c>
      <c r="B33" s="4">
        <v>54</v>
      </c>
      <c r="C33" s="2" t="s">
        <v>17</v>
      </c>
      <c r="D33" s="2" t="s">
        <v>14</v>
      </c>
      <c r="E33" s="3">
        <v>10</v>
      </c>
      <c r="F33" s="3">
        <v>540</v>
      </c>
    </row>
    <row r="34" spans="1:6" x14ac:dyDescent="0.25">
      <c r="A34" s="2" t="s">
        <v>21</v>
      </c>
      <c r="B34" s="4">
        <v>96</v>
      </c>
      <c r="C34" s="2" t="s">
        <v>9</v>
      </c>
      <c r="D34" s="2" t="s">
        <v>20</v>
      </c>
      <c r="E34" s="3">
        <v>3.5</v>
      </c>
      <c r="F34" s="3">
        <v>336</v>
      </c>
    </row>
  </sheetData>
  <dataValidations count="4">
    <dataValidation type="list" allowBlank="1" showInputMessage="1" showErrorMessage="1" sqref="B2" xr:uid="{501FAD67-E239-43BC-BD0B-04B5D6889B91}">
      <formula1>$C$5:$C$35</formula1>
    </dataValidation>
    <dataValidation type="list" allowBlank="1" showInputMessage="1" showErrorMessage="1" sqref="C5" xr:uid="{563B281A-0BB0-4AA7-9F62-E87C422CADA1}">
      <formula1>$A$5:$A$34</formula1>
    </dataValidation>
    <dataValidation type="list" showInputMessage="1" showErrorMessage="1" sqref="A2" xr:uid="{14114CB3-885C-4238-8929-6FDDFF9411C6}">
      <formula1>$A$5:$A$35</formula1>
    </dataValidation>
    <dataValidation type="list" showInputMessage="1" showErrorMessage="1" sqref="C2" xr:uid="{A5E856DC-B472-469E-A345-0FC7CEF1C3A7}">
      <formula1>$D$5:$D$35</formula1>
    </dataValidation>
  </dataValidation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338EACDEB32E14E811804BCC8CF8A06" ma:contentTypeVersion="3" ma:contentTypeDescription="Crie um novo documento." ma:contentTypeScope="" ma:versionID="f7e76c7d54f00e2f0aff52ac894d7b1d">
  <xsd:schema xmlns:xsd="http://www.w3.org/2001/XMLSchema" xmlns:xs="http://www.w3.org/2001/XMLSchema" xmlns:p="http://schemas.microsoft.com/office/2006/metadata/properties" xmlns:ns2="b9ab6d4d-6490-4164-9fc0-592559187bb4" targetNamespace="http://schemas.microsoft.com/office/2006/metadata/properties" ma:root="true" ma:fieldsID="e30e541039ea0fb7b0c185bae0535c77" ns2:_="">
    <xsd:import namespace="b9ab6d4d-6490-4164-9fc0-592559187bb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ab6d4d-6490-4164-9fc0-592559187b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06D8064-0869-4405-B327-E3C3E69087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9ab6d4d-6490-4164-9fc0-592559187b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00CF380-0A5A-4087-A9A3-FA19DA40B251}">
  <ds:schemaRefs>
    <ds:schemaRef ds:uri="http://purl.org/dc/elements/1.1/"/>
    <ds:schemaRef ds:uri="http://purl.org/dc/dcmitype/"/>
    <ds:schemaRef ds:uri="b9ab6d4d-6490-4164-9fc0-592559187bb4"/>
    <ds:schemaRef ds:uri="http://purl.org/dc/terms/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BB732FED-B829-4E84-B5AB-D80E164F4BC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3</vt:i4>
      </vt:variant>
    </vt:vector>
  </HeadingPairs>
  <TitlesOfParts>
    <vt:vector size="5" baseType="lpstr">
      <vt:lpstr>Vendas</vt:lpstr>
      <vt:lpstr>VendasFiltro</vt:lpstr>
      <vt:lpstr>VendasFiltro!bdvendas</vt:lpstr>
      <vt:lpstr>bdvendas</vt:lpstr>
      <vt:lpstr>VendasFiltro!Criterios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YURI DA SILVA MENDES</cp:lastModifiedBy>
  <cp:revision/>
  <dcterms:created xsi:type="dcterms:W3CDTF">2025-04-30T19:27:33Z</dcterms:created>
  <dcterms:modified xsi:type="dcterms:W3CDTF">2026-10-17T00:33:57Z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0x0101004338EACDEB32E14E811804BCC8CF8A06</vt:lpwstr>
  </property>
</Properties>
</file>