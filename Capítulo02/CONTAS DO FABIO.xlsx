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cspedu-my.sharepoint.com/personal/yuri_smendes_senacsp_edu_br/Documents/Capítulo02/Capítulo02/"/>
    </mc:Choice>
  </mc:AlternateContent>
  <xr:revisionPtr revIDLastSave="62" documentId="11_5115F023DE706007C05CEF289BC74C123581E232" xr6:coauthVersionLast="47" xr6:coauthVersionMax="47" xr10:uidLastSave="{83D6BA55-D828-446E-BE40-3E6366CCAF99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A17" i="1"/>
  <c r="C13" i="1"/>
  <c r="D9" i="1"/>
  <c r="D5" i="1"/>
</calcChain>
</file>

<file path=xl/sharedStrings.xml><?xml version="1.0" encoding="utf-8"?>
<sst xmlns="http://schemas.openxmlformats.org/spreadsheetml/2006/main" count="27" uniqueCount="18">
  <si>
    <t>Nº Parcelas</t>
  </si>
  <si>
    <t>Taxa</t>
  </si>
  <si>
    <t>Valor da parcela</t>
  </si>
  <si>
    <t>Valor Futuro</t>
  </si>
  <si>
    <t>CONTAS DO FÁBIO</t>
  </si>
  <si>
    <t>Investimento</t>
  </si>
  <si>
    <t>Investimento para o consultório</t>
  </si>
  <si>
    <t>Compra de uma máquina de lavar</t>
  </si>
  <si>
    <t>Compra de um automóvel</t>
  </si>
  <si>
    <t>Valor à Vista</t>
  </si>
  <si>
    <t>Valor do Carro</t>
  </si>
  <si>
    <t xml:space="preserve">Valor desejado </t>
  </si>
  <si>
    <t>FUNÇÕES</t>
  </si>
  <si>
    <t>#=-VF(B5;A5;C5;0) / definindo o valor futuro do investimento</t>
  </si>
  <si>
    <t>#=VP(B9;A9;-C9) / verificando à vista (total) de uma compra</t>
  </si>
  <si>
    <t>#=PGTO(B13;A13;D13) / definindo o valor da parcela de uma compra</t>
  </si>
  <si>
    <t>#=-NPER(B17;C17;D17) / definindo o número de parcelas</t>
  </si>
  <si>
    <t>#=VF(B17;A17;-C17) / definindo o valor futuro positivamente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</si>
</sst>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44" fontId="0" fillId="0" borderId="0" xfId="1" applyFont="1"/>
    <xf numFmtId="44" fontId="2" fillId="0" borderId="0" xfId="1" applyFont="1" applyAlignment="1">
      <alignment horizontal="center" vertical="center" wrapText="1"/>
    </xf>
    <xf numFmtId="8" fontId="0" fillId="0" borderId="0" xfId="1" applyNumberFormat="1" applyFont="1"/>
    <xf numFmtId="8" fontId="0" fillId="0" borderId="0" xfId="0" applyNumberFormat="1"/>
    <xf numFmtId="44" fontId="0" fillId="0" borderId="0" xfId="0" applyNumberFormat="1"/>
    <xf numFmtId="43" fontId="0" fillId="0" borderId="0" xfId="2" applyFont="1"/>
    <xf numFmtId="0" fontId="4" fillId="0" borderId="0" xfId="0" applyFont="1"/>
    <xf numFmtId="44" fontId="4" fillId="0" borderId="0" xfId="1" applyFont="1"/>
    <xf numFmtId="0" fontId="5" fillId="0" borderId="1" xfId="0" applyFont="1" applyBorder="1" applyAlignment="1">
      <alignment horizontal="center" vertical="center" wrapText="1"/>
    </xf>
    <xf numFmtId="44" fontId="5" fillId="0" borderId="1" xfId="1" applyFont="1" applyBorder="1" applyAlignment="1">
      <alignment horizontal="center" vertical="center" wrapText="1"/>
    </xf>
    <xf numFmtId="0" fontId="4" fillId="0" borderId="1" xfId="0" applyFont="1" applyBorder="1"/>
    <xf numFmtId="10" fontId="4" fillId="0" borderId="1" xfId="0" applyNumberFormat="1" applyFont="1" applyBorder="1"/>
    <xf numFmtId="44" fontId="4" fillId="0" borderId="1" xfId="1" applyFont="1" applyBorder="1"/>
    <xf numFmtId="8" fontId="4" fillId="0" borderId="0" xfId="1" applyNumberFormat="1" applyFont="1"/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3" borderId="0" xfId="0" applyFont="1" applyFill="1"/>
    <xf numFmtId="44" fontId="5" fillId="0" borderId="1" xfId="1" applyFont="1" applyBorder="1" applyAlignment="1">
      <alignment horizontal="center" vertical="center"/>
    </xf>
    <xf numFmtId="44" fontId="5" fillId="0" borderId="1" xfId="1" applyFont="1" applyFill="1" applyBorder="1" applyAlignment="1">
      <alignment horizontal="center" vertical="center"/>
    </xf>
    <xf numFmtId="0" fontId="0" fillId="4" borderId="0" xfId="0" applyFill="1"/>
    <xf numFmtId="8" fontId="4" fillId="4" borderId="1" xfId="1" applyNumberFormat="1" applyFont="1" applyFill="1" applyBorder="1"/>
    <xf numFmtId="0" fontId="0" fillId="5" borderId="0" xfId="0" applyFill="1"/>
    <xf numFmtId="8" fontId="4" fillId="5" borderId="1" xfId="1" applyNumberFormat="1" applyFont="1" applyFill="1" applyBorder="1"/>
    <xf numFmtId="0" fontId="0" fillId="6" borderId="0" xfId="0" applyFill="1"/>
    <xf numFmtId="0" fontId="0" fillId="7" borderId="0" xfId="0" applyFill="1"/>
    <xf numFmtId="1" fontId="4" fillId="7" borderId="1" xfId="0" applyNumberFormat="1" applyFont="1" applyFill="1" applyBorder="1"/>
    <xf numFmtId="8" fontId="4" fillId="6" borderId="1" xfId="1" applyNumberFormat="1" applyFont="1" applyFill="1" applyBorder="1"/>
    <xf numFmtId="44" fontId="4" fillId="0" borderId="1" xfId="1" applyFont="1" applyFill="1" applyBorder="1"/>
    <xf numFmtId="0" fontId="0" fillId="8" borderId="0" xfId="0" applyFill="1"/>
    <xf numFmtId="8" fontId="0" fillId="8" borderId="0" xfId="1" applyNumberFormat="1" applyFont="1" applyFill="1"/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EBDCA9-2485-4CAD-ACA3-7C1C9DBC7C74}">
  <we:reference id="wa200005502" version="1.0.0.13" store="pt-BR" storeType="OMEX"/>
  <we:alternateReferences>
    <we:reference id="WA200005502" version="1.0.0.13" store="WA200005502" storeType="OMEX"/>
  </we:alternateReferences>
  <we:properties>
    <we:property name="docId" value="&quot;ijv-4IjBj6oWkTBRuEetv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115" zoomScaleNormal="115" workbookViewId="0">
      <selection activeCell="G12" sqref="G12"/>
    </sheetView>
  </sheetViews>
  <sheetFormatPr defaultRowHeight="15" x14ac:dyDescent="0.25"/>
  <cols>
    <col min="1" max="1" width="11.140625" bestFit="1" customWidth="1"/>
    <col min="2" max="2" width="6.42578125" bestFit="1" customWidth="1"/>
    <col min="3" max="3" width="16.7109375" style="1" bestFit="1" customWidth="1"/>
    <col min="4" max="4" width="14" style="1" bestFit="1" customWidth="1"/>
    <col min="5" max="5" width="12.7109375" style="1" bestFit="1" customWidth="1"/>
    <col min="6" max="6" width="15.140625" bestFit="1" customWidth="1"/>
    <col min="7" max="7" width="62.140625" bestFit="1" customWidth="1"/>
    <col min="9" max="9" width="9.5703125" style="6" bestFit="1" customWidth="1"/>
    <col min="10" max="10" width="10.5703125" style="6" bestFit="1" customWidth="1"/>
  </cols>
  <sheetData>
    <row r="1" spans="1:7" ht="23.25" x14ac:dyDescent="0.35">
      <c r="A1" s="15" t="s">
        <v>4</v>
      </c>
      <c r="B1" s="15"/>
      <c r="C1" s="15"/>
      <c r="D1" s="15"/>
    </row>
    <row r="2" spans="1:7" x14ac:dyDescent="0.25">
      <c r="A2" s="7"/>
      <c r="B2" s="7"/>
      <c r="C2" s="8"/>
      <c r="D2" s="8"/>
    </row>
    <row r="3" spans="1:7" x14ac:dyDescent="0.25">
      <c r="A3" s="16" t="s">
        <v>6</v>
      </c>
      <c r="B3" s="16"/>
      <c r="C3" s="16"/>
      <c r="D3" s="16"/>
      <c r="G3" s="17" t="s">
        <v>12</v>
      </c>
    </row>
    <row r="4" spans="1:7" x14ac:dyDescent="0.25">
      <c r="A4" s="9" t="s">
        <v>0</v>
      </c>
      <c r="B4" s="9" t="s">
        <v>1</v>
      </c>
      <c r="C4" s="18" t="s">
        <v>2</v>
      </c>
      <c r="D4" s="10" t="s">
        <v>3</v>
      </c>
      <c r="E4" s="2"/>
      <c r="G4" s="20" t="s">
        <v>13</v>
      </c>
    </row>
    <row r="5" spans="1:7" x14ac:dyDescent="0.25">
      <c r="A5" s="11">
        <v>60</v>
      </c>
      <c r="B5" s="12">
        <v>1.4999999999999999E-2</v>
      </c>
      <c r="C5" s="13">
        <v>500</v>
      </c>
      <c r="D5" s="21">
        <f>-FV(B5,A5,C5,0)</f>
        <v>48107.325856324074</v>
      </c>
      <c r="E5" s="3"/>
      <c r="F5" s="4"/>
      <c r="G5" s="22" t="s">
        <v>14</v>
      </c>
    </row>
    <row r="6" spans="1:7" x14ac:dyDescent="0.25">
      <c r="A6" s="7"/>
      <c r="B6" s="7"/>
      <c r="C6" s="8"/>
      <c r="D6" s="14"/>
      <c r="E6" s="3"/>
      <c r="G6" s="24" t="s">
        <v>15</v>
      </c>
    </row>
    <row r="7" spans="1:7" x14ac:dyDescent="0.25">
      <c r="A7" s="16" t="s">
        <v>7</v>
      </c>
      <c r="B7" s="16"/>
      <c r="C7" s="16"/>
      <c r="D7" s="16"/>
      <c r="G7" s="25" t="s">
        <v>16</v>
      </c>
    </row>
    <row r="8" spans="1:7" x14ac:dyDescent="0.25">
      <c r="A8" s="9" t="s">
        <v>0</v>
      </c>
      <c r="B8" s="9" t="s">
        <v>1</v>
      </c>
      <c r="C8" s="18" t="s">
        <v>2</v>
      </c>
      <c r="D8" s="10" t="s">
        <v>9</v>
      </c>
      <c r="E8" s="2"/>
      <c r="G8" s="29" t="s">
        <v>17</v>
      </c>
    </row>
    <row r="9" spans="1:7" x14ac:dyDescent="0.25">
      <c r="A9" s="11">
        <v>24</v>
      </c>
      <c r="B9" s="12">
        <v>3.5000000000000003E-2</v>
      </c>
      <c r="C9" s="13">
        <v>78</v>
      </c>
      <c r="D9" s="23">
        <f>PV(B9,A9,-C9)</f>
        <v>1252.5526730352515</v>
      </c>
      <c r="E9" s="3"/>
      <c r="G9" s="5"/>
    </row>
    <row r="10" spans="1:7" x14ac:dyDescent="0.25">
      <c r="A10" s="7"/>
      <c r="B10" s="7"/>
      <c r="C10" s="8"/>
      <c r="D10" s="8"/>
    </row>
    <row r="11" spans="1:7" x14ac:dyDescent="0.25">
      <c r="A11" s="16" t="s">
        <v>8</v>
      </c>
      <c r="B11" s="16"/>
      <c r="C11" s="16"/>
      <c r="D11" s="16"/>
    </row>
    <row r="12" spans="1:7" ht="30" x14ac:dyDescent="0.25">
      <c r="A12" s="9" t="s">
        <v>0</v>
      </c>
      <c r="B12" s="9" t="s">
        <v>1</v>
      </c>
      <c r="C12" s="18" t="s">
        <v>2</v>
      </c>
      <c r="D12" s="10" t="s">
        <v>10</v>
      </c>
    </row>
    <row r="13" spans="1:7" x14ac:dyDescent="0.25">
      <c r="A13" s="11">
        <v>24</v>
      </c>
      <c r="B13" s="12">
        <v>5.0000000000000001E-3</v>
      </c>
      <c r="C13" s="27">
        <f>PMT(B13,A13,D13)</f>
        <v>-1551.2213588464913</v>
      </c>
      <c r="D13" s="28">
        <v>35000</v>
      </c>
      <c r="E13" s="3"/>
    </row>
    <row r="14" spans="1:7" x14ac:dyDescent="0.25">
      <c r="A14" s="7"/>
      <c r="B14" s="7"/>
      <c r="C14" s="8"/>
      <c r="D14" s="8"/>
    </row>
    <row r="15" spans="1:7" x14ac:dyDescent="0.25">
      <c r="A15" s="16" t="s">
        <v>5</v>
      </c>
      <c r="B15" s="16"/>
      <c r="C15" s="16"/>
      <c r="D15" s="16"/>
    </row>
    <row r="16" spans="1:7" ht="30" x14ac:dyDescent="0.25">
      <c r="A16" s="9" t="s">
        <v>0</v>
      </c>
      <c r="B16" s="9" t="s">
        <v>1</v>
      </c>
      <c r="C16" s="19" t="s">
        <v>2</v>
      </c>
      <c r="D16" s="10" t="s">
        <v>11</v>
      </c>
    </row>
    <row r="17" spans="1:5" x14ac:dyDescent="0.25">
      <c r="A17" s="26">
        <f>-NPER(B17,C17,D17)</f>
        <v>18.24727477297845</v>
      </c>
      <c r="B17" s="12">
        <v>2.4E-2</v>
      </c>
      <c r="C17" s="13">
        <v>1551.22</v>
      </c>
      <c r="D17" s="13">
        <v>35000</v>
      </c>
      <c r="E17" s="30">
        <f>FV(B17,A17,-C17)</f>
        <v>35000.000000000015</v>
      </c>
    </row>
  </sheetData>
  <mergeCells count="5">
    <mergeCell ref="A1:D1"/>
    <mergeCell ref="A3:D3"/>
    <mergeCell ref="A7:D7"/>
    <mergeCell ref="A11:D11"/>
    <mergeCell ref="A15:D1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381392-92DC-4B89-8AFA-6588CC1A28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79D577D-E54F-43DB-8E50-C26E4C5F764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629338B-86A2-485E-AA11-BE645D1F81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YURI DA SILVA MENDES</cp:lastModifiedBy>
  <dcterms:created xsi:type="dcterms:W3CDTF">2011-06-14T19:33:51Z</dcterms:created>
  <dcterms:modified xsi:type="dcterms:W3CDTF">2026-09-24T01:17:28Z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