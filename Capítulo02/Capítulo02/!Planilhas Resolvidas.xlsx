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Documents\Livro Excel 2019\Avançado\Excel 2019\Planilhas\Capítulo2\"/>
    </mc:Choice>
  </mc:AlternateContent>
  <xr:revisionPtr revIDLastSave="0" documentId="13_ncr:1_{EA288DDF-7612-441F-905F-45CF2B355379}" xr6:coauthVersionLast="41" xr6:coauthVersionMax="41" xr10:uidLastSave="{00000000-0000-0000-0000-000000000000}"/>
  <bookViews>
    <workbookView xWindow="-120" yWindow="-120" windowWidth="20730" windowHeight="11310" firstSheet="8" activeTab="13" xr2:uid="{F8877A5B-7FA2-433F-8E9E-05EA60650763}"/>
  </bookViews>
  <sheets>
    <sheet name="TUDO EM INFORMÁTICA" sheetId="2" r:id="rId1"/>
    <sheet name="LOTERIA" sheetId="3" r:id="rId2"/>
    <sheet name="MEGASENA 2012" sheetId="4" r:id="rId3"/>
    <sheet name="VENDAS" sheetId="5" r:id="rId4"/>
    <sheet name="RELATÓRIO" sheetId="6" r:id="rId5"/>
    <sheet name="ITENS" sheetId="7" r:id="rId6"/>
    <sheet name="META DE VENDAS" sheetId="8" r:id="rId7"/>
    <sheet name="CONTAS DO FABIO" sheetId="15" r:id="rId8"/>
    <sheet name="FORMATACAO DE DATAS" sheetId="9" r:id="rId9"/>
    <sheet name="ESTOQUE" sheetId="10" r:id="rId10"/>
    <sheet name="FERIADOS" sheetId="11" r:id="rId11"/>
    <sheet name="RELATORIO" sheetId="12" r:id="rId12"/>
    <sheet name="FERIADOS-2" sheetId="13" r:id="rId13"/>
    <sheet name="LANHOUSE" sheetId="14" r:id="rId14"/>
  </sheets>
  <externalReferences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7" i="15" l="1"/>
  <c r="C13" i="15"/>
  <c r="D9" i="15"/>
  <c r="D5" i="15"/>
  <c r="E17" i="6" l="1"/>
  <c r="E16" i="6"/>
  <c r="E15" i="6"/>
  <c r="E14" i="6"/>
  <c r="E11" i="6"/>
  <c r="E10" i="6"/>
  <c r="E9" i="6"/>
  <c r="E8" i="6"/>
  <c r="E5" i="6"/>
  <c r="E4" i="6"/>
  <c r="E3" i="6"/>
  <c r="E2" i="6"/>
  <c r="B10" i="6"/>
  <c r="B9" i="6"/>
  <c r="B8" i="6"/>
  <c r="B7" i="6"/>
  <c r="B4" i="6"/>
  <c r="B3" i="6"/>
  <c r="B2" i="6"/>
  <c r="H11" i="14" l="1"/>
  <c r="D11" i="14"/>
  <c r="E11" i="14" s="1"/>
  <c r="H10" i="14"/>
  <c r="D10" i="14"/>
  <c r="F10" i="14" s="1"/>
  <c r="H9" i="14"/>
  <c r="F9" i="14"/>
  <c r="D9" i="14"/>
  <c r="E9" i="14" s="1"/>
  <c r="G9" i="14" s="1"/>
  <c r="I9" i="14" s="1"/>
  <c r="H8" i="14"/>
  <c r="D8" i="14"/>
  <c r="F8" i="14" s="1"/>
  <c r="H7" i="14"/>
  <c r="F7" i="14"/>
  <c r="D7" i="14"/>
  <c r="E7" i="14" s="1"/>
  <c r="G7" i="14" s="1"/>
  <c r="I7" i="14" s="1"/>
  <c r="H6" i="14"/>
  <c r="D6" i="14"/>
  <c r="F6" i="14" s="1"/>
  <c r="H5" i="14"/>
  <c r="F5" i="14"/>
  <c r="D5" i="14"/>
  <c r="E5" i="14" s="1"/>
  <c r="G5" i="14" s="1"/>
  <c r="I5" i="14" s="1"/>
  <c r="F11" i="14" l="1"/>
  <c r="G11" i="14" s="1"/>
  <c r="I11" i="14" s="1"/>
  <c r="E6" i="14"/>
  <c r="G6" i="14" s="1"/>
  <c r="I6" i="14" s="1"/>
  <c r="E8" i="14"/>
  <c r="G8" i="14" s="1"/>
  <c r="I8" i="14" s="1"/>
  <c r="E10" i="14"/>
  <c r="G10" i="14" s="1"/>
  <c r="I10" i="14" s="1"/>
  <c r="F7" i="12"/>
  <c r="F8" i="12"/>
  <c r="F9" i="12"/>
  <c r="F10" i="12"/>
  <c r="F11" i="12"/>
  <c r="F12" i="12"/>
  <c r="G12" i="12" s="1"/>
  <c r="F13" i="12"/>
  <c r="F14" i="12"/>
  <c r="G14" i="12" s="1"/>
  <c r="F15" i="12"/>
  <c r="G15" i="12" s="1"/>
  <c r="F16" i="12"/>
  <c r="G16" i="12" s="1"/>
  <c r="F6" i="12"/>
  <c r="G6" i="12" s="1"/>
  <c r="G13" i="12"/>
  <c r="G11" i="12"/>
  <c r="G10" i="12"/>
  <c r="G9" i="12"/>
  <c r="G8" i="12"/>
  <c r="G7" i="12"/>
  <c r="C12" i="10" l="1"/>
  <c r="F12" i="10" s="1"/>
  <c r="C13" i="10" s="1"/>
  <c r="F13" i="10" s="1"/>
  <c r="C14" i="10" s="1"/>
  <c r="F14" i="10" s="1"/>
  <c r="C15" i="10" s="1"/>
  <c r="F15" i="10" s="1"/>
  <c r="C16" i="10" s="1"/>
  <c r="F16" i="10" s="1"/>
  <c r="C17" i="10" s="1"/>
  <c r="F17" i="10" s="1"/>
  <c r="C18" i="10" s="1"/>
  <c r="F18" i="10" s="1"/>
  <c r="C19" i="10" s="1"/>
  <c r="F19" i="10" s="1"/>
  <c r="C20" i="10" s="1"/>
  <c r="F20" i="10" s="1"/>
  <c r="C21" i="10" s="1"/>
  <c r="F21" i="10" s="1"/>
  <c r="C22" i="10" s="1"/>
  <c r="F22" i="10" s="1"/>
  <c r="C23" i="10" s="1"/>
  <c r="F23" i="10" s="1"/>
  <c r="C24" i="10" s="1"/>
  <c r="F24" i="10" s="1"/>
  <c r="C25" i="10" s="1"/>
  <c r="F25" i="10" s="1"/>
  <c r="C26" i="10" s="1"/>
  <c r="F26" i="10" s="1"/>
  <c r="C27" i="10" s="1"/>
  <c r="F27" i="10" s="1"/>
  <c r="C28" i="10" s="1"/>
  <c r="F28" i="10" s="1"/>
  <c r="C29" i="10" s="1"/>
  <c r="F29" i="10" s="1"/>
  <c r="C30" i="10" s="1"/>
  <c r="F30" i="10" s="1"/>
  <c r="F11" i="10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F1" i="10"/>
  <c r="F4" i="10" s="1"/>
  <c r="F5" i="10" l="1"/>
  <c r="F2" i="10"/>
  <c r="F3" i="10"/>
  <c r="C9" i="8" l="1"/>
  <c r="C8" i="8"/>
  <c r="C7" i="8"/>
  <c r="C6" i="8"/>
  <c r="C5" i="8"/>
  <c r="C4" i="8"/>
  <c r="D15" i="7" l="1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22" i="5" l="1"/>
  <c r="F22" i="5" s="1"/>
  <c r="G22" i="5" s="1"/>
  <c r="D21" i="5"/>
  <c r="E21" i="5" s="1"/>
  <c r="D20" i="5"/>
  <c r="F20" i="5" s="1"/>
  <c r="G20" i="5" s="1"/>
  <c r="D19" i="5"/>
  <c r="E19" i="5" s="1"/>
  <c r="D18" i="5"/>
  <c r="F18" i="5" s="1"/>
  <c r="G18" i="5" s="1"/>
  <c r="D17" i="5"/>
  <c r="E17" i="5" s="1"/>
  <c r="D16" i="5"/>
  <c r="F16" i="5" s="1"/>
  <c r="G16" i="5" s="1"/>
  <c r="D15" i="5"/>
  <c r="E15" i="5" s="1"/>
  <c r="D14" i="5"/>
  <c r="F14" i="5" s="1"/>
  <c r="G14" i="5" s="1"/>
  <c r="D13" i="5"/>
  <c r="E13" i="5" s="1"/>
  <c r="D12" i="5"/>
  <c r="F12" i="5" s="1"/>
  <c r="G12" i="5" s="1"/>
  <c r="D11" i="5"/>
  <c r="E11" i="5" s="1"/>
  <c r="D10" i="5"/>
  <c r="F10" i="5" s="1"/>
  <c r="G10" i="5" s="1"/>
  <c r="D9" i="5"/>
  <c r="E9" i="5" s="1"/>
  <c r="D8" i="5"/>
  <c r="F8" i="5" s="1"/>
  <c r="G8" i="5" s="1"/>
  <c r="D7" i="5"/>
  <c r="E7" i="5" s="1"/>
  <c r="D6" i="5"/>
  <c r="F6" i="5" s="1"/>
  <c r="G6" i="5" s="1"/>
  <c r="D5" i="5"/>
  <c r="E5" i="5" s="1"/>
  <c r="D4" i="5"/>
  <c r="E4" i="5" s="1"/>
  <c r="D3" i="5"/>
  <c r="F3" i="5" s="1"/>
  <c r="G3" i="5" s="1"/>
  <c r="E3" i="5" l="1"/>
  <c r="E6" i="5"/>
  <c r="E8" i="5"/>
  <c r="E10" i="5"/>
  <c r="E12" i="5"/>
  <c r="E14" i="5"/>
  <c r="E16" i="5"/>
  <c r="E18" i="5"/>
  <c r="E20" i="5"/>
  <c r="E22" i="5"/>
  <c r="F4" i="5"/>
  <c r="G4" i="5" s="1"/>
  <c r="F5" i="5"/>
  <c r="G5" i="5" s="1"/>
  <c r="F7" i="5"/>
  <c r="G7" i="5" s="1"/>
  <c r="F9" i="5"/>
  <c r="G9" i="5" s="1"/>
  <c r="F11" i="5"/>
  <c r="G11" i="5" s="1"/>
  <c r="F13" i="5"/>
  <c r="G13" i="5" s="1"/>
  <c r="F15" i="5"/>
  <c r="G15" i="5" s="1"/>
  <c r="F17" i="5"/>
  <c r="G17" i="5" s="1"/>
  <c r="F19" i="5"/>
  <c r="G19" i="5" s="1"/>
  <c r="F21" i="5"/>
  <c r="G21" i="5" s="1"/>
  <c r="P2" i="4" l="1"/>
  <c r="O2" i="4"/>
  <c r="N2" i="4"/>
  <c r="M2" i="4"/>
  <c r="L2" i="4"/>
  <c r="K2" i="4"/>
  <c r="F4" i="3" l="1"/>
  <c r="E4" i="3"/>
  <c r="D4" i="3"/>
  <c r="C4" i="3"/>
  <c r="B4" i="3"/>
  <c r="A4" i="3"/>
  <c r="D20" i="2" l="1"/>
  <c r="D19" i="2"/>
  <c r="F16" i="2"/>
  <c r="F15" i="2"/>
  <c r="F14" i="2"/>
  <c r="F13" i="2"/>
  <c r="D25" i="2" s="1"/>
  <c r="F12" i="2"/>
  <c r="F11" i="2"/>
  <c r="F10" i="2"/>
  <c r="F9" i="2"/>
  <c r="F8" i="2"/>
  <c r="D26" i="2" s="1"/>
  <c r="F7" i="2"/>
  <c r="F6" i="2"/>
  <c r="F5" i="2"/>
  <c r="D27" i="2" s="1"/>
  <c r="F4" i="2"/>
  <c r="F3" i="2"/>
  <c r="D23" i="2" s="1"/>
  <c r="D24" i="2" l="1"/>
  <c r="D22" i="2"/>
  <c r="D21" i="2"/>
</calcChain>
</file>

<file path=xl/sharedStrings.xml><?xml version="1.0" encoding="utf-8"?>
<sst xmlns="http://schemas.openxmlformats.org/spreadsheetml/2006/main" count="274" uniqueCount="165">
  <si>
    <t>TUDO EM INFORMÁTICA - Vendas 1º Trimestre 2018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</si>
  <si>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</si>
  <si>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</si>
  <si>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</si>
  <si>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</si>
  <si>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</si>
  <si>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</si>
  <si>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</si>
  <si>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</si>
  <si>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</si>
  <si>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</si>
  <si>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</si>
  <si>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</si>
  <si>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</si>
  <si>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</si>
  <si>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</si>
  <si>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</si>
  <si>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</si>
  <si>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</si>
  <si>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</si>
  <si>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</si>
  <si>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</si>
  <si>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</si>
  <si>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</si>
  <si>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</si>
  <si>
    <t>NÚMEROS DA SORTE</t>
  </si>
  <si>
    <t>NÚMERO 1</t>
  </si>
  <si>
    <t>NÚMERO 2</t>
  </si>
  <si>
    <t>NÚMERO 3</t>
  </si>
  <si>
    <t>NÚMERO 4</t>
  </si>
  <si>
    <t>NÚMERO 5</t>
  </si>
  <si>
    <t>NÚMERO 6</t>
  </si>
  <si>
    <t>CONCURSO</t>
  </si>
  <si>
    <t>DATA</t>
  </si>
  <si>
    <t>NÚMEROS SORTEADOS</t>
  </si>
  <si>
    <t>APOSTA PARA GANHAR</t>
  </si>
  <si>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</si>
  <si>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</si>
  <si>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</si>
  <si>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</si>
  <si>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</si>
  <si>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</si>
  <si>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</si>
  <si>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</si>
  <si>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</si>
  <si>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</si>
  <si>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</si>
  <si>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</si>
  <si>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</si>
  <si>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</si>
  <si>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</si>
  <si>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</si>
  <si>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</si>
  <si>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</si>
  <si>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</si>
  <si>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</si>
  <si>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</si>
  <si>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</si>
  <si>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</si>
  <si>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</si>
  <si>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</si>
  <si>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</si>
  <si>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</si>
  <si>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</si>
  <si>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</si>
  <si>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</si>
  <si>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</si>
  <si>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</si>
  <si>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</si>
  <si>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</si>
  <si>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>Total Vendedores</t>
  </si>
  <si>
    <t xml:space="preserve">Menor </t>
  </si>
  <si>
    <t>Ganhadores</t>
  </si>
  <si>
    <t>Média</t>
  </si>
  <si>
    <t>Média de Vendas Total</t>
  </si>
  <si>
    <t>Média de Vendas dos Não Ganhadores</t>
  </si>
  <si>
    <t>NÚMERO DE VENDEDORES</t>
  </si>
  <si>
    <t>Total</t>
  </si>
  <si>
    <t>Não efetuaram vendas</t>
  </si>
  <si>
    <t>Efetuaram vendas</t>
  </si>
  <si>
    <t>Ganhadores do prêmio</t>
  </si>
  <si>
    <t>ITEM</t>
  </si>
  <si>
    <t>COR</t>
  </si>
  <si>
    <t>LÁPIS E VERMELHO</t>
  </si>
  <si>
    <t>LÁPIS OU VERMELHO</t>
  </si>
  <si>
    <t>Lápis</t>
  </si>
  <si>
    <t>Amarelo</t>
  </si>
  <si>
    <t>Caderno</t>
  </si>
  <si>
    <t>Verde</t>
  </si>
  <si>
    <t>Estojo</t>
  </si>
  <si>
    <t>Vermelho</t>
  </si>
  <si>
    <t>Pen Drive</t>
  </si>
  <si>
    <t>Caixa</t>
  </si>
  <si>
    <t>Grampeador</t>
  </si>
  <si>
    <t>Meta de Vendas:</t>
  </si>
  <si>
    <t>Vendedor</t>
  </si>
  <si>
    <t>Vendas</t>
  </si>
  <si>
    <t>Conceito</t>
  </si>
  <si>
    <t>Marlene</t>
  </si>
  <si>
    <t>Joaquim</t>
  </si>
  <si>
    <t>Ferdinando</t>
  </si>
  <si>
    <t>Sophia</t>
  </si>
  <si>
    <t>Geraldo</t>
  </si>
  <si>
    <t>Augusto</t>
  </si>
  <si>
    <t>Data</t>
  </si>
  <si>
    <t>Dia do Mês</t>
  </si>
  <si>
    <t>Dia da Semana</t>
  </si>
  <si>
    <t>Dia, Mês, Ano</t>
  </si>
  <si>
    <t>DATA DE HOJE:</t>
  </si>
  <si>
    <t>DIA DE HOJE:</t>
  </si>
  <si>
    <t>NÚMERO DO MÊS DE HOJE:</t>
  </si>
  <si>
    <t>ANO DE HOJE:</t>
  </si>
  <si>
    <t>NÚMERO DO DIA DA SEMANA DE HOJE:</t>
  </si>
  <si>
    <t>CONTROLE DO ESTOQUE DE VASSOURAS</t>
  </si>
  <si>
    <t xml:space="preserve">MÊS: </t>
  </si>
  <si>
    <t>DIA DA SEMANA</t>
  </si>
  <si>
    <t>ESTOQUE ANTERIOR</t>
  </si>
  <si>
    <t>QUANTIDADE ENTRADA</t>
  </si>
  <si>
    <t>QUANTIDADE SAÍDA</t>
  </si>
  <si>
    <t>ESTOQUE DO DIA</t>
  </si>
  <si>
    <t>ZAP S/A - CONTROLE DE PAGAMENTOS ÀS EMPRESAS TERCEIRIZADAS</t>
  </si>
  <si>
    <t>PERÍODO: 01/01/2018 A 31/07/2018</t>
  </si>
  <si>
    <t>VALOR/HORA: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</si>
  <si>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</si>
  <si>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</si>
  <si>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</si>
  <si>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</si>
  <si>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</si>
  <si>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</si>
  <si>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</si>
  <si>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</si>
  <si>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Administrativa</t>
  </si>
  <si>
    <t>CONTÁBIL TOTAL</t>
  </si>
  <si>
    <t>Contabilidade</t>
  </si>
  <si>
    <t>LUCAS BROS</t>
  </si>
  <si>
    <t>NETHOUSE - COMPUTADOR 23 - 03/06/2018</t>
  </si>
  <si>
    <t>VALOR HORA:</t>
  </si>
  <si>
    <t>USUÁRIO</t>
  </si>
  <si>
    <t>HORA INICIAL</t>
  </si>
  <si>
    <t>HORA FINAL</t>
  </si>
  <si>
    <t>TEMPO TOTAL</t>
  </si>
  <si>
    <t>NÚMERO DE HORAS</t>
  </si>
  <si>
    <t>NÚMERO DE MINUTOS</t>
  </si>
  <si>
    <t>TEMPO TOTAL (MINUTOS)</t>
  </si>
  <si>
    <t>VALOR DO MINUTO</t>
  </si>
  <si>
    <t>VALOR A PAGAR</t>
  </si>
  <si>
    <t>Alexandre</t>
  </si>
  <si>
    <t>Karina</t>
  </si>
  <si>
    <t>Monica</t>
  </si>
  <si>
    <t>Manolo</t>
  </si>
  <si>
    <t>Simone</t>
  </si>
  <si>
    <t>Yvone</t>
  </si>
  <si>
    <t>Rogerio</t>
  </si>
  <si>
    <t>CONTAS DO FÁBIO</t>
  </si>
  <si>
    <t>Investimento para o consultório</t>
  </si>
  <si>
    <t>Nº Parcelas</t>
  </si>
  <si>
    <t>Taxa</t>
  </si>
  <si>
    <t>Valor da parcela</t>
  </si>
  <si>
    <t>Valor Futuro</t>
  </si>
  <si>
    <t>Compra de uma máquina de lavar</t>
  </si>
  <si>
    <t>Valor à Vista</t>
  </si>
  <si>
    <t>Compra de um automóvel</t>
  </si>
  <si>
    <t>Valor do Carro</t>
  </si>
  <si>
    <t>Investimento</t>
  </si>
  <si>
    <t xml:space="preserve">Valor desejado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</si>
</sst>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(&quot;R$&quot;* #,##0.00_);_(&quot;R$&quot;* \(#,##0.00\);_(&quot;R$&quot;* &quot;-&quot;??_);_(@_)"/>
    <numFmt numFmtId="166" formatCode="&quot;R$&quot;\ #,##0.00"/>
    <numFmt numFmtId="167" formatCode="dd"/>
    <numFmt numFmtId="168" formatCode="dddd"/>
    <numFmt numFmtId="169" formatCode="mmmm"/>
    <numFmt numFmtId="170" formatCode="dddd&quot;, &quot;dd&quot; de &quot;mmmm&quot; de &quot;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 Black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8"/>
      <name val="Calibri"/>
      <family val="2"/>
    </font>
    <font>
      <sz val="10"/>
      <name val="Arial"/>
      <family val="2"/>
    </font>
    <font>
      <sz val="14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165" fontId="12" fillId="0" borderId="0" applyFont="0" applyFill="0" applyBorder="0" applyAlignment="0" applyProtection="0"/>
  </cellStyleXfs>
  <cellXfs count="9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44" fontId="0" fillId="0" borderId="1" xfId="2" applyFont="1" applyBorder="1"/>
    <xf numFmtId="44" fontId="0" fillId="0" borderId="0" xfId="2" applyFont="1"/>
    <xf numFmtId="164" fontId="0" fillId="0" borderId="1" xfId="0" applyNumberFormat="1" applyBorder="1" applyAlignment="1">
      <alignment horizontal="left" vertical="center"/>
    </xf>
    <xf numFmtId="44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/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11" fillId="0" borderId="0" xfId="3" applyFont="1"/>
    <xf numFmtId="165" fontId="13" fillId="0" borderId="0" xfId="4" applyFont="1"/>
    <xf numFmtId="0" fontId="14" fillId="0" borderId="0" xfId="3" applyFont="1"/>
    <xf numFmtId="0" fontId="15" fillId="3" borderId="1" xfId="3" applyFont="1" applyFill="1" applyBorder="1" applyAlignment="1">
      <alignment horizontal="center" vertical="center" wrapText="1"/>
    </xf>
    <xf numFmtId="0" fontId="14" fillId="3" borderId="0" xfId="3" applyFont="1" applyFill="1"/>
    <xf numFmtId="0" fontId="16" fillId="0" borderId="1" xfId="3" applyFont="1" applyBorder="1"/>
    <xf numFmtId="0" fontId="16" fillId="0" borderId="1" xfId="3" applyFont="1" applyBorder="1" applyAlignment="1">
      <alignment horizontal="center"/>
    </xf>
    <xf numFmtId="166" fontId="16" fillId="0" borderId="1" xfId="4" applyNumberFormat="1" applyFont="1" applyBorder="1" applyAlignment="1">
      <alignment horizontal="right"/>
    </xf>
    <xf numFmtId="0" fontId="16" fillId="0" borderId="1" xfId="3" applyFont="1" applyBorder="1" applyAlignment="1">
      <alignment horizontal="center" vertical="center"/>
    </xf>
    <xf numFmtId="165" fontId="16" fillId="0" borderId="1" xfId="4" applyFont="1" applyBorder="1" applyAlignment="1">
      <alignment horizontal="right" vertical="center"/>
    </xf>
    <xf numFmtId="0" fontId="16" fillId="0" borderId="0" xfId="3" applyFont="1"/>
    <xf numFmtId="0" fontId="14" fillId="0" borderId="0" xfId="3" applyFont="1" applyAlignment="1">
      <alignment horizontal="center"/>
    </xf>
    <xf numFmtId="165" fontId="16" fillId="0" borderId="0" xfId="3" applyNumberFormat="1" applyFont="1"/>
    <xf numFmtId="0" fontId="16" fillId="0" borderId="0" xfId="3" applyFont="1" applyAlignment="1">
      <alignment horizontal="center"/>
    </xf>
    <xf numFmtId="165" fontId="16" fillId="0" borderId="0" xfId="4" applyFont="1"/>
    <xf numFmtId="0" fontId="6" fillId="0" borderId="0" xfId="3" applyFont="1"/>
    <xf numFmtId="0" fontId="6" fillId="0" borderId="1" xfId="3" applyFont="1" applyBorder="1"/>
    <xf numFmtId="165" fontId="6" fillId="0" borderId="1" xfId="4" applyFont="1" applyBorder="1"/>
    <xf numFmtId="0" fontId="2" fillId="3" borderId="1" xfId="0" applyFont="1" applyFill="1" applyBorder="1"/>
    <xf numFmtId="0" fontId="17" fillId="0" borderId="0" xfId="0" applyFont="1"/>
    <xf numFmtId="44" fontId="17" fillId="0" borderId="0" xfId="2" applyFont="1"/>
    <xf numFmtId="0" fontId="18" fillId="3" borderId="0" xfId="0" applyFont="1" applyFill="1"/>
    <xf numFmtId="44" fontId="18" fillId="3" borderId="0" xfId="2" applyFont="1" applyFill="1"/>
    <xf numFmtId="0" fontId="19" fillId="0" borderId="0" xfId="0" applyFont="1"/>
    <xf numFmtId="44" fontId="19" fillId="0" borderId="0" xfId="2" applyFont="1"/>
    <xf numFmtId="0" fontId="20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69" fontId="2" fillId="0" borderId="0" xfId="0" applyNumberFormat="1" applyFont="1"/>
    <xf numFmtId="0" fontId="7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8" fontId="23" fillId="0" borderId="0" xfId="0" applyNumberFormat="1" applyFont="1" applyAlignment="1">
      <alignment horizontal="center"/>
    </xf>
    <xf numFmtId="0" fontId="24" fillId="5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8" fontId="0" fillId="0" borderId="1" xfId="0" applyNumberFormat="1" applyBorder="1"/>
    <xf numFmtId="0" fontId="18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1" xfId="2" applyFont="1" applyBorder="1" applyAlignment="1">
      <alignment horizontal="center" vertical="center" wrapText="1"/>
    </xf>
    <xf numFmtId="20" fontId="0" fillId="0" borderId="1" xfId="0" applyNumberFormat="1" applyBorder="1"/>
    <xf numFmtId="20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2" fontId="0" fillId="0" borderId="1" xfId="0" applyNumberFormat="1" applyBorder="1" applyAlignment="1">
      <alignment vertical="center"/>
    </xf>
    <xf numFmtId="44" fontId="6" fillId="0" borderId="0" xfId="2" applyFont="1"/>
    <xf numFmtId="0" fontId="7" fillId="0" borderId="1" xfId="0" applyFont="1" applyBorder="1" applyAlignment="1">
      <alignment horizontal="center" vertical="center" wrapText="1"/>
    </xf>
    <xf numFmtId="44" fontId="7" fillId="0" borderId="1" xfId="2" applyFont="1" applyBorder="1" applyAlignment="1">
      <alignment horizontal="center" vertical="center" wrapText="1"/>
    </xf>
    <xf numFmtId="44" fontId="2" fillId="0" borderId="0" xfId="2" applyFont="1" applyAlignment="1">
      <alignment horizontal="center" vertical="center" wrapText="1"/>
    </xf>
    <xf numFmtId="0" fontId="6" fillId="0" borderId="1" xfId="0" applyFont="1" applyBorder="1"/>
    <xf numFmtId="10" fontId="6" fillId="0" borderId="1" xfId="0" applyNumberFormat="1" applyFont="1" applyBorder="1"/>
    <xf numFmtId="44" fontId="6" fillId="0" borderId="1" xfId="2" applyFont="1" applyBorder="1"/>
    <xf numFmtId="8" fontId="0" fillId="0" borderId="0" xfId="2" applyNumberFormat="1" applyFont="1"/>
    <xf numFmtId="8" fontId="0" fillId="0" borderId="0" xfId="0" applyNumberFormat="1"/>
    <xf numFmtId="8" fontId="6" fillId="0" borderId="0" xfId="2" applyNumberFormat="1" applyFont="1"/>
    <xf numFmtId="1" fontId="6" fillId="0" borderId="1" xfId="0" applyNumberFormat="1" applyFont="1" applyBorder="1"/>
    <xf numFmtId="43" fontId="0" fillId="0" borderId="0" xfId="1" applyFont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1" xfId="3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5">
    <cellStyle name="Moeda" xfId="2" builtinId="4"/>
    <cellStyle name="Moeda 2" xfId="4" xr:uid="{747FBC09-3CC6-48ED-894B-6A1502E270F9}"/>
    <cellStyle name="Normal" xfId="0" builtinId="0"/>
    <cellStyle name="Normal 2" xfId="3" xr:uid="{A5914700-CA5F-450D-88EB-DB76A758C706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lvia/Documents/Livro%20Excel%202019/Avan&#231;ado/Excel%202019/Planilhas/RESOLVIDAS/LOJA%20DE%20CARROS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lvia/Documents/Livro%20Excel%202019/Avan&#231;ado/Excel%202019/Planilhas/RESOLVIDAS/VASSOU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AS"/>
      <sheetName val="RELATÓRIO"/>
    </sheetNames>
    <sheetDataSet>
      <sheetData sheetId="0"/>
      <sheetData sheetId="1">
        <row r="10">
          <cell r="B10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"/>
      <sheetName val="FERIADOS"/>
      <sheetName val="Plan3"/>
    </sheetNames>
    <sheetDataSet>
      <sheetData sheetId="0"/>
      <sheetData sheetId="1">
        <row r="1">
          <cell r="A1">
            <v>43221</v>
          </cell>
        </row>
        <row r="2">
          <cell r="A2">
            <v>43251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5F0D-B588-4E0F-B7F5-2462EC9A4590}">
  <dimension ref="A1:F27"/>
  <sheetViews>
    <sheetView topLeftCell="A3" zoomScale="87" zoomScaleNormal="87" workbookViewId="0">
      <selection activeCell="L14" sqref="L14"/>
    </sheetView>
  </sheetViews>
  <sheetFormatPr defaultRowHeight="15" x14ac:dyDescent="0.25"/>
  <cols>
    <col min="1" max="1" width="13.5703125" customWidth="1"/>
    <col min="2" max="2" width="14.7109375" customWidth="1"/>
    <col min="3" max="3" width="30.140625" customWidth="1"/>
    <col min="4" max="4" width="14.28515625" style="10" bestFit="1" customWidth="1"/>
    <col min="5" max="5" width="11.42578125" style="7" bestFit="1" customWidth="1"/>
    <col min="6" max="6" width="14.28515625" style="7" bestFit="1" customWidth="1"/>
    <col min="7" max="7" width="13.28515625" bestFit="1" customWidth="1"/>
  </cols>
  <sheetData>
    <row r="1" spans="1:6" ht="26.25" x14ac:dyDescent="0.4">
      <c r="A1" s="82" t="s">
        <v>0</v>
      </c>
      <c r="B1" s="82"/>
      <c r="C1" s="82"/>
      <c r="D1" s="82"/>
      <c r="E1" s="82"/>
      <c r="F1" s="82"/>
    </row>
    <row r="2" spans="1:6" ht="30" x14ac:dyDescent="0.2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5">
        <v>56</v>
      </c>
      <c r="E3" s="6">
        <v>230</v>
      </c>
      <c r="F3" s="6">
        <f>PRODUCT(D3,E3)</f>
        <v>12880</v>
      </c>
    </row>
    <row r="4" spans="1:6" x14ac:dyDescent="0.25">
      <c r="A4" s="4" t="s">
        <v>7</v>
      </c>
      <c r="B4" s="4" t="s">
        <v>8</v>
      </c>
      <c r="C4" s="4" t="s">
        <v>10</v>
      </c>
      <c r="D4" s="5">
        <v>134</v>
      </c>
      <c r="E4" s="6">
        <v>23.8</v>
      </c>
      <c r="F4" s="6">
        <f t="shared" ref="F4:F16" si="0">PRODUCT(D4,E4)</f>
        <v>3189.2000000000003</v>
      </c>
    </row>
    <row r="5" spans="1:6" x14ac:dyDescent="0.25">
      <c r="A5" s="4" t="s">
        <v>11</v>
      </c>
      <c r="B5" s="4" t="s">
        <v>8</v>
      </c>
      <c r="C5" s="4" t="s">
        <v>9</v>
      </c>
      <c r="D5" s="5">
        <v>23</v>
      </c>
      <c r="E5" s="6">
        <v>247</v>
      </c>
      <c r="F5" s="6">
        <f t="shared" si="0"/>
        <v>5681</v>
      </c>
    </row>
    <row r="6" spans="1:6" x14ac:dyDescent="0.25">
      <c r="A6" s="4" t="s">
        <v>7</v>
      </c>
      <c r="B6" s="4" t="s">
        <v>8</v>
      </c>
      <c r="C6" s="4" t="s">
        <v>12</v>
      </c>
      <c r="D6" s="5">
        <v>12</v>
      </c>
      <c r="E6" s="6">
        <v>299</v>
      </c>
      <c r="F6" s="6">
        <f t="shared" si="0"/>
        <v>3588</v>
      </c>
    </row>
    <row r="7" spans="1:6" x14ac:dyDescent="0.25">
      <c r="A7" s="4" t="s">
        <v>11</v>
      </c>
      <c r="B7" s="4" t="s">
        <v>8</v>
      </c>
      <c r="C7" s="4" t="s">
        <v>12</v>
      </c>
      <c r="D7" s="5">
        <v>45</v>
      </c>
      <c r="E7" s="6">
        <v>250</v>
      </c>
      <c r="F7" s="6">
        <f t="shared" si="0"/>
        <v>11250</v>
      </c>
    </row>
    <row r="8" spans="1:6" x14ac:dyDescent="0.25">
      <c r="A8" s="4" t="s">
        <v>7</v>
      </c>
      <c r="B8" s="4" t="s">
        <v>13</v>
      </c>
      <c r="C8" s="4" t="s">
        <v>9</v>
      </c>
      <c r="D8" s="5">
        <v>56</v>
      </c>
      <c r="E8" s="6">
        <v>220</v>
      </c>
      <c r="F8" s="6">
        <f t="shared" si="0"/>
        <v>12320</v>
      </c>
    </row>
    <row r="9" spans="1:6" x14ac:dyDescent="0.25">
      <c r="A9" s="4" t="s">
        <v>11</v>
      </c>
      <c r="B9" s="4" t="s">
        <v>13</v>
      </c>
      <c r="C9" s="4" t="s">
        <v>9</v>
      </c>
      <c r="D9" s="5">
        <v>7</v>
      </c>
      <c r="E9" s="6">
        <v>210</v>
      </c>
      <c r="F9" s="6">
        <f t="shared" si="0"/>
        <v>1470</v>
      </c>
    </row>
    <row r="10" spans="1:6" x14ac:dyDescent="0.25">
      <c r="A10" s="4" t="s">
        <v>7</v>
      </c>
      <c r="B10" s="4" t="s">
        <v>13</v>
      </c>
      <c r="C10" s="4" t="s">
        <v>10</v>
      </c>
      <c r="D10" s="5">
        <v>22</v>
      </c>
      <c r="E10" s="6">
        <v>25</v>
      </c>
      <c r="F10" s="6">
        <f t="shared" si="0"/>
        <v>550</v>
      </c>
    </row>
    <row r="11" spans="1:6" x14ac:dyDescent="0.25">
      <c r="A11" s="4" t="s">
        <v>7</v>
      </c>
      <c r="B11" s="4" t="s">
        <v>13</v>
      </c>
      <c r="C11" s="4" t="s">
        <v>12</v>
      </c>
      <c r="D11" s="5">
        <v>14</v>
      </c>
      <c r="E11" s="6">
        <v>250</v>
      </c>
      <c r="F11" s="6">
        <f t="shared" si="0"/>
        <v>3500</v>
      </c>
    </row>
    <row r="12" spans="1:6" x14ac:dyDescent="0.25">
      <c r="A12" s="4" t="s">
        <v>11</v>
      </c>
      <c r="B12" s="4" t="s">
        <v>13</v>
      </c>
      <c r="C12" s="4" t="s">
        <v>10</v>
      </c>
      <c r="D12" s="5">
        <v>3</v>
      </c>
      <c r="E12" s="6">
        <v>20</v>
      </c>
      <c r="F12" s="6">
        <f t="shared" si="0"/>
        <v>60</v>
      </c>
    </row>
    <row r="13" spans="1:6" x14ac:dyDescent="0.25">
      <c r="A13" s="4" t="s">
        <v>11</v>
      </c>
      <c r="B13" s="4" t="s">
        <v>14</v>
      </c>
      <c r="C13" s="4" t="s">
        <v>9</v>
      </c>
      <c r="D13" s="5">
        <v>21</v>
      </c>
      <c r="E13" s="6">
        <v>220</v>
      </c>
      <c r="F13" s="6">
        <f t="shared" si="0"/>
        <v>4620</v>
      </c>
    </row>
    <row r="14" spans="1:6" x14ac:dyDescent="0.25">
      <c r="A14" s="4" t="s">
        <v>7</v>
      </c>
      <c r="B14" s="4" t="s">
        <v>14</v>
      </c>
      <c r="C14" s="4" t="s">
        <v>9</v>
      </c>
      <c r="D14" s="5">
        <v>18</v>
      </c>
      <c r="E14" s="6">
        <v>230</v>
      </c>
      <c r="F14" s="6">
        <f t="shared" si="0"/>
        <v>4140</v>
      </c>
    </row>
    <row r="15" spans="1:6" x14ac:dyDescent="0.25">
      <c r="A15" s="4" t="s">
        <v>7</v>
      </c>
      <c r="B15" s="4" t="s">
        <v>14</v>
      </c>
      <c r="C15" s="4" t="s">
        <v>10</v>
      </c>
      <c r="D15" s="5">
        <v>33</v>
      </c>
      <c r="E15" s="6">
        <v>20</v>
      </c>
      <c r="F15" s="6">
        <f t="shared" si="0"/>
        <v>660</v>
      </c>
    </row>
    <row r="16" spans="1:6" x14ac:dyDescent="0.25">
      <c r="A16" s="4" t="s">
        <v>11</v>
      </c>
      <c r="B16" s="4" t="s">
        <v>14</v>
      </c>
      <c r="C16" s="4" t="s">
        <v>12</v>
      </c>
      <c r="D16" s="5">
        <v>22</v>
      </c>
      <c r="E16" s="6">
        <v>299</v>
      </c>
      <c r="F16" s="6">
        <f t="shared" si="0"/>
        <v>6578</v>
      </c>
    </row>
    <row r="18" spans="1:6" ht="21" x14ac:dyDescent="0.35">
      <c r="A18" s="83" t="s">
        <v>15</v>
      </c>
      <c r="B18" s="83"/>
      <c r="C18" s="83"/>
      <c r="D18" s="83"/>
      <c r="E18"/>
    </row>
    <row r="19" spans="1:6" x14ac:dyDescent="0.25">
      <c r="A19" s="84" t="s">
        <v>16</v>
      </c>
      <c r="B19" s="84"/>
      <c r="C19" s="84"/>
      <c r="D19" s="8">
        <f>SUM(D3:D16)</f>
        <v>466</v>
      </c>
      <c r="F19" s="9"/>
    </row>
    <row r="20" spans="1:6" x14ac:dyDescent="0.25">
      <c r="A20" s="81" t="s">
        <v>17</v>
      </c>
      <c r="B20" s="81"/>
      <c r="C20" s="81"/>
      <c r="D20" s="6">
        <f>SUMPRODUCT(D3:D16,E3:E16)</f>
        <v>70486.2</v>
      </c>
      <c r="F20"/>
    </row>
    <row r="21" spans="1:6" x14ac:dyDescent="0.25">
      <c r="A21" s="81" t="s">
        <v>18</v>
      </c>
      <c r="B21" s="81"/>
      <c r="C21" s="81"/>
      <c r="D21" s="6">
        <f>SUMIF(A3:A16,"Vila Mariana",F3:F16)</f>
        <v>40827.199999999997</v>
      </c>
      <c r="F21"/>
    </row>
    <row r="22" spans="1:6" x14ac:dyDescent="0.25">
      <c r="A22" s="81" t="s">
        <v>19</v>
      </c>
      <c r="B22" s="81"/>
      <c r="C22" s="81"/>
      <c r="D22" s="6">
        <f>SUMIF(A3:A16,"Brooklin",F3:F16)</f>
        <v>29659</v>
      </c>
      <c r="F22"/>
    </row>
    <row r="23" spans="1:6" x14ac:dyDescent="0.25">
      <c r="A23" s="81" t="s">
        <v>20</v>
      </c>
      <c r="B23" s="81"/>
      <c r="C23" s="81"/>
      <c r="D23" s="6">
        <f>SUMIF(B3:B16,"Janeiro",F3:F16)</f>
        <v>36588.199999999997</v>
      </c>
      <c r="F23"/>
    </row>
    <row r="24" spans="1:6" x14ac:dyDescent="0.25">
      <c r="A24" s="81" t="s">
        <v>21</v>
      </c>
      <c r="B24" s="81"/>
      <c r="C24" s="81"/>
      <c r="D24" s="6">
        <f>SUMIF(B3:B16,"Fevereiro",F3:F16)</f>
        <v>17900</v>
      </c>
      <c r="F24"/>
    </row>
    <row r="25" spans="1:6" x14ac:dyDescent="0.25">
      <c r="A25" s="81" t="s">
        <v>22</v>
      </c>
      <c r="B25" s="81"/>
      <c r="C25" s="81"/>
      <c r="D25" s="6">
        <f>SUMIF(B3:B16,"Março",F3:F16)</f>
        <v>15998</v>
      </c>
      <c r="F25"/>
    </row>
    <row r="26" spans="1:6" x14ac:dyDescent="0.25">
      <c r="A26" s="81" t="s">
        <v>23</v>
      </c>
      <c r="B26" s="81"/>
      <c r="C26" s="81"/>
      <c r="D26" s="6">
        <f>SUMIFS(F3:F16,A3:A16,"Vila Mariana",B3:B16,"Fevereiro")</f>
        <v>16370</v>
      </c>
      <c r="F26"/>
    </row>
    <row r="27" spans="1:6" x14ac:dyDescent="0.25">
      <c r="A27" s="81" t="s">
        <v>24</v>
      </c>
      <c r="B27" s="81"/>
      <c r="C27" s="81"/>
      <c r="D27" s="6">
        <f>SUMIFS(F3:F16,A3:A16,"Brooklin",B3:B16,"Janeiro")</f>
        <v>16931</v>
      </c>
      <c r="F27"/>
    </row>
  </sheetData>
  <mergeCells count="11">
    <mergeCell ref="A23:C23"/>
    <mergeCell ref="A24:C24"/>
    <mergeCell ref="A25:C25"/>
    <mergeCell ref="A26:C26"/>
    <mergeCell ref="A27:C27"/>
    <mergeCell ref="A22:C22"/>
    <mergeCell ref="A1:F1"/>
    <mergeCell ref="A18:D18"/>
    <mergeCell ref="A19:C19"/>
    <mergeCell ref="A20:C20"/>
    <mergeCell ref="A21:C2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78BC-D4FB-453F-8A3C-7A98AE3776F0}">
  <dimension ref="A1:J4"/>
  <sheetViews>
    <sheetView workbookViewId="0">
      <selection activeCell="P20" sqref="P20"/>
    </sheetView>
  </sheetViews>
  <sheetFormatPr defaultRowHeight="15" x14ac:dyDescent="0.25"/>
  <cols>
    <col min="1" max="1" width="12.140625" customWidth="1"/>
    <col min="2" max="2" width="12" customWidth="1"/>
    <col min="3" max="3" width="11.85546875" customWidth="1"/>
    <col min="4" max="6" width="11.7109375" customWidth="1"/>
  </cols>
  <sheetData>
    <row r="1" spans="1:10" ht="21" x14ac:dyDescent="0.35">
      <c r="A1" s="85" t="s">
        <v>25</v>
      </c>
      <c r="B1" s="85"/>
      <c r="C1" s="85"/>
      <c r="D1" s="85"/>
      <c r="E1" s="85"/>
      <c r="F1" s="85"/>
    </row>
    <row r="3" spans="1:10" x14ac:dyDescent="0.25">
      <c r="A3" s="11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J3" s="12"/>
    </row>
    <row r="4" spans="1:10" x14ac:dyDescent="0.25">
      <c r="A4">
        <f ca="1">RANDBETWEEN(1,60)</f>
        <v>27</v>
      </c>
      <c r="B4">
        <f t="shared" ref="B4:F4" ca="1" si="0">RANDBETWEEN(1,60)</f>
        <v>33</v>
      </c>
      <c r="C4">
        <f t="shared" ca="1" si="0"/>
        <v>4</v>
      </c>
      <c r="D4">
        <f t="shared" ca="1" si="0"/>
        <v>49</v>
      </c>
      <c r="E4">
        <f t="shared" ca="1" si="0"/>
        <v>7</v>
      </c>
      <c r="F4">
        <f t="shared" ca="1" si="0"/>
        <v>49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FB25-1D01-43FE-85D2-FA0534B26E85}">
  <dimension ref="A1:P53"/>
  <sheetViews>
    <sheetView zoomScaleNormal="100" workbookViewId="0">
      <selection activeCell="I12" sqref="I12"/>
    </sheetView>
  </sheetViews>
  <sheetFormatPr defaultRowHeight="15" x14ac:dyDescent="0.25"/>
  <cols>
    <col min="1" max="1" width="14.42578125" style="17" bestFit="1" customWidth="1"/>
    <col min="2" max="2" width="10.7109375" style="18" bestFit="1" customWidth="1"/>
  </cols>
  <sheetData>
    <row r="1" spans="1:16" s="12" customFormat="1" ht="18.75" x14ac:dyDescent="0.4">
      <c r="A1" s="13" t="s">
        <v>32</v>
      </c>
      <c r="B1" s="14" t="s">
        <v>33</v>
      </c>
      <c r="C1" s="86" t="s">
        <v>34</v>
      </c>
      <c r="D1" s="86"/>
      <c r="E1" s="86"/>
      <c r="F1" s="86"/>
      <c r="G1" s="86"/>
      <c r="H1" s="86"/>
      <c r="K1" s="87" t="s">
        <v>35</v>
      </c>
      <c r="L1" s="87"/>
      <c r="M1" s="87"/>
      <c r="N1" s="87"/>
      <c r="O1" s="87"/>
      <c r="P1" s="87"/>
    </row>
    <row r="2" spans="1:16" x14ac:dyDescent="0.25">
      <c r="A2" s="15">
        <v>1351</v>
      </c>
      <c r="B2" s="16">
        <v>40912</v>
      </c>
      <c r="C2" s="15">
        <v>13</v>
      </c>
      <c r="D2" s="15">
        <v>50</v>
      </c>
      <c r="E2" s="15">
        <v>41</v>
      </c>
      <c r="F2" s="15">
        <v>36</v>
      </c>
      <c r="G2" s="15">
        <v>56</v>
      </c>
      <c r="H2" s="15">
        <v>33</v>
      </c>
      <c r="K2" s="4">
        <f ca="1">RANDBETWEEN(1,60)</f>
        <v>46</v>
      </c>
      <c r="L2" s="4">
        <f t="shared" ref="L2:O2" ca="1" si="0">RANDBETWEEN(1,60)</f>
        <v>31</v>
      </c>
      <c r="M2" s="4">
        <f t="shared" ca="1" si="0"/>
        <v>39</v>
      </c>
      <c r="N2" s="4">
        <f t="shared" ca="1" si="0"/>
        <v>3</v>
      </c>
      <c r="O2" s="4">
        <f t="shared" ca="1" si="0"/>
        <v>49</v>
      </c>
      <c r="P2" s="4">
        <f>_xlfn.MODE.SNGL(C2:H53)</f>
        <v>27</v>
      </c>
    </row>
    <row r="3" spans="1:16" x14ac:dyDescent="0.25">
      <c r="A3" s="15">
        <v>1352</v>
      </c>
      <c r="B3" s="16">
        <v>40915</v>
      </c>
      <c r="C3" s="15">
        <v>35</v>
      </c>
      <c r="D3" s="15">
        <v>59</v>
      </c>
      <c r="E3" s="15">
        <v>36</v>
      </c>
      <c r="F3" s="15">
        <v>9</v>
      </c>
      <c r="G3" s="15">
        <v>18</v>
      </c>
      <c r="H3" s="15">
        <v>24</v>
      </c>
    </row>
    <row r="4" spans="1:16" x14ac:dyDescent="0.25">
      <c r="A4" s="15">
        <v>1353</v>
      </c>
      <c r="B4" s="16">
        <v>40919</v>
      </c>
      <c r="C4" s="15">
        <v>47</v>
      </c>
      <c r="D4" s="15">
        <v>11</v>
      </c>
      <c r="E4" s="15">
        <v>3</v>
      </c>
      <c r="F4" s="15">
        <v>27</v>
      </c>
      <c r="G4" s="15">
        <v>32</v>
      </c>
      <c r="H4" s="15">
        <v>13</v>
      </c>
    </row>
    <row r="5" spans="1:16" x14ac:dyDescent="0.25">
      <c r="A5" s="15">
        <v>1354</v>
      </c>
      <c r="B5" s="16">
        <v>40922</v>
      </c>
      <c r="C5" s="15">
        <v>2</v>
      </c>
      <c r="D5" s="15">
        <v>42</v>
      </c>
      <c r="E5" s="15">
        <v>8</v>
      </c>
      <c r="F5" s="15">
        <v>49</v>
      </c>
      <c r="G5" s="15">
        <v>48</v>
      </c>
      <c r="H5" s="15">
        <v>38</v>
      </c>
    </row>
    <row r="6" spans="1:16" x14ac:dyDescent="0.25">
      <c r="A6" s="15">
        <v>1355</v>
      </c>
      <c r="B6" s="16">
        <v>40926</v>
      </c>
      <c r="C6" s="15">
        <v>39</v>
      </c>
      <c r="D6" s="15">
        <v>49</v>
      </c>
      <c r="E6" s="15">
        <v>11</v>
      </c>
      <c r="F6" s="15">
        <v>24</v>
      </c>
      <c r="G6" s="15">
        <v>17</v>
      </c>
      <c r="H6" s="15">
        <v>46</v>
      </c>
    </row>
    <row r="7" spans="1:16" x14ac:dyDescent="0.25">
      <c r="A7" s="15">
        <v>1356</v>
      </c>
      <c r="B7" s="16">
        <v>40929</v>
      </c>
      <c r="C7" s="15">
        <v>21</v>
      </c>
      <c r="D7" s="15">
        <v>46</v>
      </c>
      <c r="E7" s="15">
        <v>6</v>
      </c>
      <c r="F7" s="15">
        <v>22</v>
      </c>
      <c r="G7" s="15">
        <v>13</v>
      </c>
      <c r="H7" s="15">
        <v>31</v>
      </c>
    </row>
    <row r="8" spans="1:16" x14ac:dyDescent="0.25">
      <c r="A8" s="15">
        <v>1357</v>
      </c>
      <c r="B8" s="16">
        <v>40933</v>
      </c>
      <c r="C8" s="15">
        <v>55</v>
      </c>
      <c r="D8" s="15">
        <v>52</v>
      </c>
      <c r="E8" s="15">
        <v>26</v>
      </c>
      <c r="F8" s="15">
        <v>19</v>
      </c>
      <c r="G8" s="15">
        <v>1</v>
      </c>
      <c r="H8" s="15">
        <v>24</v>
      </c>
    </row>
    <row r="9" spans="1:16" x14ac:dyDescent="0.25">
      <c r="A9" s="15">
        <v>1358</v>
      </c>
      <c r="B9" s="16">
        <v>40936</v>
      </c>
      <c r="C9" s="15">
        <v>16</v>
      </c>
      <c r="D9" s="15">
        <v>15</v>
      </c>
      <c r="E9" s="15">
        <v>37</v>
      </c>
      <c r="F9" s="15">
        <v>3</v>
      </c>
      <c r="G9" s="15">
        <v>35</v>
      </c>
      <c r="H9" s="15">
        <v>47</v>
      </c>
    </row>
    <row r="10" spans="1:16" x14ac:dyDescent="0.25">
      <c r="A10" s="15">
        <v>1359</v>
      </c>
      <c r="B10" s="16">
        <v>40940</v>
      </c>
      <c r="C10" s="15">
        <v>12</v>
      </c>
      <c r="D10" s="15">
        <v>17</v>
      </c>
      <c r="E10" s="15">
        <v>28</v>
      </c>
      <c r="F10" s="15">
        <v>53</v>
      </c>
      <c r="G10" s="15">
        <v>6</v>
      </c>
      <c r="H10" s="15">
        <v>10</v>
      </c>
    </row>
    <row r="11" spans="1:16" x14ac:dyDescent="0.25">
      <c r="A11" s="15">
        <v>1360</v>
      </c>
      <c r="B11" s="16">
        <v>40943</v>
      </c>
      <c r="C11" s="15">
        <v>50</v>
      </c>
      <c r="D11" s="15">
        <v>25</v>
      </c>
      <c r="E11" s="15">
        <v>17</v>
      </c>
      <c r="F11" s="15">
        <v>16</v>
      </c>
      <c r="G11" s="15">
        <v>54</v>
      </c>
      <c r="H11" s="15">
        <v>2</v>
      </c>
    </row>
    <row r="12" spans="1:16" x14ac:dyDescent="0.25">
      <c r="A12" s="15">
        <v>1361</v>
      </c>
      <c r="B12" s="16">
        <v>40947</v>
      </c>
      <c r="C12" s="15">
        <v>37</v>
      </c>
      <c r="D12" s="15">
        <v>27</v>
      </c>
      <c r="E12" s="15">
        <v>44</v>
      </c>
      <c r="F12" s="15">
        <v>30</v>
      </c>
      <c r="G12" s="15">
        <v>38</v>
      </c>
      <c r="H12" s="15">
        <v>23</v>
      </c>
    </row>
    <row r="13" spans="1:16" x14ac:dyDescent="0.25">
      <c r="A13" s="15">
        <v>1362</v>
      </c>
      <c r="B13" s="16">
        <v>40950</v>
      </c>
      <c r="C13" s="15">
        <v>58</v>
      </c>
      <c r="D13" s="15">
        <v>19</v>
      </c>
      <c r="E13" s="15">
        <v>12</v>
      </c>
      <c r="F13" s="15">
        <v>22</v>
      </c>
      <c r="G13" s="15">
        <v>2</v>
      </c>
      <c r="H13" s="15">
        <v>36</v>
      </c>
    </row>
    <row r="14" spans="1:16" x14ac:dyDescent="0.25">
      <c r="A14" s="15">
        <v>1363</v>
      </c>
      <c r="B14" s="16">
        <v>40954</v>
      </c>
      <c r="C14" s="15">
        <v>52</v>
      </c>
      <c r="D14" s="15">
        <v>25</v>
      </c>
      <c r="E14" s="15">
        <v>42</v>
      </c>
      <c r="F14" s="15">
        <v>45</v>
      </c>
      <c r="G14" s="15">
        <v>35</v>
      </c>
      <c r="H14" s="15">
        <v>57</v>
      </c>
    </row>
    <row r="15" spans="1:16" x14ac:dyDescent="0.25">
      <c r="A15" s="15">
        <v>1364</v>
      </c>
      <c r="B15" s="16">
        <v>40957</v>
      </c>
      <c r="C15" s="15">
        <v>20</v>
      </c>
      <c r="D15" s="15">
        <v>13</v>
      </c>
      <c r="E15" s="15">
        <v>40</v>
      </c>
      <c r="F15" s="15">
        <v>10</v>
      </c>
      <c r="G15" s="15">
        <v>53</v>
      </c>
      <c r="H15" s="15">
        <v>44</v>
      </c>
    </row>
    <row r="16" spans="1:16" x14ac:dyDescent="0.25">
      <c r="A16" s="15">
        <v>1365</v>
      </c>
      <c r="B16" s="16">
        <v>40961</v>
      </c>
      <c r="C16" s="15">
        <v>50</v>
      </c>
      <c r="D16" s="15">
        <v>35</v>
      </c>
      <c r="E16" s="15">
        <v>32</v>
      </c>
      <c r="F16" s="15">
        <v>26</v>
      </c>
      <c r="G16" s="15">
        <v>2</v>
      </c>
      <c r="H16" s="15">
        <v>24</v>
      </c>
    </row>
    <row r="17" spans="1:8" x14ac:dyDescent="0.25">
      <c r="A17" s="15">
        <v>1366</v>
      </c>
      <c r="B17" s="16">
        <v>40964</v>
      </c>
      <c r="C17" s="15">
        <v>59</v>
      </c>
      <c r="D17" s="15">
        <v>44</v>
      </c>
      <c r="E17" s="15">
        <v>54</v>
      </c>
      <c r="F17" s="15">
        <v>37</v>
      </c>
      <c r="G17" s="15">
        <v>27</v>
      </c>
      <c r="H17" s="15">
        <v>12</v>
      </c>
    </row>
    <row r="18" spans="1:8" x14ac:dyDescent="0.25">
      <c r="A18" s="15">
        <v>1367</v>
      </c>
      <c r="B18" s="16">
        <v>40969</v>
      </c>
      <c r="C18" s="15">
        <v>38</v>
      </c>
      <c r="D18" s="15">
        <v>29</v>
      </c>
      <c r="E18" s="15">
        <v>43</v>
      </c>
      <c r="F18" s="15">
        <v>13</v>
      </c>
      <c r="G18" s="15">
        <v>7</v>
      </c>
      <c r="H18" s="15">
        <v>2</v>
      </c>
    </row>
    <row r="19" spans="1:8" x14ac:dyDescent="0.25">
      <c r="A19" s="15">
        <v>1368</v>
      </c>
      <c r="B19" s="16">
        <v>40971</v>
      </c>
      <c r="C19" s="15">
        <v>10</v>
      </c>
      <c r="D19" s="15">
        <v>26</v>
      </c>
      <c r="E19" s="15">
        <v>29</v>
      </c>
      <c r="F19" s="15">
        <v>38</v>
      </c>
      <c r="G19" s="15">
        <v>32</v>
      </c>
      <c r="H19" s="15">
        <v>21</v>
      </c>
    </row>
    <row r="20" spans="1:8" x14ac:dyDescent="0.25">
      <c r="A20" s="15">
        <v>1369</v>
      </c>
      <c r="B20" s="16">
        <v>40975</v>
      </c>
      <c r="C20" s="15">
        <v>32</v>
      </c>
      <c r="D20" s="15">
        <v>24</v>
      </c>
      <c r="E20" s="15">
        <v>16</v>
      </c>
      <c r="F20" s="15">
        <v>38</v>
      </c>
      <c r="G20" s="15">
        <v>5</v>
      </c>
      <c r="H20" s="15">
        <v>46</v>
      </c>
    </row>
    <row r="21" spans="1:8" x14ac:dyDescent="0.25">
      <c r="A21" s="15">
        <v>1370</v>
      </c>
      <c r="B21" s="16">
        <v>40978</v>
      </c>
      <c r="C21" s="15">
        <v>2</v>
      </c>
      <c r="D21" s="15">
        <v>27</v>
      </c>
      <c r="E21" s="15">
        <v>59</v>
      </c>
      <c r="F21" s="15">
        <v>49</v>
      </c>
      <c r="G21" s="15">
        <v>4</v>
      </c>
      <c r="H21" s="15">
        <v>5</v>
      </c>
    </row>
    <row r="22" spans="1:8" x14ac:dyDescent="0.25">
      <c r="A22" s="15">
        <v>1371</v>
      </c>
      <c r="B22" s="16">
        <v>40982</v>
      </c>
      <c r="C22" s="15">
        <v>47</v>
      </c>
      <c r="D22" s="15">
        <v>11</v>
      </c>
      <c r="E22" s="15">
        <v>8</v>
      </c>
      <c r="F22" s="15">
        <v>49</v>
      </c>
      <c r="G22" s="15">
        <v>3</v>
      </c>
      <c r="H22" s="15">
        <v>4</v>
      </c>
    </row>
    <row r="23" spans="1:8" x14ac:dyDescent="0.25">
      <c r="A23" s="15">
        <v>1372</v>
      </c>
      <c r="B23" s="16">
        <v>40985</v>
      </c>
      <c r="C23" s="15">
        <v>46</v>
      </c>
      <c r="D23" s="15">
        <v>60</v>
      </c>
      <c r="E23" s="15">
        <v>58</v>
      </c>
      <c r="F23" s="15">
        <v>36</v>
      </c>
      <c r="G23" s="15">
        <v>40</v>
      </c>
      <c r="H23" s="15">
        <v>3</v>
      </c>
    </row>
    <row r="24" spans="1:8" x14ac:dyDescent="0.25">
      <c r="A24" s="15">
        <v>1373</v>
      </c>
      <c r="B24" s="16">
        <v>40989</v>
      </c>
      <c r="C24" s="15">
        <v>52</v>
      </c>
      <c r="D24" s="15">
        <v>39</v>
      </c>
      <c r="E24" s="15">
        <v>7</v>
      </c>
      <c r="F24" s="15">
        <v>27</v>
      </c>
      <c r="G24" s="15">
        <v>55</v>
      </c>
      <c r="H24" s="15">
        <v>57</v>
      </c>
    </row>
    <row r="25" spans="1:8" x14ac:dyDescent="0.25">
      <c r="A25" s="15">
        <v>1374</v>
      </c>
      <c r="B25" s="16">
        <v>40992</v>
      </c>
      <c r="C25" s="15">
        <v>21</v>
      </c>
      <c r="D25" s="15">
        <v>33</v>
      </c>
      <c r="E25" s="15">
        <v>28</v>
      </c>
      <c r="F25" s="15">
        <v>31</v>
      </c>
      <c r="G25" s="15">
        <v>43</v>
      </c>
      <c r="H25" s="15">
        <v>6</v>
      </c>
    </row>
    <row r="26" spans="1:8" x14ac:dyDescent="0.25">
      <c r="A26" s="15">
        <v>1375</v>
      </c>
      <c r="B26" s="16">
        <v>40996</v>
      </c>
      <c r="C26" s="15">
        <v>25</v>
      </c>
      <c r="D26" s="15">
        <v>28</v>
      </c>
      <c r="E26" s="15">
        <v>53</v>
      </c>
      <c r="F26" s="15">
        <v>45</v>
      </c>
      <c r="G26" s="15">
        <v>14</v>
      </c>
      <c r="H26" s="15">
        <v>58</v>
      </c>
    </row>
    <row r="27" spans="1:8" x14ac:dyDescent="0.25">
      <c r="A27" s="15">
        <v>1376</v>
      </c>
      <c r="B27" s="16">
        <v>40999</v>
      </c>
      <c r="C27" s="15">
        <v>53</v>
      </c>
      <c r="D27" s="15">
        <v>49</v>
      </c>
      <c r="E27" s="15">
        <v>21</v>
      </c>
      <c r="F27" s="15">
        <v>11</v>
      </c>
      <c r="G27" s="15">
        <v>54</v>
      </c>
      <c r="H27" s="15">
        <v>9</v>
      </c>
    </row>
    <row r="28" spans="1:8" x14ac:dyDescent="0.25">
      <c r="A28" s="15">
        <v>1377</v>
      </c>
      <c r="B28" s="16">
        <v>41003</v>
      </c>
      <c r="C28" s="15">
        <v>25</v>
      </c>
      <c r="D28" s="15">
        <v>5</v>
      </c>
      <c r="E28" s="15">
        <v>13</v>
      </c>
      <c r="F28" s="15">
        <v>12</v>
      </c>
      <c r="G28" s="15">
        <v>35</v>
      </c>
      <c r="H28" s="15">
        <v>2</v>
      </c>
    </row>
    <row r="29" spans="1:8" x14ac:dyDescent="0.25">
      <c r="A29" s="15">
        <v>1378</v>
      </c>
      <c r="B29" s="16">
        <v>41006</v>
      </c>
      <c r="C29" s="15">
        <v>18</v>
      </c>
      <c r="D29" s="15">
        <v>17</v>
      </c>
      <c r="E29" s="15">
        <v>59</v>
      </c>
      <c r="F29" s="15">
        <v>2</v>
      </c>
      <c r="G29" s="15">
        <v>54</v>
      </c>
      <c r="H29" s="15">
        <v>5</v>
      </c>
    </row>
    <row r="30" spans="1:8" x14ac:dyDescent="0.25">
      <c r="A30" s="15">
        <v>1379</v>
      </c>
      <c r="B30" s="16">
        <v>41010</v>
      </c>
      <c r="C30" s="15">
        <v>45</v>
      </c>
      <c r="D30" s="15">
        <v>5</v>
      </c>
      <c r="E30" s="15">
        <v>36</v>
      </c>
      <c r="F30" s="15">
        <v>12</v>
      </c>
      <c r="G30" s="15">
        <v>50</v>
      </c>
      <c r="H30" s="15">
        <v>58</v>
      </c>
    </row>
    <row r="31" spans="1:8" x14ac:dyDescent="0.25">
      <c r="A31" s="15">
        <v>1380</v>
      </c>
      <c r="B31" s="16">
        <v>41013</v>
      </c>
      <c r="C31" s="15">
        <v>52</v>
      </c>
      <c r="D31" s="15">
        <v>14</v>
      </c>
      <c r="E31" s="15">
        <v>3</v>
      </c>
      <c r="F31" s="15">
        <v>60</v>
      </c>
      <c r="G31" s="15">
        <v>57</v>
      </c>
      <c r="H31" s="15">
        <v>55</v>
      </c>
    </row>
    <row r="32" spans="1:8" x14ac:dyDescent="0.25">
      <c r="A32" s="15">
        <v>1381</v>
      </c>
      <c r="B32" s="16">
        <v>41017</v>
      </c>
      <c r="C32" s="15">
        <v>44</v>
      </c>
      <c r="D32" s="15">
        <v>30</v>
      </c>
      <c r="E32" s="15">
        <v>27</v>
      </c>
      <c r="F32" s="15">
        <v>11</v>
      </c>
      <c r="G32" s="15">
        <v>40</v>
      </c>
      <c r="H32" s="15">
        <v>57</v>
      </c>
    </row>
    <row r="33" spans="1:8" x14ac:dyDescent="0.25">
      <c r="A33" s="15">
        <v>1382</v>
      </c>
      <c r="B33" s="16">
        <v>41019</v>
      </c>
      <c r="C33" s="15">
        <v>17</v>
      </c>
      <c r="D33" s="15">
        <v>27</v>
      </c>
      <c r="E33" s="15">
        <v>55</v>
      </c>
      <c r="F33" s="15">
        <v>13</v>
      </c>
      <c r="G33" s="15">
        <v>5</v>
      </c>
      <c r="H33" s="15">
        <v>16</v>
      </c>
    </row>
    <row r="34" spans="1:8" x14ac:dyDescent="0.25">
      <c r="A34" s="15">
        <v>1383</v>
      </c>
      <c r="B34" s="16">
        <v>41024</v>
      </c>
      <c r="C34" s="15">
        <v>9</v>
      </c>
      <c r="D34" s="15">
        <v>55</v>
      </c>
      <c r="E34" s="15">
        <v>23</v>
      </c>
      <c r="F34" s="15">
        <v>44</v>
      </c>
      <c r="G34" s="15">
        <v>7</v>
      </c>
      <c r="H34" s="15">
        <v>46</v>
      </c>
    </row>
    <row r="35" spans="1:8" x14ac:dyDescent="0.25">
      <c r="A35" s="15">
        <v>1384</v>
      </c>
      <c r="B35" s="16">
        <v>41027</v>
      </c>
      <c r="C35" s="15">
        <v>56</v>
      </c>
      <c r="D35" s="15">
        <v>18</v>
      </c>
      <c r="E35" s="15">
        <v>31</v>
      </c>
      <c r="F35" s="15">
        <v>2</v>
      </c>
      <c r="G35" s="15">
        <v>30</v>
      </c>
      <c r="H35" s="15">
        <v>45</v>
      </c>
    </row>
    <row r="36" spans="1:8" x14ac:dyDescent="0.25">
      <c r="A36" s="15">
        <v>1385</v>
      </c>
      <c r="B36" s="16">
        <v>41031</v>
      </c>
      <c r="C36" s="15">
        <v>42</v>
      </c>
      <c r="D36" s="15">
        <v>37</v>
      </c>
      <c r="E36" s="15">
        <v>35</v>
      </c>
      <c r="F36" s="15">
        <v>27</v>
      </c>
      <c r="G36" s="15">
        <v>59</v>
      </c>
      <c r="H36" s="15">
        <v>36</v>
      </c>
    </row>
    <row r="37" spans="1:8" x14ac:dyDescent="0.25">
      <c r="A37" s="15">
        <v>1386</v>
      </c>
      <c r="B37" s="16">
        <v>41034</v>
      </c>
      <c r="C37" s="15">
        <v>39</v>
      </c>
      <c r="D37" s="15">
        <v>56</v>
      </c>
      <c r="E37" s="15">
        <v>28</v>
      </c>
      <c r="F37" s="15">
        <v>12</v>
      </c>
      <c r="G37" s="15">
        <v>51</v>
      </c>
      <c r="H37" s="15">
        <v>38</v>
      </c>
    </row>
    <row r="38" spans="1:8" x14ac:dyDescent="0.25">
      <c r="A38" s="15">
        <v>1387</v>
      </c>
      <c r="B38" s="16">
        <v>41038</v>
      </c>
      <c r="C38" s="15">
        <v>43</v>
      </c>
      <c r="D38" s="15">
        <v>27</v>
      </c>
      <c r="E38" s="15">
        <v>18</v>
      </c>
      <c r="F38" s="15">
        <v>52</v>
      </c>
      <c r="G38" s="15">
        <v>50</v>
      </c>
      <c r="H38" s="15">
        <v>32</v>
      </c>
    </row>
    <row r="39" spans="1:8" x14ac:dyDescent="0.25">
      <c r="A39" s="15">
        <v>1388</v>
      </c>
      <c r="B39" s="16">
        <v>41041</v>
      </c>
      <c r="C39" s="15">
        <v>54</v>
      </c>
      <c r="D39" s="15">
        <v>31</v>
      </c>
      <c r="E39" s="15">
        <v>50</v>
      </c>
      <c r="F39" s="15">
        <v>43</v>
      </c>
      <c r="G39" s="15">
        <v>29</v>
      </c>
      <c r="H39" s="15">
        <v>22</v>
      </c>
    </row>
    <row r="40" spans="1:8" x14ac:dyDescent="0.25">
      <c r="A40" s="15">
        <v>1389</v>
      </c>
      <c r="B40" s="16">
        <v>41045</v>
      </c>
      <c r="C40" s="15">
        <v>1</v>
      </c>
      <c r="D40" s="15">
        <v>44</v>
      </c>
      <c r="E40" s="15">
        <v>39</v>
      </c>
      <c r="F40" s="15">
        <v>16</v>
      </c>
      <c r="G40" s="15">
        <v>57</v>
      </c>
      <c r="H40" s="15">
        <v>28</v>
      </c>
    </row>
    <row r="41" spans="1:8" x14ac:dyDescent="0.25">
      <c r="A41" s="15">
        <v>1390</v>
      </c>
      <c r="B41" s="16">
        <v>41048</v>
      </c>
      <c r="C41" s="15">
        <v>29</v>
      </c>
      <c r="D41" s="15">
        <v>27</v>
      </c>
      <c r="E41" s="15">
        <v>19</v>
      </c>
      <c r="F41" s="15">
        <v>4</v>
      </c>
      <c r="G41" s="15">
        <v>28</v>
      </c>
      <c r="H41" s="15">
        <v>31</v>
      </c>
    </row>
    <row r="42" spans="1:8" x14ac:dyDescent="0.25">
      <c r="A42" s="15">
        <v>1391</v>
      </c>
      <c r="B42" s="16">
        <v>41052</v>
      </c>
      <c r="C42" s="15">
        <v>19</v>
      </c>
      <c r="D42" s="15">
        <v>7</v>
      </c>
      <c r="E42" s="15">
        <v>12</v>
      </c>
      <c r="F42" s="15">
        <v>34</v>
      </c>
      <c r="G42" s="15">
        <v>53</v>
      </c>
      <c r="H42" s="15">
        <v>40</v>
      </c>
    </row>
    <row r="43" spans="1:8" x14ac:dyDescent="0.25">
      <c r="A43" s="15">
        <v>1392</v>
      </c>
      <c r="B43" s="16">
        <v>41055</v>
      </c>
      <c r="C43" s="15">
        <v>43</v>
      </c>
      <c r="D43" s="15">
        <v>8</v>
      </c>
      <c r="E43" s="15">
        <v>2</v>
      </c>
      <c r="F43" s="15">
        <v>28</v>
      </c>
      <c r="G43" s="15">
        <v>33</v>
      </c>
      <c r="H43" s="15">
        <v>12</v>
      </c>
    </row>
    <row r="44" spans="1:8" x14ac:dyDescent="0.25">
      <c r="A44" s="15">
        <v>1393</v>
      </c>
      <c r="B44" s="16">
        <v>41059</v>
      </c>
      <c r="C44" s="15">
        <v>44</v>
      </c>
      <c r="D44" s="15">
        <v>28</v>
      </c>
      <c r="E44" s="15">
        <v>18</v>
      </c>
      <c r="F44" s="15">
        <v>24</v>
      </c>
      <c r="G44" s="15">
        <v>4</v>
      </c>
      <c r="H44" s="15">
        <v>39</v>
      </c>
    </row>
    <row r="45" spans="1:8" x14ac:dyDescent="0.25">
      <c r="A45" s="15">
        <v>1394</v>
      </c>
      <c r="B45" s="16">
        <v>41062</v>
      </c>
      <c r="C45" s="15">
        <v>11</v>
      </c>
      <c r="D45" s="15">
        <v>35</v>
      </c>
      <c r="E45" s="15">
        <v>16</v>
      </c>
      <c r="F45" s="15">
        <v>46</v>
      </c>
      <c r="G45" s="15">
        <v>24</v>
      </c>
      <c r="H45" s="15">
        <v>50</v>
      </c>
    </row>
    <row r="46" spans="1:8" x14ac:dyDescent="0.25">
      <c r="A46" s="15">
        <v>1395</v>
      </c>
      <c r="B46" s="16">
        <v>41066</v>
      </c>
      <c r="C46" s="15">
        <v>5</v>
      </c>
      <c r="D46" s="15">
        <v>44</v>
      </c>
      <c r="E46" s="15">
        <v>11</v>
      </c>
      <c r="F46" s="15">
        <v>19</v>
      </c>
      <c r="G46" s="15">
        <v>17</v>
      </c>
      <c r="H46" s="15">
        <v>48</v>
      </c>
    </row>
    <row r="47" spans="1:8" x14ac:dyDescent="0.25">
      <c r="A47" s="15">
        <v>1396</v>
      </c>
      <c r="B47" s="16">
        <v>41069</v>
      </c>
      <c r="C47" s="15">
        <v>52</v>
      </c>
      <c r="D47" s="15">
        <v>48</v>
      </c>
      <c r="E47" s="15">
        <v>54</v>
      </c>
      <c r="F47" s="15">
        <v>58</v>
      </c>
      <c r="G47" s="15">
        <v>55</v>
      </c>
      <c r="H47" s="15">
        <v>29</v>
      </c>
    </row>
    <row r="48" spans="1:8" x14ac:dyDescent="0.25">
      <c r="A48" s="15">
        <v>1397</v>
      </c>
      <c r="B48" s="16">
        <v>41073</v>
      </c>
      <c r="C48" s="15">
        <v>15</v>
      </c>
      <c r="D48" s="15">
        <v>56</v>
      </c>
      <c r="E48" s="15">
        <v>3</v>
      </c>
      <c r="F48" s="15">
        <v>27</v>
      </c>
      <c r="G48" s="15">
        <v>4</v>
      </c>
      <c r="H48" s="15">
        <v>7</v>
      </c>
    </row>
    <row r="49" spans="1:8" x14ac:dyDescent="0.25">
      <c r="A49" s="15">
        <v>1398</v>
      </c>
      <c r="B49" s="16">
        <v>41076</v>
      </c>
      <c r="C49" s="15">
        <v>42</v>
      </c>
      <c r="D49" s="15">
        <v>51</v>
      </c>
      <c r="E49" s="15">
        <v>14</v>
      </c>
      <c r="F49" s="15">
        <v>40</v>
      </c>
      <c r="G49" s="15">
        <v>32</v>
      </c>
      <c r="H49" s="15">
        <v>33</v>
      </c>
    </row>
    <row r="50" spans="1:8" x14ac:dyDescent="0.25">
      <c r="A50" s="15">
        <v>1399</v>
      </c>
      <c r="B50" s="16">
        <v>41080</v>
      </c>
      <c r="C50" s="15">
        <v>39</v>
      </c>
      <c r="D50" s="15">
        <v>43</v>
      </c>
      <c r="E50" s="15">
        <v>60</v>
      </c>
      <c r="F50" s="15">
        <v>57</v>
      </c>
      <c r="G50" s="15">
        <v>34</v>
      </c>
      <c r="H50" s="15">
        <v>56</v>
      </c>
    </row>
    <row r="51" spans="1:8" x14ac:dyDescent="0.25">
      <c r="A51" s="15">
        <v>1400</v>
      </c>
      <c r="B51" s="16">
        <v>41083</v>
      </c>
      <c r="C51" s="15">
        <v>34</v>
      </c>
      <c r="D51" s="15">
        <v>26</v>
      </c>
      <c r="E51" s="15">
        <v>9</v>
      </c>
      <c r="F51" s="15">
        <v>43</v>
      </c>
      <c r="G51" s="15">
        <v>54</v>
      </c>
      <c r="H51" s="15">
        <v>53</v>
      </c>
    </row>
    <row r="52" spans="1:8" x14ac:dyDescent="0.25">
      <c r="A52" s="15">
        <v>1401</v>
      </c>
      <c r="B52" s="16">
        <v>41087</v>
      </c>
      <c r="C52" s="15">
        <v>12</v>
      </c>
      <c r="D52" s="15">
        <v>11</v>
      </c>
      <c r="E52" s="15">
        <v>54</v>
      </c>
      <c r="F52" s="15">
        <v>33</v>
      </c>
      <c r="G52" s="15">
        <v>48</v>
      </c>
      <c r="H52" s="15">
        <v>25</v>
      </c>
    </row>
    <row r="53" spans="1:8" x14ac:dyDescent="0.25">
      <c r="A53" s="15">
        <v>1402</v>
      </c>
      <c r="B53" s="16">
        <v>41090</v>
      </c>
      <c r="C53" s="15">
        <v>38</v>
      </c>
      <c r="D53" s="15">
        <v>10</v>
      </c>
      <c r="E53" s="15">
        <v>27</v>
      </c>
      <c r="F53" s="15">
        <v>2</v>
      </c>
      <c r="G53" s="15">
        <v>21</v>
      </c>
      <c r="H53" s="15">
        <v>9</v>
      </c>
    </row>
  </sheetData>
  <mergeCells count="2">
    <mergeCell ref="C1:H1"/>
    <mergeCell ref="K1:P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0BB7-90EA-42E9-BACF-70BEB157975F}">
  <dimension ref="A1:G82"/>
  <sheetViews>
    <sheetView topLeftCell="A3" workbookViewId="0">
      <selection activeCell="G3" sqref="G3:G22"/>
    </sheetView>
  </sheetViews>
  <sheetFormatPr defaultRowHeight="12.75" x14ac:dyDescent="0.2"/>
  <cols>
    <col min="1" max="1" width="55.42578125" style="21" customWidth="1"/>
    <col min="2" max="2" width="19" style="21" customWidth="1"/>
    <col min="3" max="3" width="19.42578125" style="21" customWidth="1"/>
    <col min="4" max="4" width="19.140625" style="30" customWidth="1"/>
    <col min="5" max="5" width="14.42578125" style="21" customWidth="1"/>
    <col min="6" max="6" width="16.28515625" style="21" bestFit="1" customWidth="1"/>
    <col min="7" max="7" width="17.42578125" style="21" bestFit="1" customWidth="1"/>
    <col min="8" max="16384" width="9.140625" style="21"/>
  </cols>
  <sheetData>
    <row r="1" spans="1:7" ht="23.25" x14ac:dyDescent="0.35">
      <c r="A1" s="19" t="s">
        <v>36</v>
      </c>
      <c r="B1" s="20">
        <v>50000</v>
      </c>
      <c r="C1" s="19" t="s">
        <v>37</v>
      </c>
      <c r="D1" s="20">
        <v>130000</v>
      </c>
    </row>
    <row r="2" spans="1:7" s="23" customFormat="1" ht="30" x14ac:dyDescent="0.2">
      <c r="A2" s="22" t="s">
        <v>38</v>
      </c>
      <c r="B2" s="22" t="s">
        <v>39</v>
      </c>
      <c r="C2" s="22" t="s">
        <v>40</v>
      </c>
      <c r="D2" s="22" t="s">
        <v>41</v>
      </c>
      <c r="E2" s="22" t="s">
        <v>42</v>
      </c>
      <c r="F2" s="22" t="s">
        <v>43</v>
      </c>
      <c r="G2" s="22" t="s">
        <v>44</v>
      </c>
    </row>
    <row r="3" spans="1:7" ht="15" x14ac:dyDescent="0.25">
      <c r="A3" s="24" t="s">
        <v>45</v>
      </c>
      <c r="B3" s="25" t="s">
        <v>46</v>
      </c>
      <c r="C3" s="26">
        <v>100000</v>
      </c>
      <c r="D3" s="27">
        <f>IFERROR(_xlfn.RANK.EQ(C3,$C$3:$C$22),"")</f>
        <v>12</v>
      </c>
      <c r="E3" s="28">
        <f>IF(D3=1,$B$1/[1]RELATÓRIO!$B$10,0)</f>
        <v>0</v>
      </c>
      <c r="F3" s="24" t="str">
        <f>IF(D3=1,"EXCELENTE",IF(C3&gt;$D$1,"ÓTIMO", IF(C3=$D$1,"BOM","PODE MELHORAR")))</f>
        <v>PODE MELHORAR</v>
      </c>
      <c r="G3" s="24" t="str">
        <f xml:space="preserve"> IF(F3="ÓTIMO","Viagem para Natal",IF(AND(C3&lt;=$D$1, C3 &gt;= 100000),"Computador",""))</f>
        <v>Computador</v>
      </c>
    </row>
    <row r="4" spans="1:7" ht="15" x14ac:dyDescent="0.25">
      <c r="A4" s="24" t="s">
        <v>47</v>
      </c>
      <c r="B4" s="25" t="s">
        <v>48</v>
      </c>
      <c r="C4" s="26">
        <v>134600</v>
      </c>
      <c r="D4" s="27">
        <f t="shared" ref="D4:D22" si="0">IFERROR(_xlfn.RANK.EQ(C4,$C$3:$C$22),"")</f>
        <v>6</v>
      </c>
      <c r="E4" s="28">
        <f>IF(D4=1,$B$1/[1]RELATÓRIO!$B$10,0)</f>
        <v>0</v>
      </c>
      <c r="F4" s="24" t="str">
        <f t="shared" ref="F4:F22" si="1">IF(D4=1,"EXCELENTE",IF(C4&gt;$D$1,"ÓTIMO", IF(C4=$D$1,"BOM","PODE MELHORAR")))</f>
        <v>ÓTIMO</v>
      </c>
      <c r="G4" s="24" t="str">
        <f t="shared" ref="G4:G22" si="2" xml:space="preserve"> IF(F4="ÓTIMO","Viagem para Natal",IF(AND(C4&lt;=$D$1, C4 &gt;= 100000),"Computador",""))</f>
        <v>Viagem para Natal</v>
      </c>
    </row>
    <row r="5" spans="1:7" ht="15" x14ac:dyDescent="0.25">
      <c r="A5" s="24" t="s">
        <v>49</v>
      </c>
      <c r="B5" s="25" t="s">
        <v>50</v>
      </c>
      <c r="C5" s="26">
        <v>50000</v>
      </c>
      <c r="D5" s="27">
        <f t="shared" si="0"/>
        <v>17</v>
      </c>
      <c r="E5" s="28">
        <f>IF(D5=1,$B$1/[1]RELATÓRIO!$B$10,0)</f>
        <v>0</v>
      </c>
      <c r="F5" s="24" t="str">
        <f t="shared" si="1"/>
        <v>PODE MELHORAR</v>
      </c>
      <c r="G5" s="24" t="str">
        <f t="shared" si="2"/>
        <v/>
      </c>
    </row>
    <row r="6" spans="1:7" ht="15" x14ac:dyDescent="0.25">
      <c r="A6" s="24" t="s">
        <v>51</v>
      </c>
      <c r="B6" s="25" t="s">
        <v>48</v>
      </c>
      <c r="C6" s="26">
        <v>130000</v>
      </c>
      <c r="D6" s="27">
        <f t="shared" si="0"/>
        <v>8</v>
      </c>
      <c r="E6" s="28">
        <f>IF(D6=1,$B$1/[1]RELATÓRIO!$B$10,0)</f>
        <v>0</v>
      </c>
      <c r="F6" s="24" t="str">
        <f t="shared" si="1"/>
        <v>BOM</v>
      </c>
      <c r="G6" s="24" t="str">
        <f t="shared" si="2"/>
        <v>Computador</v>
      </c>
    </row>
    <row r="7" spans="1:7" ht="15" x14ac:dyDescent="0.25">
      <c r="A7" s="24" t="s">
        <v>52</v>
      </c>
      <c r="B7" s="25" t="s">
        <v>48</v>
      </c>
      <c r="C7" s="26">
        <v>90870</v>
      </c>
      <c r="D7" s="27">
        <f t="shared" si="0"/>
        <v>13</v>
      </c>
      <c r="E7" s="28">
        <f>IF(D7=1,$B$1/[1]RELATÓRIO!$B$10,0)</f>
        <v>0</v>
      </c>
      <c r="F7" s="24" t="str">
        <f t="shared" si="1"/>
        <v>PODE MELHORAR</v>
      </c>
      <c r="G7" s="24" t="str">
        <f t="shared" si="2"/>
        <v/>
      </c>
    </row>
    <row r="8" spans="1:7" ht="15" x14ac:dyDescent="0.25">
      <c r="A8" s="24" t="s">
        <v>53</v>
      </c>
      <c r="B8" s="25" t="s">
        <v>46</v>
      </c>
      <c r="C8" s="26">
        <v>67800</v>
      </c>
      <c r="D8" s="27">
        <f t="shared" si="0"/>
        <v>16</v>
      </c>
      <c r="E8" s="28">
        <f>IF(D8=1,$B$1/[1]RELATÓRIO!$B$10,0)</f>
        <v>0</v>
      </c>
      <c r="F8" s="24" t="str">
        <f t="shared" si="1"/>
        <v>PODE MELHORAR</v>
      </c>
      <c r="G8" s="24" t="str">
        <f t="shared" si="2"/>
        <v/>
      </c>
    </row>
    <row r="9" spans="1:7" ht="15" x14ac:dyDescent="0.25">
      <c r="A9" s="24" t="s">
        <v>54</v>
      </c>
      <c r="B9" s="25" t="s">
        <v>46</v>
      </c>
      <c r="C9" s="26">
        <v>45000</v>
      </c>
      <c r="D9" s="27">
        <f t="shared" si="0"/>
        <v>18</v>
      </c>
      <c r="E9" s="28">
        <f>IF(D9=1,$B$1/[1]RELATÓRIO!$B$10,0)</f>
        <v>0</v>
      </c>
      <c r="F9" s="24" t="str">
        <f t="shared" si="1"/>
        <v>PODE MELHORAR</v>
      </c>
      <c r="G9" s="24" t="str">
        <f t="shared" si="2"/>
        <v/>
      </c>
    </row>
    <row r="10" spans="1:7" ht="15" x14ac:dyDescent="0.25">
      <c r="A10" s="24" t="s">
        <v>55</v>
      </c>
      <c r="B10" s="25" t="s">
        <v>46</v>
      </c>
      <c r="C10" s="26">
        <v>137000</v>
      </c>
      <c r="D10" s="27">
        <f t="shared" si="0"/>
        <v>5</v>
      </c>
      <c r="E10" s="28">
        <f>IF(D10=1,$B$1/[1]RELATÓRIO!$B$10,0)</f>
        <v>0</v>
      </c>
      <c r="F10" s="24" t="str">
        <f t="shared" si="1"/>
        <v>ÓTIMO</v>
      </c>
      <c r="G10" s="24" t="str">
        <f t="shared" si="2"/>
        <v>Viagem para Natal</v>
      </c>
    </row>
    <row r="11" spans="1:7" ht="15" x14ac:dyDescent="0.25">
      <c r="A11" s="24" t="s">
        <v>56</v>
      </c>
      <c r="B11" s="25" t="s">
        <v>50</v>
      </c>
      <c r="C11" s="26">
        <v>23000</v>
      </c>
      <c r="D11" s="27">
        <f t="shared" si="0"/>
        <v>19</v>
      </c>
      <c r="E11" s="28">
        <f>IF(D11=1,$B$1/[1]RELATÓRIO!$B$10,0)</f>
        <v>0</v>
      </c>
      <c r="F11" s="24" t="str">
        <f t="shared" si="1"/>
        <v>PODE MELHORAR</v>
      </c>
      <c r="G11" s="24" t="str">
        <f t="shared" si="2"/>
        <v/>
      </c>
    </row>
    <row r="12" spans="1:7" ht="15" x14ac:dyDescent="0.25">
      <c r="A12" s="24" t="s">
        <v>57</v>
      </c>
      <c r="B12" s="25" t="s">
        <v>48</v>
      </c>
      <c r="C12" s="26">
        <v>149000</v>
      </c>
      <c r="D12" s="27">
        <f t="shared" si="0"/>
        <v>3</v>
      </c>
      <c r="E12" s="28">
        <f>IF(D12=1,$B$1/[1]RELATÓRIO!$B$10,0)</f>
        <v>0</v>
      </c>
      <c r="F12" s="24" t="str">
        <f t="shared" si="1"/>
        <v>ÓTIMO</v>
      </c>
      <c r="G12" s="24" t="str">
        <f t="shared" si="2"/>
        <v>Viagem para Natal</v>
      </c>
    </row>
    <row r="13" spans="1:7" ht="15" x14ac:dyDescent="0.25">
      <c r="A13" s="24" t="s">
        <v>58</v>
      </c>
      <c r="B13" s="25" t="s">
        <v>50</v>
      </c>
      <c r="C13" s="26">
        <v>134000</v>
      </c>
      <c r="D13" s="27">
        <f t="shared" si="0"/>
        <v>7</v>
      </c>
      <c r="E13" s="28">
        <f>IF(D13=1,$B$1/[1]RELATÓRIO!$B$10,0)</f>
        <v>0</v>
      </c>
      <c r="F13" s="24" t="str">
        <f t="shared" si="1"/>
        <v>ÓTIMO</v>
      </c>
      <c r="G13" s="24" t="str">
        <f t="shared" si="2"/>
        <v>Viagem para Natal</v>
      </c>
    </row>
    <row r="14" spans="1:7" ht="15" x14ac:dyDescent="0.25">
      <c r="A14" s="24" t="s">
        <v>59</v>
      </c>
      <c r="B14" s="25" t="s">
        <v>46</v>
      </c>
      <c r="C14" s="26">
        <v>123000</v>
      </c>
      <c r="D14" s="27">
        <f t="shared" si="0"/>
        <v>9</v>
      </c>
      <c r="E14" s="28">
        <f>IF(D14=1,$B$1/[1]RELATÓRIO!$B$10,0)</f>
        <v>0</v>
      </c>
      <c r="F14" s="24" t="str">
        <f t="shared" si="1"/>
        <v>PODE MELHORAR</v>
      </c>
      <c r="G14" s="24" t="str">
        <f t="shared" si="2"/>
        <v>Computador</v>
      </c>
    </row>
    <row r="15" spans="1:7" ht="15" x14ac:dyDescent="0.25">
      <c r="A15" s="24" t="s">
        <v>60</v>
      </c>
      <c r="B15" s="25" t="s">
        <v>48</v>
      </c>
      <c r="C15" s="26">
        <v>150000</v>
      </c>
      <c r="D15" s="27">
        <f t="shared" si="0"/>
        <v>1</v>
      </c>
      <c r="E15" s="28">
        <f>IF(D15=1,$B$1/[1]RELATÓRIO!$B$10,0)</f>
        <v>25000</v>
      </c>
      <c r="F15" s="24" t="str">
        <f t="shared" si="1"/>
        <v>EXCELENTE</v>
      </c>
      <c r="G15" s="24" t="str">
        <f t="shared" si="2"/>
        <v/>
      </c>
    </row>
    <row r="16" spans="1:7" ht="15" x14ac:dyDescent="0.25">
      <c r="A16" s="24" t="s">
        <v>61</v>
      </c>
      <c r="B16" s="25" t="s">
        <v>50</v>
      </c>
      <c r="C16" s="26">
        <v>150000</v>
      </c>
      <c r="D16" s="27">
        <f t="shared" si="0"/>
        <v>1</v>
      </c>
      <c r="E16" s="28">
        <f>IF(D16=1,$B$1/[1]RELATÓRIO!$B$10,0)</f>
        <v>25000</v>
      </c>
      <c r="F16" s="24" t="str">
        <f t="shared" si="1"/>
        <v>EXCELENTE</v>
      </c>
      <c r="G16" s="24" t="str">
        <f t="shared" si="2"/>
        <v/>
      </c>
    </row>
    <row r="17" spans="1:7" ht="15" x14ac:dyDescent="0.25">
      <c r="A17" s="24" t="s">
        <v>62</v>
      </c>
      <c r="B17" s="25" t="s">
        <v>50</v>
      </c>
      <c r="C17" s="26"/>
      <c r="D17" s="27" t="str">
        <f t="shared" si="0"/>
        <v/>
      </c>
      <c r="E17" s="28">
        <f>IF(D17=1,$B$1/[1]RELATÓRIO!$B$10,0)</f>
        <v>0</v>
      </c>
      <c r="F17" s="24" t="str">
        <f t="shared" si="1"/>
        <v>PODE MELHORAR</v>
      </c>
      <c r="G17" s="24" t="str">
        <f t="shared" si="2"/>
        <v/>
      </c>
    </row>
    <row r="18" spans="1:7" ht="15" x14ac:dyDescent="0.25">
      <c r="A18" s="24" t="s">
        <v>63</v>
      </c>
      <c r="B18" s="25" t="s">
        <v>46</v>
      </c>
      <c r="C18" s="26">
        <v>120000</v>
      </c>
      <c r="D18" s="27">
        <f t="shared" si="0"/>
        <v>11</v>
      </c>
      <c r="E18" s="28">
        <f>IF(D18=1,$B$1/[1]RELATÓRIO!$B$10,0)</f>
        <v>0</v>
      </c>
      <c r="F18" s="24" t="str">
        <f t="shared" si="1"/>
        <v>PODE MELHORAR</v>
      </c>
      <c r="G18" s="24" t="str">
        <f t="shared" si="2"/>
        <v>Computador</v>
      </c>
    </row>
    <row r="19" spans="1:7" ht="15" x14ac:dyDescent="0.25">
      <c r="A19" s="24" t="s">
        <v>64</v>
      </c>
      <c r="B19" s="25" t="s">
        <v>48</v>
      </c>
      <c r="C19" s="26">
        <v>87900</v>
      </c>
      <c r="D19" s="27">
        <f t="shared" si="0"/>
        <v>14</v>
      </c>
      <c r="E19" s="28">
        <f>IF(D19=1,$B$1/[1]RELATÓRIO!$B$10,0)</f>
        <v>0</v>
      </c>
      <c r="F19" s="24" t="str">
        <f t="shared" si="1"/>
        <v>PODE MELHORAR</v>
      </c>
      <c r="G19" s="24" t="str">
        <f t="shared" si="2"/>
        <v/>
      </c>
    </row>
    <row r="20" spans="1:7" ht="15" x14ac:dyDescent="0.25">
      <c r="A20" s="24" t="s">
        <v>65</v>
      </c>
      <c r="B20" s="25" t="s">
        <v>48</v>
      </c>
      <c r="C20" s="26">
        <v>123000</v>
      </c>
      <c r="D20" s="27">
        <f t="shared" si="0"/>
        <v>9</v>
      </c>
      <c r="E20" s="28">
        <f>IF(D20=1,$B$1/[1]RELATÓRIO!$B$10,0)</f>
        <v>0</v>
      </c>
      <c r="F20" s="24" t="str">
        <f t="shared" si="1"/>
        <v>PODE MELHORAR</v>
      </c>
      <c r="G20" s="24" t="str">
        <f t="shared" si="2"/>
        <v>Computador</v>
      </c>
    </row>
    <row r="21" spans="1:7" ht="15" x14ac:dyDescent="0.25">
      <c r="A21" s="24" t="s">
        <v>66</v>
      </c>
      <c r="B21" s="25" t="s">
        <v>46</v>
      </c>
      <c r="C21" s="26">
        <v>76900</v>
      </c>
      <c r="D21" s="27">
        <f t="shared" si="0"/>
        <v>15</v>
      </c>
      <c r="E21" s="28">
        <f>IF(D21=1,$B$1/[1]RELATÓRIO!$B$10,0)</f>
        <v>0</v>
      </c>
      <c r="F21" s="24" t="str">
        <f t="shared" si="1"/>
        <v>PODE MELHORAR</v>
      </c>
      <c r="G21" s="24" t="str">
        <f t="shared" si="2"/>
        <v/>
      </c>
    </row>
    <row r="22" spans="1:7" ht="15" x14ac:dyDescent="0.25">
      <c r="A22" s="24" t="s">
        <v>67</v>
      </c>
      <c r="B22" s="25" t="s">
        <v>46</v>
      </c>
      <c r="C22" s="26">
        <v>143000</v>
      </c>
      <c r="D22" s="27">
        <f t="shared" si="0"/>
        <v>4</v>
      </c>
      <c r="E22" s="28">
        <f>IF(D22=1,$B$1/[1]RELATÓRIO!$B$10,0)</f>
        <v>0</v>
      </c>
      <c r="F22" s="24" t="str">
        <f t="shared" si="1"/>
        <v>ÓTIMO</v>
      </c>
      <c r="G22" s="24" t="str">
        <f t="shared" si="2"/>
        <v>Viagem para Natal</v>
      </c>
    </row>
    <row r="24" spans="1:7" ht="15" x14ac:dyDescent="0.25">
      <c r="A24" s="29"/>
    </row>
    <row r="25" spans="1:7" ht="15" x14ac:dyDescent="0.25">
      <c r="A25" s="29"/>
    </row>
    <row r="26" spans="1:7" ht="15" x14ac:dyDescent="0.25">
      <c r="A26" s="29"/>
    </row>
    <row r="27" spans="1:7" ht="15" x14ac:dyDescent="0.25">
      <c r="A27" s="29"/>
    </row>
    <row r="28" spans="1:7" ht="15" x14ac:dyDescent="0.25">
      <c r="A28" s="29"/>
      <c r="B28" s="29"/>
    </row>
    <row r="29" spans="1:7" ht="15" x14ac:dyDescent="0.25">
      <c r="A29" s="29"/>
      <c r="B29" s="29"/>
    </row>
    <row r="30" spans="1:7" ht="15" x14ac:dyDescent="0.25">
      <c r="A30" s="29"/>
      <c r="B30" s="29"/>
    </row>
    <row r="31" spans="1:7" ht="15" x14ac:dyDescent="0.25">
      <c r="A31" s="29"/>
      <c r="B31" s="29"/>
    </row>
    <row r="32" spans="1:7" ht="15" x14ac:dyDescent="0.25">
      <c r="A32" s="29"/>
      <c r="B32" s="29"/>
    </row>
    <row r="33" spans="1:5" ht="15" x14ac:dyDescent="0.25">
      <c r="A33" s="29"/>
      <c r="B33" s="29"/>
    </row>
    <row r="34" spans="1:5" ht="15" x14ac:dyDescent="0.25">
      <c r="A34" s="29"/>
      <c r="B34" s="31"/>
      <c r="C34" s="29"/>
      <c r="D34" s="32"/>
      <c r="E34" s="29"/>
    </row>
    <row r="35" spans="1:5" ht="15" x14ac:dyDescent="0.25">
      <c r="A35" s="29"/>
      <c r="B35" s="31"/>
      <c r="C35" s="29"/>
      <c r="D35" s="32"/>
      <c r="E35" s="29"/>
    </row>
    <row r="36" spans="1:5" ht="15" x14ac:dyDescent="0.25">
      <c r="A36" s="29"/>
      <c r="B36" s="31"/>
      <c r="C36" s="29"/>
      <c r="D36" s="32"/>
      <c r="E36" s="29"/>
    </row>
    <row r="37" spans="1:5" ht="15" x14ac:dyDescent="0.25">
      <c r="A37" s="29"/>
      <c r="B37" s="33"/>
      <c r="C37" s="29"/>
      <c r="D37" s="32"/>
      <c r="E37" s="29"/>
    </row>
    <row r="38" spans="1:5" ht="15" x14ac:dyDescent="0.25">
      <c r="A38" s="29"/>
      <c r="B38" s="33"/>
      <c r="C38" s="29"/>
      <c r="D38" s="32"/>
      <c r="E38" s="29"/>
    </row>
    <row r="39" spans="1:5" ht="15" x14ac:dyDescent="0.25">
      <c r="C39" s="29"/>
      <c r="D39" s="32"/>
      <c r="E39" s="29"/>
    </row>
    <row r="40" spans="1:5" ht="15" x14ac:dyDescent="0.25">
      <c r="C40" s="29"/>
      <c r="D40" s="32"/>
      <c r="E40" s="29"/>
    </row>
    <row r="41" spans="1:5" ht="15" x14ac:dyDescent="0.25">
      <c r="C41" s="29"/>
      <c r="D41" s="32"/>
      <c r="E41" s="29"/>
    </row>
    <row r="42" spans="1:5" ht="15" x14ac:dyDescent="0.25">
      <c r="C42" s="29"/>
      <c r="D42" s="32"/>
      <c r="E42" s="29"/>
    </row>
    <row r="43" spans="1:5" ht="15" x14ac:dyDescent="0.25">
      <c r="C43" s="29"/>
      <c r="D43" s="32"/>
      <c r="E43" s="29"/>
    </row>
    <row r="44" spans="1:5" ht="15" x14ac:dyDescent="0.25">
      <c r="C44" s="29"/>
      <c r="D44" s="32"/>
      <c r="E44" s="29"/>
    </row>
    <row r="45" spans="1:5" ht="15" x14ac:dyDescent="0.25">
      <c r="A45" s="29"/>
      <c r="B45" s="29"/>
      <c r="C45" s="29"/>
      <c r="D45" s="32"/>
      <c r="E45" s="29"/>
    </row>
    <row r="46" spans="1:5" ht="15" x14ac:dyDescent="0.25">
      <c r="A46" s="29"/>
      <c r="B46" s="29"/>
      <c r="C46" s="29"/>
      <c r="D46" s="32"/>
      <c r="E46" s="29"/>
    </row>
    <row r="47" spans="1:5" ht="15" x14ac:dyDescent="0.25">
      <c r="A47" s="29"/>
      <c r="B47" s="29"/>
      <c r="C47" s="29"/>
      <c r="D47" s="32"/>
      <c r="E47" s="29"/>
    </row>
    <row r="48" spans="1:5" ht="15" x14ac:dyDescent="0.25">
      <c r="A48" s="29"/>
      <c r="B48" s="29"/>
      <c r="C48" s="29"/>
      <c r="D48" s="32"/>
      <c r="E48" s="29"/>
    </row>
    <row r="49" spans="1:5" ht="15" x14ac:dyDescent="0.25">
      <c r="A49" s="29"/>
      <c r="B49" s="29"/>
      <c r="C49" s="29"/>
      <c r="D49" s="32"/>
      <c r="E49" s="29"/>
    </row>
    <row r="50" spans="1:5" ht="15" x14ac:dyDescent="0.25">
      <c r="A50" s="29"/>
      <c r="B50" s="29"/>
      <c r="C50" s="29"/>
      <c r="D50" s="32"/>
      <c r="E50" s="29"/>
    </row>
    <row r="51" spans="1:5" ht="15" x14ac:dyDescent="0.25">
      <c r="A51" s="29"/>
      <c r="B51" s="29"/>
      <c r="C51" s="29"/>
      <c r="D51" s="32"/>
      <c r="E51" s="29"/>
    </row>
    <row r="52" spans="1:5" ht="15" x14ac:dyDescent="0.25">
      <c r="A52" s="29"/>
      <c r="B52" s="29"/>
      <c r="C52" s="29"/>
      <c r="D52" s="32"/>
      <c r="E52" s="29"/>
    </row>
    <row r="53" spans="1:5" ht="15" x14ac:dyDescent="0.25">
      <c r="A53" s="29"/>
      <c r="B53" s="29"/>
      <c r="C53" s="29"/>
      <c r="D53" s="32"/>
      <c r="E53" s="29"/>
    </row>
    <row r="54" spans="1:5" ht="15" x14ac:dyDescent="0.25">
      <c r="A54" s="29"/>
      <c r="B54" s="29"/>
      <c r="C54" s="29"/>
      <c r="D54" s="32"/>
      <c r="E54" s="29"/>
    </row>
    <row r="55" spans="1:5" ht="15" x14ac:dyDescent="0.25">
      <c r="A55" s="29"/>
      <c r="B55" s="29"/>
      <c r="C55" s="29"/>
      <c r="D55" s="32"/>
      <c r="E55" s="29"/>
    </row>
    <row r="56" spans="1:5" ht="15" x14ac:dyDescent="0.25">
      <c r="A56" s="29"/>
      <c r="B56" s="29"/>
      <c r="C56" s="29"/>
      <c r="D56" s="32"/>
      <c r="E56" s="29"/>
    </row>
    <row r="57" spans="1:5" ht="15" x14ac:dyDescent="0.25">
      <c r="A57" s="29"/>
      <c r="B57" s="29"/>
      <c r="C57" s="29"/>
      <c r="D57" s="32"/>
      <c r="E57" s="29"/>
    </row>
    <row r="58" spans="1:5" ht="15" x14ac:dyDescent="0.25">
      <c r="A58" s="29"/>
      <c r="B58" s="29"/>
      <c r="C58" s="29"/>
      <c r="D58" s="32"/>
      <c r="E58" s="29"/>
    </row>
    <row r="59" spans="1:5" ht="15" x14ac:dyDescent="0.25">
      <c r="A59" s="29"/>
      <c r="B59" s="29"/>
      <c r="C59" s="29"/>
      <c r="D59" s="32"/>
      <c r="E59" s="29"/>
    </row>
    <row r="60" spans="1:5" ht="15" x14ac:dyDescent="0.25">
      <c r="A60" s="29"/>
      <c r="B60" s="29"/>
      <c r="C60" s="29"/>
      <c r="D60" s="32"/>
      <c r="E60" s="29"/>
    </row>
    <row r="61" spans="1:5" ht="15" x14ac:dyDescent="0.25">
      <c r="A61" s="29"/>
      <c r="B61" s="29"/>
      <c r="C61" s="29"/>
      <c r="D61" s="32"/>
      <c r="E61" s="29"/>
    </row>
    <row r="62" spans="1:5" ht="15" x14ac:dyDescent="0.25">
      <c r="A62" s="29"/>
      <c r="B62" s="29"/>
      <c r="C62" s="29"/>
      <c r="D62" s="32"/>
      <c r="E62" s="29"/>
    </row>
    <row r="63" spans="1:5" ht="15" x14ac:dyDescent="0.25">
      <c r="A63" s="29"/>
      <c r="B63" s="29"/>
      <c r="C63" s="29"/>
      <c r="D63" s="32"/>
      <c r="E63" s="29"/>
    </row>
    <row r="64" spans="1:5" ht="15" x14ac:dyDescent="0.25">
      <c r="A64" s="29"/>
      <c r="B64" s="29"/>
      <c r="C64" s="29"/>
      <c r="D64" s="32"/>
      <c r="E64" s="29"/>
    </row>
    <row r="65" spans="1:5" ht="15" x14ac:dyDescent="0.25">
      <c r="A65" s="29"/>
      <c r="B65" s="29"/>
      <c r="C65" s="29"/>
      <c r="D65" s="32"/>
      <c r="E65" s="29"/>
    </row>
    <row r="66" spans="1:5" ht="15" x14ac:dyDescent="0.25">
      <c r="A66" s="29"/>
      <c r="B66" s="29"/>
      <c r="C66" s="29"/>
      <c r="D66" s="32"/>
      <c r="E66" s="29"/>
    </row>
    <row r="67" spans="1:5" ht="15" x14ac:dyDescent="0.25">
      <c r="A67" s="29"/>
      <c r="B67" s="29"/>
      <c r="C67" s="29"/>
      <c r="D67" s="32"/>
      <c r="E67" s="29"/>
    </row>
    <row r="68" spans="1:5" ht="15" x14ac:dyDescent="0.25">
      <c r="A68" s="29"/>
      <c r="B68" s="29"/>
      <c r="C68" s="29"/>
      <c r="D68" s="32"/>
      <c r="E68" s="29"/>
    </row>
    <row r="69" spans="1:5" ht="15" x14ac:dyDescent="0.25">
      <c r="A69" s="29"/>
      <c r="B69" s="29"/>
      <c r="C69" s="29"/>
      <c r="D69" s="32"/>
      <c r="E69" s="29"/>
    </row>
    <row r="70" spans="1:5" ht="15" x14ac:dyDescent="0.25">
      <c r="A70" s="29"/>
      <c r="B70" s="29"/>
      <c r="C70" s="29"/>
      <c r="D70" s="32"/>
      <c r="E70" s="29"/>
    </row>
    <row r="71" spans="1:5" ht="15" x14ac:dyDescent="0.25">
      <c r="A71" s="29"/>
      <c r="B71" s="29"/>
      <c r="C71" s="29"/>
      <c r="D71" s="32"/>
      <c r="E71" s="29"/>
    </row>
    <row r="72" spans="1:5" ht="15" x14ac:dyDescent="0.25">
      <c r="A72" s="29"/>
      <c r="B72" s="29"/>
      <c r="C72" s="29"/>
      <c r="D72" s="32"/>
      <c r="E72" s="29"/>
    </row>
    <row r="73" spans="1:5" ht="15" x14ac:dyDescent="0.25">
      <c r="A73" s="29"/>
      <c r="B73" s="29"/>
      <c r="C73" s="29"/>
      <c r="D73" s="32"/>
      <c r="E73" s="29"/>
    </row>
    <row r="74" spans="1:5" ht="15" x14ac:dyDescent="0.25">
      <c r="A74" s="29"/>
      <c r="B74" s="29"/>
      <c r="C74" s="29"/>
      <c r="D74" s="32"/>
      <c r="E74" s="29"/>
    </row>
    <row r="75" spans="1:5" ht="15" x14ac:dyDescent="0.25">
      <c r="A75" s="29"/>
      <c r="B75" s="29"/>
      <c r="C75" s="29"/>
      <c r="D75" s="32"/>
      <c r="E75" s="29"/>
    </row>
    <row r="76" spans="1:5" ht="15" x14ac:dyDescent="0.25">
      <c r="A76" s="29"/>
      <c r="B76" s="29"/>
      <c r="C76" s="29"/>
      <c r="D76" s="32"/>
      <c r="E76" s="29"/>
    </row>
    <row r="77" spans="1:5" ht="15" x14ac:dyDescent="0.25">
      <c r="A77" s="29"/>
      <c r="B77" s="29"/>
      <c r="C77" s="29"/>
      <c r="D77" s="32"/>
      <c r="E77" s="29"/>
    </row>
    <row r="78" spans="1:5" ht="15" x14ac:dyDescent="0.25">
      <c r="A78" s="29"/>
      <c r="B78" s="29"/>
      <c r="C78" s="29"/>
      <c r="D78" s="32"/>
      <c r="E78" s="29"/>
    </row>
    <row r="79" spans="1:5" ht="15" x14ac:dyDescent="0.25">
      <c r="A79" s="29"/>
      <c r="B79" s="29"/>
      <c r="C79" s="29"/>
      <c r="D79" s="32"/>
      <c r="E79" s="29"/>
    </row>
    <row r="80" spans="1:5" ht="15" x14ac:dyDescent="0.25">
      <c r="A80" s="29"/>
      <c r="B80" s="29"/>
      <c r="C80" s="29"/>
      <c r="D80" s="32"/>
      <c r="E80" s="29"/>
    </row>
    <row r="81" spans="1:5" ht="15" x14ac:dyDescent="0.25">
      <c r="A81" s="29"/>
      <c r="B81" s="29"/>
      <c r="C81" s="29"/>
      <c r="D81" s="32"/>
      <c r="E81" s="29"/>
    </row>
    <row r="82" spans="1:5" ht="15" x14ac:dyDescent="0.25">
      <c r="A82" s="29"/>
      <c r="B82" s="29"/>
      <c r="C82" s="29"/>
      <c r="D82" s="32"/>
      <c r="E82" s="29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85D5-1E4E-4C7C-8BE5-8C4A69B5854D}">
  <dimension ref="A1:E17"/>
  <sheetViews>
    <sheetView workbookViewId="0">
      <selection activeCell="E2" sqref="E2"/>
    </sheetView>
  </sheetViews>
  <sheetFormatPr defaultRowHeight="15" x14ac:dyDescent="0.25"/>
  <cols>
    <col min="1" max="1" width="20.7109375" style="34" customWidth="1"/>
    <col min="2" max="2" width="13.85546875" style="34" customWidth="1"/>
    <col min="3" max="3" width="9.140625" style="34"/>
    <col min="4" max="4" width="35.7109375" style="34" bestFit="1" customWidth="1"/>
    <col min="5" max="5" width="13.85546875" style="34" bestFit="1" customWidth="1"/>
    <col min="6" max="6" width="9.140625" style="34"/>
    <col min="7" max="7" width="34.28515625" style="34" bestFit="1" customWidth="1"/>
    <col min="8" max="16384" width="9.140625" style="34"/>
  </cols>
  <sheetData>
    <row r="1" spans="1:5" x14ac:dyDescent="0.25">
      <c r="A1" s="88" t="s">
        <v>68</v>
      </c>
      <c r="B1" s="88"/>
      <c r="D1" s="88" t="s">
        <v>46</v>
      </c>
      <c r="E1" s="88"/>
    </row>
    <row r="2" spans="1:5" x14ac:dyDescent="0.25">
      <c r="A2" s="35" t="s">
        <v>69</v>
      </c>
      <c r="B2" s="36">
        <f>MAX(VENDAS!C3:C22)</f>
        <v>150000</v>
      </c>
      <c r="D2" s="35" t="s">
        <v>70</v>
      </c>
      <c r="E2" s="35">
        <f>COUNTIF(VENDAS!B3:B22,RELATÓRIO!D1)</f>
        <v>8</v>
      </c>
    </row>
    <row r="3" spans="1:5" x14ac:dyDescent="0.25">
      <c r="A3" s="35" t="s">
        <v>71</v>
      </c>
      <c r="B3" s="36">
        <f>MIN(VENDAS!C3:C22)</f>
        <v>23000</v>
      </c>
      <c r="D3" s="35" t="s">
        <v>72</v>
      </c>
      <c r="E3" s="35">
        <f>COUNTIFS(VENDAS!B3:B22,RELATÓRIO!D1,VENDAS!D3:D22,1)</f>
        <v>0</v>
      </c>
    </row>
    <row r="4" spans="1:5" x14ac:dyDescent="0.25">
      <c r="A4" s="35" t="s">
        <v>73</v>
      </c>
      <c r="B4" s="36">
        <f>AVERAGE(VENDAS!C3:C22)</f>
        <v>107108.94736842105</v>
      </c>
      <c r="D4" s="35" t="s">
        <v>74</v>
      </c>
      <c r="E4" s="36">
        <f>AVERAGEIF(VENDAS!B3:B22,RELATÓRIO!D1,VENDAS!C3:C22)</f>
        <v>101587.5</v>
      </c>
    </row>
    <row r="5" spans="1:5" x14ac:dyDescent="0.25">
      <c r="D5" s="35" t="s">
        <v>75</v>
      </c>
      <c r="E5" s="36">
        <f>AVERAGEIFS(VENDAS!C3:C22,VENDAS!B3:B22,RELATÓRIO!D1,VENDAS!D3:D22,"&lt;&gt;1")</f>
        <v>101587.5</v>
      </c>
    </row>
    <row r="6" spans="1:5" x14ac:dyDescent="0.25">
      <c r="A6" s="88" t="s">
        <v>76</v>
      </c>
      <c r="B6" s="88"/>
    </row>
    <row r="7" spans="1:5" x14ac:dyDescent="0.25">
      <c r="A7" s="35" t="s">
        <v>77</v>
      </c>
      <c r="B7" s="35">
        <f>COUNTA(VENDAS!A3:A22)</f>
        <v>20</v>
      </c>
      <c r="D7" s="88" t="s">
        <v>48</v>
      </c>
      <c r="E7" s="88"/>
    </row>
    <row r="8" spans="1:5" x14ac:dyDescent="0.25">
      <c r="A8" s="35" t="s">
        <v>78</v>
      </c>
      <c r="B8" s="35">
        <f>COUNTBLANK(VENDAS!C3:C22)</f>
        <v>1</v>
      </c>
      <c r="D8" s="35" t="s">
        <v>70</v>
      </c>
      <c r="E8" s="35">
        <f>COUNTIF(VENDAS!B3:B22,RELATÓRIO!D7)</f>
        <v>7</v>
      </c>
    </row>
    <row r="9" spans="1:5" x14ac:dyDescent="0.25">
      <c r="A9" s="35" t="s">
        <v>79</v>
      </c>
      <c r="B9" s="35">
        <f>COUNT(VENDAS!C3:C22)</f>
        <v>19</v>
      </c>
      <c r="D9" s="35" t="s">
        <v>72</v>
      </c>
      <c r="E9" s="35">
        <f>COUNTIFS(VENDAS!B3:B22,RELATÓRIO!D7,VENDAS!D3:D22,1)</f>
        <v>1</v>
      </c>
    </row>
    <row r="10" spans="1:5" x14ac:dyDescent="0.25">
      <c r="A10" s="35" t="s">
        <v>80</v>
      </c>
      <c r="B10" s="35">
        <f>COUNTIF(VENDAS!D3:D22,1)</f>
        <v>2</v>
      </c>
      <c r="D10" s="35" t="s">
        <v>74</v>
      </c>
      <c r="E10" s="36">
        <f>AVERAGEIF(VENDAS!B3:B22,RELATÓRIO!D7,VENDAS!C3:C22)</f>
        <v>123624.28571428571</v>
      </c>
    </row>
    <row r="11" spans="1:5" x14ac:dyDescent="0.25">
      <c r="D11" s="35" t="s">
        <v>75</v>
      </c>
      <c r="E11" s="36">
        <f>AVERAGEIFS(VENDAS!C3:C22,VENDAS!B3:B22,RELATÓRIO!D7,VENDAS!D3:D22,"&lt;&gt;1")</f>
        <v>119228.33333333333</v>
      </c>
    </row>
    <row r="13" spans="1:5" x14ac:dyDescent="0.25">
      <c r="D13" s="88" t="s">
        <v>50</v>
      </c>
      <c r="E13" s="88"/>
    </row>
    <row r="14" spans="1:5" x14ac:dyDescent="0.25">
      <c r="D14" s="35" t="s">
        <v>70</v>
      </c>
      <c r="E14" s="35">
        <f>COUNTIF(VENDAS!B3:B22,RELATÓRIO!D13)</f>
        <v>5</v>
      </c>
    </row>
    <row r="15" spans="1:5" x14ac:dyDescent="0.25">
      <c r="D15" s="35" t="s">
        <v>72</v>
      </c>
      <c r="E15" s="35">
        <f>COUNTIFS(VENDAS!B3:B22,RELATÓRIO!D13,VENDAS!D3:D22,1)</f>
        <v>1</v>
      </c>
    </row>
    <row r="16" spans="1:5" x14ac:dyDescent="0.25">
      <c r="D16" s="35" t="s">
        <v>74</v>
      </c>
      <c r="E16" s="36">
        <f>AVERAGEIF(VENDAS!B3:B22,RELATÓRIO!D13,VENDAS!C3:C22)</f>
        <v>89250</v>
      </c>
    </row>
    <row r="17" spans="4:5" x14ac:dyDescent="0.25">
      <c r="D17" s="35" t="s">
        <v>75</v>
      </c>
      <c r="E17" s="36">
        <f>AVERAGEIFS(VENDAS!C3:C22,VENDAS!B3:B22,RELATÓRIO!D13,VENDAS!D3:D22,"&lt;&gt;1")</f>
        <v>69000</v>
      </c>
    </row>
  </sheetData>
  <mergeCells count="5">
    <mergeCell ref="A1:B1"/>
    <mergeCell ref="D1:E1"/>
    <mergeCell ref="A6:B6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B57A-9D9C-4B02-9C46-0A4BA7CB86E0}">
  <dimension ref="A1:D15"/>
  <sheetViews>
    <sheetView workbookViewId="0">
      <selection activeCell="D2" sqref="D2:D15"/>
    </sheetView>
  </sheetViews>
  <sheetFormatPr defaultRowHeight="15" x14ac:dyDescent="0.25"/>
  <cols>
    <col min="1" max="1" width="12" bestFit="1" customWidth="1"/>
    <col min="2" max="2" width="9.85546875" bestFit="1" customWidth="1"/>
    <col min="3" max="3" width="17.7109375" bestFit="1" customWidth="1"/>
    <col min="4" max="4" width="19.42578125" bestFit="1" customWidth="1"/>
  </cols>
  <sheetData>
    <row r="1" spans="1:4" x14ac:dyDescent="0.25">
      <c r="A1" s="37" t="s">
        <v>81</v>
      </c>
      <c r="B1" s="37" t="s">
        <v>82</v>
      </c>
      <c r="C1" s="37" t="s">
        <v>83</v>
      </c>
      <c r="D1" s="37" t="s">
        <v>84</v>
      </c>
    </row>
    <row r="2" spans="1:4" x14ac:dyDescent="0.25">
      <c r="A2" s="4" t="s">
        <v>85</v>
      </c>
      <c r="B2" s="4" t="s">
        <v>86</v>
      </c>
      <c r="C2" s="4" t="b">
        <f>AND(A2="Lápis",B2="Vermelho")</f>
        <v>0</v>
      </c>
      <c r="D2" s="4" t="b">
        <f>OR(A2="Lápis",B2="Vermelho")</f>
        <v>1</v>
      </c>
    </row>
    <row r="3" spans="1:4" x14ac:dyDescent="0.25">
      <c r="A3" s="4" t="s">
        <v>87</v>
      </c>
      <c r="B3" s="4" t="s">
        <v>88</v>
      </c>
      <c r="C3" s="4" t="b">
        <f t="shared" ref="C3:C15" si="0">AND(A3="Lápis",B3="Vermelho")</f>
        <v>0</v>
      </c>
      <c r="D3" s="4" t="b">
        <f t="shared" ref="D3:D15" si="1">OR(A3="Lápis",B3="Vermelho")</f>
        <v>0</v>
      </c>
    </row>
    <row r="4" spans="1:4" x14ac:dyDescent="0.25">
      <c r="A4" s="4" t="s">
        <v>89</v>
      </c>
      <c r="B4" s="4" t="s">
        <v>90</v>
      </c>
      <c r="C4" s="4" t="b">
        <f t="shared" si="0"/>
        <v>0</v>
      </c>
      <c r="D4" s="4" t="b">
        <f t="shared" si="1"/>
        <v>1</v>
      </c>
    </row>
    <row r="5" spans="1:4" x14ac:dyDescent="0.25">
      <c r="A5" s="4" t="s">
        <v>91</v>
      </c>
      <c r="B5" s="4" t="s">
        <v>90</v>
      </c>
      <c r="C5" s="4" t="b">
        <f t="shared" si="0"/>
        <v>0</v>
      </c>
      <c r="D5" s="4" t="b">
        <f t="shared" si="1"/>
        <v>1</v>
      </c>
    </row>
    <row r="6" spans="1:4" x14ac:dyDescent="0.25">
      <c r="A6" s="4" t="s">
        <v>92</v>
      </c>
      <c r="B6" s="4" t="s">
        <v>88</v>
      </c>
      <c r="C6" s="4" t="b">
        <f t="shared" si="0"/>
        <v>0</v>
      </c>
      <c r="D6" s="4" t="b">
        <f t="shared" si="1"/>
        <v>0</v>
      </c>
    </row>
    <row r="7" spans="1:4" x14ac:dyDescent="0.25">
      <c r="A7" s="4" t="s">
        <v>93</v>
      </c>
      <c r="B7" s="4" t="s">
        <v>86</v>
      </c>
      <c r="C7" s="4" t="b">
        <f t="shared" si="0"/>
        <v>0</v>
      </c>
      <c r="D7" s="4" t="b">
        <f t="shared" si="1"/>
        <v>0</v>
      </c>
    </row>
    <row r="8" spans="1:4" x14ac:dyDescent="0.25">
      <c r="A8" s="4" t="s">
        <v>85</v>
      </c>
      <c r="B8" s="4" t="s">
        <v>90</v>
      </c>
      <c r="C8" s="4" t="b">
        <f t="shared" si="0"/>
        <v>1</v>
      </c>
      <c r="D8" s="4" t="b">
        <f t="shared" si="1"/>
        <v>1</v>
      </c>
    </row>
    <row r="9" spans="1:4" x14ac:dyDescent="0.25">
      <c r="A9" s="4" t="s">
        <v>91</v>
      </c>
      <c r="B9" s="4" t="s">
        <v>86</v>
      </c>
      <c r="C9" s="4" t="b">
        <f t="shared" si="0"/>
        <v>0</v>
      </c>
      <c r="D9" s="4" t="b">
        <f t="shared" si="1"/>
        <v>0</v>
      </c>
    </row>
    <row r="10" spans="1:4" x14ac:dyDescent="0.25">
      <c r="A10" s="4" t="s">
        <v>92</v>
      </c>
      <c r="B10" s="4" t="s">
        <v>90</v>
      </c>
      <c r="C10" s="4" t="b">
        <f t="shared" si="0"/>
        <v>0</v>
      </c>
      <c r="D10" s="4" t="b">
        <f t="shared" si="1"/>
        <v>1</v>
      </c>
    </row>
    <row r="11" spans="1:4" x14ac:dyDescent="0.25">
      <c r="A11" s="4" t="s">
        <v>85</v>
      </c>
      <c r="B11" s="4" t="s">
        <v>86</v>
      </c>
      <c r="C11" s="4" t="b">
        <f t="shared" si="0"/>
        <v>0</v>
      </c>
      <c r="D11" s="4" t="b">
        <f t="shared" si="1"/>
        <v>1</v>
      </c>
    </row>
    <row r="12" spans="1:4" x14ac:dyDescent="0.25">
      <c r="A12" s="4" t="s">
        <v>87</v>
      </c>
      <c r="B12" s="4" t="s">
        <v>88</v>
      </c>
      <c r="C12" s="4" t="b">
        <f t="shared" si="0"/>
        <v>0</v>
      </c>
      <c r="D12" s="4" t="b">
        <f t="shared" si="1"/>
        <v>0</v>
      </c>
    </row>
    <row r="13" spans="1:4" x14ac:dyDescent="0.25">
      <c r="A13" s="4" t="s">
        <v>85</v>
      </c>
      <c r="B13" s="4" t="s">
        <v>86</v>
      </c>
      <c r="C13" s="4" t="b">
        <f t="shared" si="0"/>
        <v>0</v>
      </c>
      <c r="D13" s="4" t="b">
        <f t="shared" si="1"/>
        <v>1</v>
      </c>
    </row>
    <row r="14" spans="1:4" x14ac:dyDescent="0.25">
      <c r="A14" s="4" t="s">
        <v>85</v>
      </c>
      <c r="B14" s="4" t="s">
        <v>90</v>
      </c>
      <c r="C14" s="4" t="b">
        <f t="shared" si="0"/>
        <v>1</v>
      </c>
      <c r="D14" s="4" t="b">
        <f t="shared" si="1"/>
        <v>1</v>
      </c>
    </row>
    <row r="15" spans="1:4" x14ac:dyDescent="0.25">
      <c r="A15" s="4" t="s">
        <v>92</v>
      </c>
      <c r="B15" s="4" t="s">
        <v>90</v>
      </c>
      <c r="C15" s="4" t="b">
        <f t="shared" si="0"/>
        <v>0</v>
      </c>
      <c r="D15" s="4" t="b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A0A2-4E1B-4E9F-B3B3-AE88027EADA1}">
  <dimension ref="A1:C9"/>
  <sheetViews>
    <sheetView workbookViewId="0">
      <selection activeCell="C4" sqref="C4"/>
    </sheetView>
  </sheetViews>
  <sheetFormatPr defaultRowHeight="15" x14ac:dyDescent="0.25"/>
  <cols>
    <col min="1" max="1" width="25.5703125" bestFit="1" customWidth="1"/>
    <col min="2" max="2" width="21.7109375" style="7" bestFit="1" customWidth="1"/>
    <col min="3" max="3" width="12.140625" bestFit="1" customWidth="1"/>
  </cols>
  <sheetData>
    <row r="1" spans="1:3" ht="23.25" x14ac:dyDescent="0.35">
      <c r="A1" s="38" t="s">
        <v>94</v>
      </c>
      <c r="B1" s="39">
        <v>20000</v>
      </c>
    </row>
    <row r="3" spans="1:3" ht="21" x14ac:dyDescent="0.35">
      <c r="A3" s="40" t="s">
        <v>95</v>
      </c>
      <c r="B3" s="41" t="s">
        <v>96</v>
      </c>
      <c r="C3" s="40" t="s">
        <v>97</v>
      </c>
    </row>
    <row r="4" spans="1:3" ht="15.75" x14ac:dyDescent="0.25">
      <c r="A4" s="42" t="s">
        <v>98</v>
      </c>
      <c r="B4" s="43">
        <v>5200</v>
      </c>
      <c r="C4" s="42" t="str">
        <f>_xlfn.IFS(B4&lt;10000,"REGULAR",AND(B4&gt;=10000,B4&lt;$B$1),"BOM",B4&gt;=$B$1,"EXCELENTE")</f>
        <v>REGULAR</v>
      </c>
    </row>
    <row r="5" spans="1:3" ht="15.75" x14ac:dyDescent="0.25">
      <c r="A5" s="42" t="s">
        <v>99</v>
      </c>
      <c r="B5" s="43">
        <v>19000</v>
      </c>
      <c r="C5" s="42" t="str">
        <f t="shared" ref="C5:C9" si="0">_xlfn.IFS(B5&lt;10000,"REGULAR",AND(B5&gt;=10000,B5&lt;$B$1),"BOM",B5&gt;=$B$1,"EXCELENTE")</f>
        <v>BOM</v>
      </c>
    </row>
    <row r="6" spans="1:3" ht="15.75" x14ac:dyDescent="0.25">
      <c r="A6" s="42" t="s">
        <v>100</v>
      </c>
      <c r="B6" s="43">
        <v>23000</v>
      </c>
      <c r="C6" s="42" t="str">
        <f t="shared" si="0"/>
        <v>EXCELENTE</v>
      </c>
    </row>
    <row r="7" spans="1:3" ht="15.75" x14ac:dyDescent="0.25">
      <c r="A7" s="42" t="s">
        <v>101</v>
      </c>
      <c r="B7" s="43">
        <v>20000</v>
      </c>
      <c r="C7" s="42" t="str">
        <f t="shared" si="0"/>
        <v>EXCELENTE</v>
      </c>
    </row>
    <row r="8" spans="1:3" ht="15.75" x14ac:dyDescent="0.25">
      <c r="A8" s="42" t="s">
        <v>102</v>
      </c>
      <c r="B8" s="43">
        <v>3500</v>
      </c>
      <c r="C8" s="42" t="str">
        <f t="shared" si="0"/>
        <v>REGULAR</v>
      </c>
    </row>
    <row r="9" spans="1:3" ht="15.75" x14ac:dyDescent="0.25">
      <c r="A9" s="42" t="s">
        <v>103</v>
      </c>
      <c r="B9" s="43">
        <v>5600</v>
      </c>
      <c r="C9" s="42" t="str">
        <f t="shared" si="0"/>
        <v>REGULAR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3FD0-BBB5-4455-AECD-F7768A943A4C}">
  <dimension ref="A1:J17"/>
  <sheetViews>
    <sheetView workbookViewId="0">
      <selection activeCell="F15" sqref="F15"/>
    </sheetView>
  </sheetViews>
  <sheetFormatPr defaultRowHeight="15" x14ac:dyDescent="0.25"/>
  <cols>
    <col min="1" max="1" width="12.140625" customWidth="1"/>
    <col min="3" max="3" width="12.42578125" style="7" customWidth="1"/>
    <col min="4" max="4" width="13.28515625" style="7" bestFit="1" customWidth="1"/>
    <col min="5" max="5" width="13.140625" style="7" customWidth="1"/>
    <col min="6" max="6" width="15.140625" bestFit="1" customWidth="1"/>
    <col min="7" max="7" width="12.140625" bestFit="1" customWidth="1"/>
    <col min="9" max="9" width="9.5703125" style="80" bestFit="1" customWidth="1"/>
    <col min="10" max="10" width="10.5703125" style="80" bestFit="1" customWidth="1"/>
  </cols>
  <sheetData>
    <row r="1" spans="1:7" ht="23.25" x14ac:dyDescent="0.35">
      <c r="A1" s="89" t="s">
        <v>153</v>
      </c>
      <c r="B1" s="89"/>
      <c r="C1" s="89"/>
      <c r="D1" s="89"/>
    </row>
    <row r="2" spans="1:7" x14ac:dyDescent="0.25">
      <c r="A2" s="12"/>
      <c r="B2" s="12"/>
      <c r="C2" s="69"/>
      <c r="D2" s="69"/>
    </row>
    <row r="3" spans="1:7" x14ac:dyDescent="0.25">
      <c r="A3" s="90" t="s">
        <v>154</v>
      </c>
      <c r="B3" s="90"/>
      <c r="C3" s="90"/>
      <c r="D3" s="90"/>
    </row>
    <row r="4" spans="1:7" ht="30" x14ac:dyDescent="0.25">
      <c r="A4" s="70" t="s">
        <v>155</v>
      </c>
      <c r="B4" s="70" t="s">
        <v>156</v>
      </c>
      <c r="C4" s="71" t="s">
        <v>157</v>
      </c>
      <c r="D4" s="71" t="s">
        <v>158</v>
      </c>
      <c r="E4" s="72"/>
    </row>
    <row r="5" spans="1:7" x14ac:dyDescent="0.25">
      <c r="A5" s="73">
        <v>60</v>
      </c>
      <c r="B5" s="74">
        <v>1.4999999999999999E-2</v>
      </c>
      <c r="C5" s="75">
        <v>500</v>
      </c>
      <c r="D5" s="75">
        <f>FV(B5,A5,C5)</f>
        <v>-48107.325856324074</v>
      </c>
      <c r="E5" s="76"/>
      <c r="F5" s="77"/>
    </row>
    <row r="6" spans="1:7" x14ac:dyDescent="0.25">
      <c r="A6" s="12"/>
      <c r="B6" s="12"/>
      <c r="C6" s="69"/>
      <c r="D6" s="78"/>
      <c r="E6" s="76"/>
    </row>
    <row r="7" spans="1:7" x14ac:dyDescent="0.25">
      <c r="A7" s="90" t="s">
        <v>159</v>
      </c>
      <c r="B7" s="90"/>
      <c r="C7" s="90"/>
      <c r="D7" s="90"/>
    </row>
    <row r="8" spans="1:7" ht="30" x14ac:dyDescent="0.25">
      <c r="A8" s="70" t="s">
        <v>155</v>
      </c>
      <c r="B8" s="70" t="s">
        <v>156</v>
      </c>
      <c r="C8" s="71" t="s">
        <v>157</v>
      </c>
      <c r="D8" s="71" t="s">
        <v>160</v>
      </c>
      <c r="E8" s="72"/>
    </row>
    <row r="9" spans="1:7" x14ac:dyDescent="0.25">
      <c r="A9" s="73">
        <v>24</v>
      </c>
      <c r="B9" s="74">
        <v>3.5000000000000003E-2</v>
      </c>
      <c r="C9" s="75">
        <v>78</v>
      </c>
      <c r="D9" s="75">
        <f>PV(B9,A9,C9)</f>
        <v>-1252.5526730352515</v>
      </c>
      <c r="E9" s="76"/>
      <c r="G9" s="9"/>
    </row>
    <row r="10" spans="1:7" x14ac:dyDescent="0.25">
      <c r="A10" s="12"/>
      <c r="B10" s="12"/>
      <c r="C10" s="69"/>
      <c r="D10" s="69"/>
    </row>
    <row r="11" spans="1:7" x14ac:dyDescent="0.25">
      <c r="A11" s="90" t="s">
        <v>161</v>
      </c>
      <c r="B11" s="90"/>
      <c r="C11" s="90"/>
      <c r="D11" s="90"/>
    </row>
    <row r="12" spans="1:7" ht="30" x14ac:dyDescent="0.25">
      <c r="A12" s="70" t="s">
        <v>155</v>
      </c>
      <c r="B12" s="70" t="s">
        <v>156</v>
      </c>
      <c r="C12" s="71" t="s">
        <v>157</v>
      </c>
      <c r="D12" s="71" t="s">
        <v>162</v>
      </c>
    </row>
    <row r="13" spans="1:7" x14ac:dyDescent="0.25">
      <c r="A13" s="73">
        <v>24</v>
      </c>
      <c r="B13" s="74">
        <v>5.0000000000000001E-3</v>
      </c>
      <c r="C13" s="75">
        <f>PMT(B13,A13,D13)</f>
        <v>-1551.2213588464913</v>
      </c>
      <c r="D13" s="75">
        <v>35000</v>
      </c>
      <c r="E13" s="76"/>
    </row>
    <row r="14" spans="1:7" x14ac:dyDescent="0.25">
      <c r="A14" s="12"/>
      <c r="B14" s="12"/>
      <c r="C14" s="69"/>
      <c r="D14" s="69"/>
    </row>
    <row r="15" spans="1:7" x14ac:dyDescent="0.25">
      <c r="A15" s="90" t="s">
        <v>163</v>
      </c>
      <c r="B15" s="90"/>
      <c r="C15" s="90"/>
      <c r="D15" s="90"/>
    </row>
    <row r="16" spans="1:7" ht="30" x14ac:dyDescent="0.25">
      <c r="A16" s="70" t="s">
        <v>155</v>
      </c>
      <c r="B16" s="70" t="s">
        <v>156</v>
      </c>
      <c r="C16" s="71" t="s">
        <v>157</v>
      </c>
      <c r="D16" s="71" t="s">
        <v>164</v>
      </c>
    </row>
    <row r="17" spans="1:4" x14ac:dyDescent="0.25">
      <c r="A17" s="79">
        <f>NPER(B17,C17,D17)</f>
        <v>-18.24727477297845</v>
      </c>
      <c r="B17" s="74">
        <v>2.4E-2</v>
      </c>
      <c r="C17" s="75">
        <v>1551.22</v>
      </c>
      <c r="D17" s="75">
        <v>35000</v>
      </c>
    </row>
  </sheetData>
  <mergeCells count="5">
    <mergeCell ref="A1:D1"/>
    <mergeCell ref="A3:D3"/>
    <mergeCell ref="A7:D7"/>
    <mergeCell ref="A11:D11"/>
    <mergeCell ref="A15:D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E0BB-8BAC-4E3D-97EB-DA79D20DFA9B}">
  <dimension ref="A1:E15"/>
  <sheetViews>
    <sheetView workbookViewId="0">
      <selection activeCell="D2" sqref="D2"/>
    </sheetView>
  </sheetViews>
  <sheetFormatPr defaultRowHeight="15" x14ac:dyDescent="0.25"/>
  <cols>
    <col min="1" max="1" width="10.7109375" bestFit="1" customWidth="1"/>
    <col min="2" max="2" width="11.140625" customWidth="1"/>
    <col min="3" max="3" width="17.5703125" bestFit="1" customWidth="1"/>
    <col min="4" max="4" width="10.7109375" bestFit="1" customWidth="1"/>
    <col min="5" max="5" width="34" bestFit="1" customWidth="1"/>
    <col min="6" max="6" width="10.7109375" bestFit="1" customWidth="1"/>
  </cols>
  <sheetData>
    <row r="1" spans="1:5" ht="45" customHeight="1" x14ac:dyDescent="0.25">
      <c r="A1" s="44" t="s">
        <v>104</v>
      </c>
      <c r="B1" s="44" t="s">
        <v>105</v>
      </c>
      <c r="C1" s="44" t="s">
        <v>106</v>
      </c>
      <c r="D1" s="44" t="s">
        <v>2</v>
      </c>
      <c r="E1" s="44" t="s">
        <v>107</v>
      </c>
    </row>
    <row r="2" spans="1:5" x14ac:dyDescent="0.25">
      <c r="A2" s="45">
        <v>40557</v>
      </c>
      <c r="B2" s="46">
        <v>40557</v>
      </c>
      <c r="C2" s="47">
        <v>40557</v>
      </c>
      <c r="D2" s="48">
        <v>40557</v>
      </c>
      <c r="E2" s="49">
        <v>40557</v>
      </c>
    </row>
    <row r="3" spans="1:5" x14ac:dyDescent="0.25">
      <c r="A3" s="45">
        <v>40565</v>
      </c>
      <c r="B3" s="46">
        <v>40565</v>
      </c>
      <c r="C3" s="47">
        <v>40565</v>
      </c>
      <c r="D3" s="48">
        <v>40565</v>
      </c>
      <c r="E3" s="49">
        <v>40565</v>
      </c>
    </row>
    <row r="4" spans="1:5" x14ac:dyDescent="0.25">
      <c r="A4" s="45">
        <v>40574</v>
      </c>
      <c r="B4" s="46">
        <v>40574</v>
      </c>
      <c r="C4" s="47">
        <v>40574</v>
      </c>
      <c r="D4" s="48">
        <v>40574</v>
      </c>
      <c r="E4" s="49">
        <v>40574</v>
      </c>
    </row>
    <row r="5" spans="1:5" x14ac:dyDescent="0.25">
      <c r="A5" s="45">
        <v>40584</v>
      </c>
      <c r="B5" s="46">
        <v>40584</v>
      </c>
      <c r="C5" s="47">
        <v>40584</v>
      </c>
      <c r="D5" s="48">
        <v>40584</v>
      </c>
      <c r="E5" s="49">
        <v>40584</v>
      </c>
    </row>
    <row r="6" spans="1:5" x14ac:dyDescent="0.25">
      <c r="A6" s="45">
        <v>40663</v>
      </c>
      <c r="B6" s="46">
        <v>40663</v>
      </c>
      <c r="C6" s="47">
        <v>40663</v>
      </c>
      <c r="D6" s="48">
        <v>40663</v>
      </c>
      <c r="E6" s="49">
        <v>40663</v>
      </c>
    </row>
    <row r="7" spans="1:5" x14ac:dyDescent="0.25">
      <c r="A7" s="45">
        <v>40674</v>
      </c>
      <c r="B7" s="46">
        <v>40674</v>
      </c>
      <c r="C7" s="47">
        <v>40674</v>
      </c>
      <c r="D7" s="48">
        <v>40674</v>
      </c>
      <c r="E7" s="49">
        <v>40674</v>
      </c>
    </row>
    <row r="8" spans="1:5" x14ac:dyDescent="0.25">
      <c r="A8" s="45">
        <v>40720</v>
      </c>
      <c r="B8" s="46">
        <v>40720</v>
      </c>
      <c r="C8" s="47">
        <v>40720</v>
      </c>
      <c r="D8" s="48">
        <v>40720</v>
      </c>
      <c r="E8" s="49">
        <v>40720</v>
      </c>
    </row>
    <row r="9" spans="1:5" x14ac:dyDescent="0.25">
      <c r="A9" s="45">
        <v>40724</v>
      </c>
      <c r="B9" s="46">
        <v>40724</v>
      </c>
      <c r="C9" s="47">
        <v>40724</v>
      </c>
      <c r="D9" s="48">
        <v>40724</v>
      </c>
      <c r="E9" s="49">
        <v>40724</v>
      </c>
    </row>
    <row r="10" spans="1:5" x14ac:dyDescent="0.25">
      <c r="A10" s="45">
        <v>40770</v>
      </c>
      <c r="B10" s="46">
        <v>40770</v>
      </c>
      <c r="C10" s="47">
        <v>40770</v>
      </c>
      <c r="D10" s="48">
        <v>40770</v>
      </c>
      <c r="E10" s="49">
        <v>40770</v>
      </c>
    </row>
    <row r="11" spans="1:5" x14ac:dyDescent="0.25">
      <c r="A11" s="45">
        <v>40796</v>
      </c>
      <c r="B11" s="46">
        <v>40796</v>
      </c>
      <c r="C11" s="47">
        <v>40796</v>
      </c>
      <c r="D11" s="48">
        <v>40796</v>
      </c>
      <c r="E11" s="49">
        <v>40796</v>
      </c>
    </row>
    <row r="12" spans="1:5" x14ac:dyDescent="0.25">
      <c r="A12" s="45">
        <v>40809</v>
      </c>
      <c r="B12" s="46">
        <v>40809</v>
      </c>
      <c r="C12" s="47">
        <v>40809</v>
      </c>
      <c r="D12" s="48">
        <v>40809</v>
      </c>
      <c r="E12" s="49">
        <v>40809</v>
      </c>
    </row>
    <row r="13" spans="1:5" x14ac:dyDescent="0.25">
      <c r="A13" s="45">
        <v>40828</v>
      </c>
      <c r="B13" s="46">
        <v>40828</v>
      </c>
      <c r="C13" s="47">
        <v>40828</v>
      </c>
      <c r="D13" s="48">
        <v>40828</v>
      </c>
      <c r="E13" s="49">
        <v>40828</v>
      </c>
    </row>
    <row r="14" spans="1:5" x14ac:dyDescent="0.25">
      <c r="A14" s="45">
        <v>40853</v>
      </c>
      <c r="B14" s="46">
        <v>40853</v>
      </c>
      <c r="C14" s="47">
        <v>40853</v>
      </c>
      <c r="D14" s="48">
        <v>40853</v>
      </c>
      <c r="E14" s="49">
        <v>40853</v>
      </c>
    </row>
    <row r="15" spans="1:5" x14ac:dyDescent="0.25">
      <c r="A15" s="45">
        <v>40901</v>
      </c>
      <c r="B15" s="46">
        <v>40901</v>
      </c>
      <c r="C15" s="47">
        <v>40901</v>
      </c>
      <c r="D15" s="48">
        <v>40901</v>
      </c>
      <c r="E15" s="49">
        <v>40901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8A76-CCA9-4BB4-B3D0-3DA5DF0EC38D}">
  <dimension ref="A1:F30"/>
  <sheetViews>
    <sheetView topLeftCell="A7" zoomScale="87" zoomScaleNormal="87" workbookViewId="0">
      <selection activeCell="E11" sqref="E11"/>
    </sheetView>
  </sheetViews>
  <sheetFormatPr defaultRowHeight="15" x14ac:dyDescent="0.25"/>
  <cols>
    <col min="1" max="1" width="12" bestFit="1" customWidth="1"/>
    <col min="2" max="2" width="14.5703125" customWidth="1"/>
    <col min="3" max="3" width="13.140625" customWidth="1"/>
    <col min="4" max="4" width="13.5703125" customWidth="1"/>
    <col min="5" max="5" width="13.42578125" customWidth="1"/>
    <col min="6" max="6" width="12.28515625" customWidth="1"/>
  </cols>
  <sheetData>
    <row r="1" spans="1:6" x14ac:dyDescent="0.25">
      <c r="A1" s="92" t="s">
        <v>108</v>
      </c>
      <c r="B1" s="92"/>
      <c r="C1" s="92"/>
      <c r="D1" s="92"/>
      <c r="E1" s="92"/>
      <c r="F1" s="18">
        <f ca="1">TODAY()</f>
        <v>43535</v>
      </c>
    </row>
    <row r="2" spans="1:6" x14ac:dyDescent="0.25">
      <c r="A2" s="92" t="s">
        <v>109</v>
      </c>
      <c r="B2" s="92"/>
      <c r="C2" s="92"/>
      <c r="D2" s="92"/>
      <c r="E2" s="92"/>
      <c r="F2">
        <f ca="1">DAY(F1)</f>
        <v>11</v>
      </c>
    </row>
    <row r="3" spans="1:6" x14ac:dyDescent="0.25">
      <c r="A3" s="92" t="s">
        <v>110</v>
      </c>
      <c r="B3" s="92"/>
      <c r="C3" s="92"/>
      <c r="D3" s="92"/>
      <c r="E3" s="92"/>
      <c r="F3">
        <f ca="1">MONTH(F1)</f>
        <v>3</v>
      </c>
    </row>
    <row r="4" spans="1:6" x14ac:dyDescent="0.25">
      <c r="A4" s="92" t="s">
        <v>111</v>
      </c>
      <c r="B4" s="92"/>
      <c r="C4" s="92"/>
      <c r="D4" s="92"/>
      <c r="E4" s="92"/>
      <c r="F4">
        <f ca="1">YEAR(F1)</f>
        <v>2019</v>
      </c>
    </row>
    <row r="5" spans="1:6" x14ac:dyDescent="0.25">
      <c r="A5" s="92" t="s">
        <v>112</v>
      </c>
      <c r="B5" s="92"/>
      <c r="C5" s="92"/>
      <c r="D5" s="92"/>
      <c r="E5" s="92"/>
      <c r="F5">
        <f ca="1">WEEKDAY(F1)</f>
        <v>2</v>
      </c>
    </row>
    <row r="7" spans="1:6" ht="21" x14ac:dyDescent="0.35">
      <c r="A7" s="91" t="s">
        <v>113</v>
      </c>
      <c r="B7" s="91"/>
      <c r="C7" s="91"/>
      <c r="D7" s="91"/>
      <c r="E7" s="91"/>
      <c r="F7" s="91"/>
    </row>
    <row r="8" spans="1:6" x14ac:dyDescent="0.25">
      <c r="A8" s="11" t="s">
        <v>114</v>
      </c>
      <c r="B8" s="50">
        <v>43221</v>
      </c>
    </row>
    <row r="9" spans="1:6" x14ac:dyDescent="0.25">
      <c r="A9" s="11"/>
      <c r="B9" s="11"/>
    </row>
    <row r="10" spans="1:6" ht="30" x14ac:dyDescent="0.25">
      <c r="A10" s="51" t="s">
        <v>33</v>
      </c>
      <c r="B10" s="51" t="s">
        <v>115</v>
      </c>
      <c r="C10" s="51" t="s">
        <v>116</v>
      </c>
      <c r="D10" s="51" t="s">
        <v>117</v>
      </c>
      <c r="E10" s="51" t="s">
        <v>118</v>
      </c>
      <c r="F10" s="51" t="s">
        <v>119</v>
      </c>
    </row>
    <row r="11" spans="1:6" x14ac:dyDescent="0.25">
      <c r="A11" s="45">
        <f>WORKDAY.INTL(B8-1,1,1,[2]FERIADOS!A:A)</f>
        <v>43222</v>
      </c>
      <c r="B11" s="47">
        <v>43222</v>
      </c>
      <c r="C11" s="4">
        <v>10</v>
      </c>
      <c r="D11" s="4">
        <v>20</v>
      </c>
      <c r="E11" s="4">
        <v>15</v>
      </c>
      <c r="F11" s="4">
        <f>C11+D11-E11</f>
        <v>15</v>
      </c>
    </row>
    <row r="12" spans="1:6" x14ac:dyDescent="0.25">
      <c r="A12" s="45">
        <f>WORKDAY.INTL(A11,1,1,[2]FERIADOS!A:A)</f>
        <v>43223</v>
      </c>
      <c r="B12" s="47">
        <v>43223</v>
      </c>
      <c r="C12" s="4">
        <f>F11</f>
        <v>15</v>
      </c>
      <c r="D12" s="4">
        <v>5</v>
      </c>
      <c r="E12" s="4">
        <v>20</v>
      </c>
      <c r="F12" s="4">
        <f>C12+D12-E12</f>
        <v>0</v>
      </c>
    </row>
    <row r="13" spans="1:6" x14ac:dyDescent="0.25">
      <c r="A13" s="45">
        <f>WORKDAY.INTL(A12,1,1,[2]FERIADOS!A:A)</f>
        <v>43224</v>
      </c>
      <c r="B13" s="47">
        <v>43224</v>
      </c>
      <c r="C13" s="4">
        <f t="shared" ref="C13:C30" si="0">F12</f>
        <v>0</v>
      </c>
      <c r="D13" s="4">
        <v>10</v>
      </c>
      <c r="E13" s="4">
        <v>8</v>
      </c>
      <c r="F13" s="4">
        <f t="shared" ref="F13:F30" si="1">C13+D13-E13</f>
        <v>2</v>
      </c>
    </row>
    <row r="14" spans="1:6" x14ac:dyDescent="0.25">
      <c r="A14" s="45">
        <f>WORKDAY.INTL(A13,1,1,[2]FERIADOS!A:A)</f>
        <v>43227</v>
      </c>
      <c r="B14" s="47">
        <v>43227</v>
      </c>
      <c r="C14" s="4">
        <f t="shared" si="0"/>
        <v>2</v>
      </c>
      <c r="D14" s="4">
        <v>23</v>
      </c>
      <c r="E14" s="4">
        <v>20</v>
      </c>
      <c r="F14" s="4">
        <f t="shared" si="1"/>
        <v>5</v>
      </c>
    </row>
    <row r="15" spans="1:6" x14ac:dyDescent="0.25">
      <c r="A15" s="45">
        <f>WORKDAY.INTL(A14,1,1,[2]FERIADOS!A:A)</f>
        <v>43228</v>
      </c>
      <c r="B15" s="47">
        <v>43228</v>
      </c>
      <c r="C15" s="4">
        <f t="shared" si="0"/>
        <v>5</v>
      </c>
      <c r="D15" s="4">
        <v>25</v>
      </c>
      <c r="E15" s="4">
        <v>22</v>
      </c>
      <c r="F15" s="4">
        <f t="shared" si="1"/>
        <v>8</v>
      </c>
    </row>
    <row r="16" spans="1:6" x14ac:dyDescent="0.25">
      <c r="A16" s="45">
        <f>WORKDAY.INTL(A15,1,1,[2]FERIADOS!A:A)</f>
        <v>43229</v>
      </c>
      <c r="B16" s="47">
        <v>43229</v>
      </c>
      <c r="C16" s="4">
        <f t="shared" si="0"/>
        <v>8</v>
      </c>
      <c r="D16" s="4">
        <v>12</v>
      </c>
      <c r="E16" s="4">
        <v>10</v>
      </c>
      <c r="F16" s="4">
        <f t="shared" si="1"/>
        <v>10</v>
      </c>
    </row>
    <row r="17" spans="1:6" x14ac:dyDescent="0.25">
      <c r="A17" s="45">
        <f>WORKDAY.INTL(A16,1,1,[2]FERIADOS!A:A)</f>
        <v>43230</v>
      </c>
      <c r="B17" s="47">
        <v>43230</v>
      </c>
      <c r="C17" s="4">
        <f t="shared" si="0"/>
        <v>10</v>
      </c>
      <c r="D17" s="4">
        <v>20</v>
      </c>
      <c r="E17" s="4">
        <v>12</v>
      </c>
      <c r="F17" s="4">
        <f t="shared" si="1"/>
        <v>18</v>
      </c>
    </row>
    <row r="18" spans="1:6" x14ac:dyDescent="0.25">
      <c r="A18" s="45">
        <f>WORKDAY.INTL(A17,1,1,[2]FERIADOS!A:A)</f>
        <v>43231</v>
      </c>
      <c r="B18" s="47">
        <v>43231</v>
      </c>
      <c r="C18" s="4">
        <f t="shared" si="0"/>
        <v>18</v>
      </c>
      <c r="D18" s="4">
        <v>2</v>
      </c>
      <c r="E18" s="4">
        <v>15</v>
      </c>
      <c r="F18" s="4">
        <f t="shared" si="1"/>
        <v>5</v>
      </c>
    </row>
    <row r="19" spans="1:6" x14ac:dyDescent="0.25">
      <c r="A19" s="45">
        <f>WORKDAY.INTL(A18,1,1,[2]FERIADOS!A:A)</f>
        <v>43234</v>
      </c>
      <c r="B19" s="47">
        <v>43234</v>
      </c>
      <c r="C19" s="4">
        <f t="shared" si="0"/>
        <v>5</v>
      </c>
      <c r="D19" s="4">
        <v>13</v>
      </c>
      <c r="E19" s="4">
        <v>17</v>
      </c>
      <c r="F19" s="4">
        <f t="shared" si="1"/>
        <v>1</v>
      </c>
    </row>
    <row r="20" spans="1:6" x14ac:dyDescent="0.25">
      <c r="A20" s="45">
        <f>WORKDAY.INTL(A19,1,1,[2]FERIADOS!A:A)</f>
        <v>43235</v>
      </c>
      <c r="B20" s="47">
        <v>43235</v>
      </c>
      <c r="C20" s="4">
        <f t="shared" si="0"/>
        <v>1</v>
      </c>
      <c r="D20" s="4">
        <v>20</v>
      </c>
      <c r="E20" s="4">
        <v>15</v>
      </c>
      <c r="F20" s="4">
        <f t="shared" si="1"/>
        <v>6</v>
      </c>
    </row>
    <row r="21" spans="1:6" x14ac:dyDescent="0.25">
      <c r="A21" s="45">
        <f>WORKDAY.INTL(A20,1,1,[2]FERIADOS!A:A)</f>
        <v>43236</v>
      </c>
      <c r="B21" s="47">
        <v>43236</v>
      </c>
      <c r="C21" s="4">
        <f t="shared" si="0"/>
        <v>6</v>
      </c>
      <c r="D21" s="4">
        <v>22</v>
      </c>
      <c r="E21" s="4">
        <v>25</v>
      </c>
      <c r="F21" s="4">
        <f t="shared" si="1"/>
        <v>3</v>
      </c>
    </row>
    <row r="22" spans="1:6" x14ac:dyDescent="0.25">
      <c r="A22" s="45">
        <f>WORKDAY.INTL(A21,1,1,[2]FERIADOS!A:A)</f>
        <v>43237</v>
      </c>
      <c r="B22" s="47">
        <v>43237</v>
      </c>
      <c r="C22" s="4">
        <f t="shared" si="0"/>
        <v>3</v>
      </c>
      <c r="D22" s="4">
        <v>30</v>
      </c>
      <c r="E22" s="4">
        <v>24</v>
      </c>
      <c r="F22" s="4">
        <f t="shared" si="1"/>
        <v>9</v>
      </c>
    </row>
    <row r="23" spans="1:6" x14ac:dyDescent="0.25">
      <c r="A23" s="45">
        <f>WORKDAY.INTL(A22,1,1,[2]FERIADOS!A:A)</f>
        <v>43238</v>
      </c>
      <c r="B23" s="47">
        <v>43238</v>
      </c>
      <c r="C23" s="4">
        <f t="shared" si="0"/>
        <v>9</v>
      </c>
      <c r="D23" s="4">
        <v>45</v>
      </c>
      <c r="E23" s="4">
        <v>40</v>
      </c>
      <c r="F23" s="4">
        <f t="shared" si="1"/>
        <v>14</v>
      </c>
    </row>
    <row r="24" spans="1:6" x14ac:dyDescent="0.25">
      <c r="A24" s="45">
        <f>WORKDAY.INTL(A23,1,1,[2]FERIADOS!A:A)</f>
        <v>43241</v>
      </c>
      <c r="B24" s="47">
        <v>43241</v>
      </c>
      <c r="C24" s="4">
        <f t="shared" si="0"/>
        <v>14</v>
      </c>
      <c r="D24" s="4">
        <v>12</v>
      </c>
      <c r="E24" s="4">
        <v>25</v>
      </c>
      <c r="F24" s="4">
        <f t="shared" si="1"/>
        <v>1</v>
      </c>
    </row>
    <row r="25" spans="1:6" x14ac:dyDescent="0.25">
      <c r="A25" s="45">
        <f>WORKDAY.INTL(A24,1,1,[2]FERIADOS!A:A)</f>
        <v>43242</v>
      </c>
      <c r="B25" s="47">
        <v>43242</v>
      </c>
      <c r="C25" s="4">
        <f t="shared" si="0"/>
        <v>1</v>
      </c>
      <c r="D25" s="4">
        <v>20</v>
      </c>
      <c r="E25" s="4">
        <v>10</v>
      </c>
      <c r="F25" s="4">
        <f t="shared" si="1"/>
        <v>11</v>
      </c>
    </row>
    <row r="26" spans="1:6" x14ac:dyDescent="0.25">
      <c r="A26" s="45">
        <f>WORKDAY.INTL(A25,1,1,[2]FERIADOS!A:A)</f>
        <v>43243</v>
      </c>
      <c r="B26" s="47">
        <v>43243</v>
      </c>
      <c r="C26" s="4">
        <f t="shared" si="0"/>
        <v>11</v>
      </c>
      <c r="D26" s="4">
        <v>22</v>
      </c>
      <c r="E26" s="4">
        <v>25</v>
      </c>
      <c r="F26" s="4">
        <f t="shared" si="1"/>
        <v>8</v>
      </c>
    </row>
    <row r="27" spans="1:6" x14ac:dyDescent="0.25">
      <c r="A27" s="45">
        <f>WORKDAY.INTL(A26,1,1,[2]FERIADOS!A:A)</f>
        <v>43244</v>
      </c>
      <c r="B27" s="47">
        <v>43244</v>
      </c>
      <c r="C27" s="4">
        <f t="shared" si="0"/>
        <v>8</v>
      </c>
      <c r="D27" s="4">
        <v>25</v>
      </c>
      <c r="E27" s="4">
        <v>28</v>
      </c>
      <c r="F27" s="4">
        <f t="shared" si="1"/>
        <v>5</v>
      </c>
    </row>
    <row r="28" spans="1:6" x14ac:dyDescent="0.25">
      <c r="A28" s="45">
        <f>WORKDAY.INTL(A27,1,1,[2]FERIADOS!A:A)</f>
        <v>43245</v>
      </c>
      <c r="B28" s="47">
        <v>43245</v>
      </c>
      <c r="C28" s="4">
        <f t="shared" si="0"/>
        <v>5</v>
      </c>
      <c r="D28" s="4">
        <v>16</v>
      </c>
      <c r="E28" s="4">
        <v>21</v>
      </c>
      <c r="F28" s="4">
        <f t="shared" si="1"/>
        <v>0</v>
      </c>
    </row>
    <row r="29" spans="1:6" x14ac:dyDescent="0.25">
      <c r="A29" s="45">
        <f>WORKDAY.INTL(A28,1,1,[2]FERIADOS!A:A)</f>
        <v>43248</v>
      </c>
      <c r="B29" s="47">
        <v>43248</v>
      </c>
      <c r="C29" s="4">
        <f t="shared" si="0"/>
        <v>0</v>
      </c>
      <c r="D29" s="4">
        <v>35</v>
      </c>
      <c r="E29" s="4">
        <v>28</v>
      </c>
      <c r="F29" s="4">
        <f t="shared" si="1"/>
        <v>7</v>
      </c>
    </row>
    <row r="30" spans="1:6" x14ac:dyDescent="0.25">
      <c r="A30" s="45">
        <f>WORKDAY.INTL(A29,1,1,[2]FERIADOS!A:A)</f>
        <v>43249</v>
      </c>
      <c r="B30" s="47">
        <v>43249</v>
      </c>
      <c r="C30" s="4">
        <f t="shared" si="0"/>
        <v>7</v>
      </c>
      <c r="D30" s="4">
        <v>13</v>
      </c>
      <c r="E30" s="4">
        <v>15</v>
      </c>
      <c r="F30" s="4">
        <f t="shared" si="1"/>
        <v>5</v>
      </c>
    </row>
  </sheetData>
  <mergeCells count="6">
    <mergeCell ref="A7:F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C868-5854-4E6B-B6F1-D52FAAE0C741}">
  <dimension ref="A1:A2"/>
  <sheetViews>
    <sheetView workbookViewId="0">
      <selection activeCell="A3" sqref="A3"/>
    </sheetView>
  </sheetViews>
  <sheetFormatPr defaultRowHeight="15" x14ac:dyDescent="0.25"/>
  <cols>
    <col min="1" max="1" width="10.7109375" bestFit="1" customWidth="1"/>
  </cols>
  <sheetData>
    <row r="1" spans="1:1" x14ac:dyDescent="0.25">
      <c r="A1" s="18">
        <v>43221</v>
      </c>
    </row>
    <row r="2" spans="1:1" x14ac:dyDescent="0.25">
      <c r="A2" s="18">
        <v>43251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CEEF-8935-4FE6-B089-710529B03D07}">
  <dimension ref="A1:H19"/>
  <sheetViews>
    <sheetView topLeftCell="A4" workbookViewId="0">
      <selection activeCell="F6" sqref="F6"/>
    </sheetView>
  </sheetViews>
  <sheetFormatPr defaultRowHeight="15" x14ac:dyDescent="0.25"/>
  <cols>
    <col min="1" max="1" width="22.140625" customWidth="1"/>
    <col min="2" max="2" width="20.140625" customWidth="1"/>
    <col min="3" max="3" width="16" customWidth="1"/>
    <col min="4" max="4" width="17.5703125" customWidth="1"/>
    <col min="5" max="5" width="17" customWidth="1"/>
    <col min="6" max="6" width="11.28515625" customWidth="1"/>
    <col min="7" max="7" width="15.28515625" customWidth="1"/>
  </cols>
  <sheetData>
    <row r="1" spans="1:8" ht="23.25" x14ac:dyDescent="0.35">
      <c r="A1" s="93" t="s">
        <v>120</v>
      </c>
      <c r="B1" s="93"/>
      <c r="C1" s="93"/>
      <c r="D1" s="93"/>
      <c r="E1" s="93"/>
      <c r="F1" s="93"/>
      <c r="G1" s="93"/>
    </row>
    <row r="2" spans="1:8" ht="18.75" x14ac:dyDescent="0.3">
      <c r="A2" s="94" t="s">
        <v>121</v>
      </c>
      <c r="B2" s="94"/>
      <c r="C2" s="94"/>
      <c r="D2" s="94"/>
      <c r="E2" s="94"/>
      <c r="F2" s="94"/>
      <c r="G2" s="94"/>
    </row>
    <row r="3" spans="1:8" ht="18.75" x14ac:dyDescent="0.3">
      <c r="A3" s="53" t="s">
        <v>122</v>
      </c>
      <c r="B3" s="54">
        <v>55</v>
      </c>
      <c r="E3" s="52"/>
      <c r="F3" s="52"/>
      <c r="G3" s="52"/>
    </row>
    <row r="5" spans="1:8" ht="30" x14ac:dyDescent="0.25">
      <c r="A5" s="55" t="s">
        <v>123</v>
      </c>
      <c r="B5" s="55" t="s">
        <v>124</v>
      </c>
      <c r="C5" s="55" t="s">
        <v>125</v>
      </c>
      <c r="D5" s="55" t="s">
        <v>126</v>
      </c>
      <c r="E5" s="55" t="s">
        <v>127</v>
      </c>
      <c r="F5" s="55" t="s">
        <v>128</v>
      </c>
      <c r="G5" s="55" t="s">
        <v>129</v>
      </c>
      <c r="H5" s="56"/>
    </row>
    <row r="6" spans="1:8" x14ac:dyDescent="0.25">
      <c r="A6" s="4" t="s">
        <v>130</v>
      </c>
      <c r="B6" s="4" t="s">
        <v>131</v>
      </c>
      <c r="C6" s="45">
        <v>43101</v>
      </c>
      <c r="D6" s="45">
        <v>43158</v>
      </c>
      <c r="E6" s="57">
        <v>6</v>
      </c>
      <c r="F6" s="4">
        <f>NETWORKDAYS.INTL(RELATORIO!C6,RELATORIO!D6,11,'FERIADOS-2'!A:A)</f>
        <v>46</v>
      </c>
      <c r="G6" s="58">
        <f>F6*E6*$B$3</f>
        <v>15180</v>
      </c>
    </row>
    <row r="7" spans="1:8" x14ac:dyDescent="0.25">
      <c r="A7" s="4" t="s">
        <v>132</v>
      </c>
      <c r="B7" s="4" t="s">
        <v>133</v>
      </c>
      <c r="C7" s="45">
        <v>43110</v>
      </c>
      <c r="D7" s="45">
        <v>43144</v>
      </c>
      <c r="E7" s="57">
        <v>6</v>
      </c>
      <c r="F7" s="4">
        <f>NETWORKDAYS.INTL(RELATORIO!C7,RELATORIO!D7,11,'FERIADOS-2'!A:A)</f>
        <v>27</v>
      </c>
      <c r="G7" s="58">
        <f t="shared" ref="G7:G16" si="0">F7*E7*$B$3</f>
        <v>8910</v>
      </c>
    </row>
    <row r="8" spans="1:8" x14ac:dyDescent="0.25">
      <c r="A8" s="4" t="s">
        <v>134</v>
      </c>
      <c r="B8" s="4" t="s">
        <v>131</v>
      </c>
      <c r="C8" s="45">
        <v>43162</v>
      </c>
      <c r="D8" s="45">
        <v>43200</v>
      </c>
      <c r="E8" s="57">
        <v>8</v>
      </c>
      <c r="F8" s="4">
        <f>NETWORKDAYS.INTL(RELATORIO!C8,RELATORIO!D8,11,'FERIADOS-2'!A:A)</f>
        <v>32</v>
      </c>
      <c r="G8" s="58">
        <f t="shared" si="0"/>
        <v>14080</v>
      </c>
    </row>
    <row r="9" spans="1:8" x14ac:dyDescent="0.25">
      <c r="A9" s="4" t="s">
        <v>132</v>
      </c>
      <c r="B9" s="4" t="s">
        <v>133</v>
      </c>
      <c r="C9" s="45">
        <v>43179</v>
      </c>
      <c r="D9" s="45">
        <v>43205</v>
      </c>
      <c r="E9" s="57">
        <v>4</v>
      </c>
      <c r="F9" s="4">
        <f>NETWORKDAYS.INTL(RELATORIO!C9,RELATORIO!D9,11,'FERIADOS-2'!A:A)</f>
        <v>22</v>
      </c>
      <c r="G9" s="58">
        <f t="shared" si="0"/>
        <v>4840</v>
      </c>
    </row>
    <row r="10" spans="1:8" x14ac:dyDescent="0.25">
      <c r="A10" s="4" t="s">
        <v>134</v>
      </c>
      <c r="B10" s="4" t="s">
        <v>133</v>
      </c>
      <c r="C10" s="45">
        <v>43222</v>
      </c>
      <c r="D10" s="45">
        <v>43250</v>
      </c>
      <c r="E10" s="57">
        <v>4</v>
      </c>
      <c r="F10" s="4">
        <f>NETWORKDAYS.INTL(RELATORIO!C10,RELATORIO!D10,11,'FERIADOS-2'!A:A)</f>
        <v>25</v>
      </c>
      <c r="G10" s="58">
        <f t="shared" si="0"/>
        <v>5500</v>
      </c>
    </row>
    <row r="11" spans="1:8" x14ac:dyDescent="0.25">
      <c r="A11" s="4" t="s">
        <v>130</v>
      </c>
      <c r="B11" s="4" t="s">
        <v>131</v>
      </c>
      <c r="C11" s="45">
        <v>43231</v>
      </c>
      <c r="D11" s="45">
        <v>43238</v>
      </c>
      <c r="E11" s="57">
        <v>6</v>
      </c>
      <c r="F11" s="4">
        <f>NETWORKDAYS.INTL(RELATORIO!C11,RELATORIO!D11,11,'FERIADOS-2'!A:A)</f>
        <v>7</v>
      </c>
      <c r="G11" s="58">
        <f t="shared" si="0"/>
        <v>2310</v>
      </c>
    </row>
    <row r="12" spans="1:8" x14ac:dyDescent="0.25">
      <c r="A12" s="4" t="s">
        <v>130</v>
      </c>
      <c r="B12" s="4" t="s">
        <v>131</v>
      </c>
      <c r="C12" s="45">
        <v>43252</v>
      </c>
      <c r="D12" s="45">
        <v>43271</v>
      </c>
      <c r="E12" s="57">
        <v>8</v>
      </c>
      <c r="F12" s="4">
        <f>NETWORKDAYS.INTL(RELATORIO!C12,RELATORIO!D12,11,'FERIADOS-2'!A:A)</f>
        <v>17</v>
      </c>
      <c r="G12" s="58">
        <f t="shared" si="0"/>
        <v>7480</v>
      </c>
    </row>
    <row r="13" spans="1:8" x14ac:dyDescent="0.25">
      <c r="A13" s="4" t="s">
        <v>134</v>
      </c>
      <c r="B13" s="4" t="s">
        <v>131</v>
      </c>
      <c r="C13" s="45">
        <v>43261</v>
      </c>
      <c r="D13" s="45">
        <v>43286</v>
      </c>
      <c r="E13" s="57">
        <v>6</v>
      </c>
      <c r="F13" s="4">
        <f>NETWORKDAYS.INTL(RELATORIO!C13,RELATORIO!D13,11,'FERIADOS-2'!A:A)</f>
        <v>22</v>
      </c>
      <c r="G13" s="58">
        <f t="shared" si="0"/>
        <v>7260</v>
      </c>
    </row>
    <row r="14" spans="1:8" x14ac:dyDescent="0.25">
      <c r="A14" s="4" t="s">
        <v>132</v>
      </c>
      <c r="B14" s="4" t="s">
        <v>133</v>
      </c>
      <c r="C14" s="45">
        <v>43262</v>
      </c>
      <c r="D14" s="45">
        <v>43274</v>
      </c>
      <c r="E14" s="57">
        <v>4</v>
      </c>
      <c r="F14" s="4">
        <f>NETWORKDAYS.INTL(RELATORIO!C14,RELATORIO!D14,11,'FERIADOS-2'!A:A)</f>
        <v>12</v>
      </c>
      <c r="G14" s="58">
        <f t="shared" si="0"/>
        <v>2640</v>
      </c>
    </row>
    <row r="15" spans="1:8" x14ac:dyDescent="0.25">
      <c r="A15" s="4" t="s">
        <v>134</v>
      </c>
      <c r="B15" s="4" t="s">
        <v>131</v>
      </c>
      <c r="C15" s="45">
        <v>43291</v>
      </c>
      <c r="D15" s="45">
        <v>43304</v>
      </c>
      <c r="E15" s="57">
        <v>4</v>
      </c>
      <c r="F15" s="4">
        <f>NETWORKDAYS.INTL(RELATORIO!C15,RELATORIO!D15,11,'FERIADOS-2'!A:A)</f>
        <v>12</v>
      </c>
      <c r="G15" s="58">
        <f t="shared" si="0"/>
        <v>2640</v>
      </c>
    </row>
    <row r="16" spans="1:8" x14ac:dyDescent="0.25">
      <c r="A16" s="4" t="s">
        <v>130</v>
      </c>
      <c r="B16" s="4" t="s">
        <v>131</v>
      </c>
      <c r="C16" s="45">
        <v>43296</v>
      </c>
      <c r="D16" s="45">
        <v>43312</v>
      </c>
      <c r="E16" s="57">
        <v>8</v>
      </c>
      <c r="F16" s="4">
        <f>NETWORKDAYS.INTL(RELATORIO!C16,RELATORIO!D16,11,'FERIADOS-2'!A:A)</f>
        <v>14</v>
      </c>
      <c r="G16" s="58">
        <f t="shared" si="0"/>
        <v>6160</v>
      </c>
    </row>
    <row r="19" spans="4:5" x14ac:dyDescent="0.25">
      <c r="D19" s="18"/>
      <c r="E19" s="18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00AC-C0BF-49CA-845B-C3A893A980C5}">
  <dimension ref="A1:A9"/>
  <sheetViews>
    <sheetView workbookViewId="0">
      <selection activeCell="K21" sqref="K21"/>
    </sheetView>
  </sheetViews>
  <sheetFormatPr defaultRowHeight="15" x14ac:dyDescent="0.25"/>
  <cols>
    <col min="1" max="1" width="10.7109375" bestFit="1" customWidth="1"/>
  </cols>
  <sheetData>
    <row r="1" spans="1:1" x14ac:dyDescent="0.25">
      <c r="A1" s="18">
        <v>43101</v>
      </c>
    </row>
    <row r="2" spans="1:1" x14ac:dyDescent="0.25">
      <c r="A2" s="18">
        <v>43125</v>
      </c>
    </row>
    <row r="3" spans="1:1" x14ac:dyDescent="0.25">
      <c r="A3" s="18">
        <v>43143</v>
      </c>
    </row>
    <row r="4" spans="1:1" x14ac:dyDescent="0.25">
      <c r="A4" s="18">
        <v>43144</v>
      </c>
    </row>
    <row r="5" spans="1:1" x14ac:dyDescent="0.25">
      <c r="A5" s="18">
        <v>43189</v>
      </c>
    </row>
    <row r="6" spans="1:1" x14ac:dyDescent="0.25">
      <c r="A6" s="18">
        <v>43211</v>
      </c>
    </row>
    <row r="7" spans="1:1" x14ac:dyDescent="0.25">
      <c r="A7" s="18">
        <v>43221</v>
      </c>
    </row>
    <row r="8" spans="1:1" x14ac:dyDescent="0.25">
      <c r="A8" s="18">
        <v>43251</v>
      </c>
    </row>
    <row r="9" spans="1:1" x14ac:dyDescent="0.25">
      <c r="A9" s="18">
        <v>43290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75BD-61D6-4A2B-A3BE-4395E581C83B}">
  <dimension ref="A1:J11"/>
  <sheetViews>
    <sheetView tabSelected="1" workbookViewId="0">
      <selection activeCell="I5" sqref="I5"/>
    </sheetView>
  </sheetViews>
  <sheetFormatPr defaultRowHeight="15" x14ac:dyDescent="0.25"/>
  <cols>
    <col min="1" max="1" width="17" customWidth="1"/>
    <col min="2" max="2" width="10.5703125" customWidth="1"/>
    <col min="3" max="3" width="9.140625" customWidth="1"/>
    <col min="5" max="5" width="10.7109375" style="17" bestFit="1" customWidth="1"/>
    <col min="6" max="6" width="12.85546875" style="17" customWidth="1"/>
    <col min="7" max="8" width="14.85546875" style="17" customWidth="1"/>
    <col min="9" max="9" width="12.7109375" style="7" customWidth="1"/>
  </cols>
  <sheetData>
    <row r="1" spans="1:10" ht="21" x14ac:dyDescent="0.35">
      <c r="A1" s="91" t="s">
        <v>135</v>
      </c>
      <c r="B1" s="91"/>
      <c r="C1" s="91"/>
      <c r="D1" s="91"/>
      <c r="E1" s="91"/>
      <c r="F1" s="91"/>
      <c r="G1" s="91"/>
      <c r="H1" s="91"/>
      <c r="I1" s="91"/>
      <c r="J1" s="59"/>
    </row>
    <row r="2" spans="1:10" x14ac:dyDescent="0.25">
      <c r="A2" s="11" t="s">
        <v>136</v>
      </c>
      <c r="B2" s="60">
        <v>10</v>
      </c>
      <c r="E2" s="61"/>
      <c r="I2" s="62"/>
    </row>
    <row r="4" spans="1:10" ht="30" x14ac:dyDescent="0.25">
      <c r="A4" s="63" t="s">
        <v>137</v>
      </c>
      <c r="B4" s="63" t="s">
        <v>138</v>
      </c>
      <c r="C4" s="63" t="s">
        <v>139</v>
      </c>
      <c r="D4" s="63" t="s">
        <v>140</v>
      </c>
      <c r="E4" s="63" t="s">
        <v>141</v>
      </c>
      <c r="F4" s="63" t="s">
        <v>142</v>
      </c>
      <c r="G4" s="63" t="s">
        <v>143</v>
      </c>
      <c r="H4" s="63" t="s">
        <v>144</v>
      </c>
      <c r="I4" s="64" t="s">
        <v>145</v>
      </c>
    </row>
    <row r="5" spans="1:10" x14ac:dyDescent="0.25">
      <c r="A5" s="4" t="s">
        <v>146</v>
      </c>
      <c r="B5" s="65">
        <v>0.375</v>
      </c>
      <c r="C5" s="65">
        <v>0.4201388888888889</v>
      </c>
      <c r="D5" s="66">
        <f>C5-B5</f>
        <v>4.5138888888888895E-2</v>
      </c>
      <c r="E5" s="67">
        <f>HOUR(D5)</f>
        <v>1</v>
      </c>
      <c r="F5" s="67">
        <f>MINUTE(D5)</f>
        <v>5</v>
      </c>
      <c r="G5" s="67">
        <f>E5*60+F5</f>
        <v>65</v>
      </c>
      <c r="H5" s="68">
        <f>IF(HOUR(B5)&lt;=11,($B$2*80%)/60,$B$2/60)</f>
        <v>0.13333333333333333</v>
      </c>
      <c r="I5" s="6">
        <f>G5*H5</f>
        <v>8.6666666666666661</v>
      </c>
    </row>
    <row r="6" spans="1:10" x14ac:dyDescent="0.25">
      <c r="A6" s="4" t="s">
        <v>147</v>
      </c>
      <c r="B6" s="65">
        <v>0.42152777777777778</v>
      </c>
      <c r="C6" s="65">
        <v>0.44930555555555557</v>
      </c>
      <c r="D6" s="66">
        <f t="shared" ref="D6:D11" si="0">C6-B6</f>
        <v>2.777777777777779E-2</v>
      </c>
      <c r="E6" s="67">
        <f t="shared" ref="E6:E11" si="1">HOUR(D6)</f>
        <v>0</v>
      </c>
      <c r="F6" s="67">
        <f t="shared" ref="F6:F11" si="2">MINUTE(D6)</f>
        <v>40</v>
      </c>
      <c r="G6" s="67">
        <f t="shared" ref="G6:G11" si="3">E6*60+F6</f>
        <v>40</v>
      </c>
      <c r="H6" s="68">
        <f t="shared" ref="H6:H11" si="4">IF(HOUR(B6)&lt;=11,($B$2*80%)/60,$B$2/60)</f>
        <v>0.13333333333333333</v>
      </c>
      <c r="I6" s="6">
        <f t="shared" ref="I6:I11" si="5">G6*H6</f>
        <v>5.333333333333333</v>
      </c>
    </row>
    <row r="7" spans="1:10" x14ac:dyDescent="0.25">
      <c r="A7" s="4" t="s">
        <v>148</v>
      </c>
      <c r="B7" s="65">
        <v>0.4513888888888889</v>
      </c>
      <c r="C7" s="65">
        <v>0.47916666666666669</v>
      </c>
      <c r="D7" s="66">
        <f t="shared" si="0"/>
        <v>2.777777777777779E-2</v>
      </c>
      <c r="E7" s="67">
        <f t="shared" si="1"/>
        <v>0</v>
      </c>
      <c r="F7" s="67">
        <f t="shared" si="2"/>
        <v>40</v>
      </c>
      <c r="G7" s="67">
        <f t="shared" si="3"/>
        <v>40</v>
      </c>
      <c r="H7" s="68">
        <f t="shared" si="4"/>
        <v>0.13333333333333333</v>
      </c>
      <c r="I7" s="6">
        <f t="shared" si="5"/>
        <v>5.333333333333333</v>
      </c>
    </row>
    <row r="8" spans="1:10" x14ac:dyDescent="0.25">
      <c r="A8" s="4" t="s">
        <v>149</v>
      </c>
      <c r="B8" s="65">
        <v>0.47986111111111113</v>
      </c>
      <c r="C8" s="65">
        <v>0.50347222222222221</v>
      </c>
      <c r="D8" s="66">
        <f t="shared" si="0"/>
        <v>2.3611111111111083E-2</v>
      </c>
      <c r="E8" s="67">
        <f t="shared" si="1"/>
        <v>0</v>
      </c>
      <c r="F8" s="67">
        <f t="shared" si="2"/>
        <v>34</v>
      </c>
      <c r="G8" s="67">
        <f t="shared" si="3"/>
        <v>34</v>
      </c>
      <c r="H8" s="68">
        <f t="shared" si="4"/>
        <v>0.13333333333333333</v>
      </c>
      <c r="I8" s="6">
        <f t="shared" si="5"/>
        <v>4.5333333333333332</v>
      </c>
    </row>
    <row r="9" spans="1:10" x14ac:dyDescent="0.25">
      <c r="A9" s="4" t="s">
        <v>150</v>
      </c>
      <c r="B9" s="65">
        <v>0.50486111111111109</v>
      </c>
      <c r="C9" s="65">
        <v>0.57291666666666663</v>
      </c>
      <c r="D9" s="66">
        <f t="shared" si="0"/>
        <v>6.8055555555555536E-2</v>
      </c>
      <c r="E9" s="67">
        <f t="shared" si="1"/>
        <v>1</v>
      </c>
      <c r="F9" s="67">
        <f t="shared" si="2"/>
        <v>38</v>
      </c>
      <c r="G9" s="67">
        <f t="shared" si="3"/>
        <v>98</v>
      </c>
      <c r="H9" s="68">
        <f t="shared" si="4"/>
        <v>0.16666666666666666</v>
      </c>
      <c r="I9" s="6">
        <f t="shared" si="5"/>
        <v>16.333333333333332</v>
      </c>
    </row>
    <row r="10" spans="1:10" x14ac:dyDescent="0.25">
      <c r="A10" s="4" t="s">
        <v>151</v>
      </c>
      <c r="B10" s="65">
        <v>0.57361111111111118</v>
      </c>
      <c r="C10" s="65">
        <v>0.6875</v>
      </c>
      <c r="D10" s="66">
        <f t="shared" si="0"/>
        <v>0.11388888888888882</v>
      </c>
      <c r="E10" s="67">
        <f t="shared" si="1"/>
        <v>2</v>
      </c>
      <c r="F10" s="67">
        <f t="shared" si="2"/>
        <v>44</v>
      </c>
      <c r="G10" s="67">
        <f t="shared" si="3"/>
        <v>164</v>
      </c>
      <c r="H10" s="68">
        <f t="shared" si="4"/>
        <v>0.16666666666666666</v>
      </c>
      <c r="I10" s="6">
        <f t="shared" si="5"/>
        <v>27.333333333333332</v>
      </c>
    </row>
    <row r="11" spans="1:10" x14ac:dyDescent="0.25">
      <c r="A11" s="4" t="s">
        <v>152</v>
      </c>
      <c r="B11" s="65">
        <v>0.69791666666666663</v>
      </c>
      <c r="C11" s="65">
        <v>0.75</v>
      </c>
      <c r="D11" s="66">
        <f t="shared" si="0"/>
        <v>5.208333333333337E-2</v>
      </c>
      <c r="E11" s="67">
        <f t="shared" si="1"/>
        <v>1</v>
      </c>
      <c r="F11" s="67">
        <f t="shared" si="2"/>
        <v>15</v>
      </c>
      <c r="G11" s="67">
        <f t="shared" si="3"/>
        <v>75</v>
      </c>
      <c r="H11" s="68">
        <f t="shared" si="4"/>
        <v>0.16666666666666666</v>
      </c>
      <c r="I11" s="6">
        <f t="shared" si="5"/>
        <v>12.5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3807EA-69CD-47D5-BB78-306E40751A9D}"/>
</file>

<file path=customXml/itemProps2.xml><?xml version="1.0" encoding="utf-8"?>
<ds:datastoreItem xmlns:ds="http://schemas.openxmlformats.org/officeDocument/2006/customXml" ds:itemID="{C46E1CAD-E453-45DF-A914-D4B3E6966C07}"/>
</file>

<file path=customXml/itemProps3.xml><?xml version="1.0" encoding="utf-8"?>
<ds:datastoreItem xmlns:ds="http://schemas.openxmlformats.org/officeDocument/2006/customXml" ds:itemID="{30094309-8EDB-4125-B376-396595D50C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TUDO EM INFORMÁTICA</vt:lpstr>
      <vt:lpstr>LOTERIA</vt:lpstr>
      <vt:lpstr>MEGASENA 2012</vt:lpstr>
      <vt:lpstr>VENDAS</vt:lpstr>
      <vt:lpstr>RELATÓRIO</vt:lpstr>
      <vt:lpstr>ITENS</vt:lpstr>
      <vt:lpstr>META DE VENDAS</vt:lpstr>
      <vt:lpstr>CONTAS DO FABIO</vt:lpstr>
      <vt:lpstr>FORMATACAO DE DATAS</vt:lpstr>
      <vt:lpstr>ESTOQUE</vt:lpstr>
      <vt:lpstr>FERIADOS</vt:lpstr>
      <vt:lpstr>RELATORIO</vt:lpstr>
      <vt:lpstr>FERIADOS-2</vt:lpstr>
      <vt:lpstr>LANHOUSE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Silvia Mendonça</cp:lastModifiedBy>
  <dcterms:created xsi:type="dcterms:W3CDTF">2019-02-16T20:33:05Z</dcterms:created>
  <dcterms:modified xsi:type="dcterms:W3CDTF">2019-03-11T12:36:48Z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