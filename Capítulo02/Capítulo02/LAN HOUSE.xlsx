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senacspedu-my.sharepoint.com/personal/yuri_smendes_senacsp_edu_br/Documents/Capítulo02/Capítulo02/"/>
    </mc:Choice>
  </mc:AlternateContent>
  <xr:revisionPtr revIDLastSave="112" documentId="13_ncr:1_{EA5AE9B3-CA6C-4F79-98F7-8BCCADC4BD78}" xr6:coauthVersionLast="47" xr6:coauthVersionMax="47" xr10:uidLastSave="{6C6DD741-5E0A-4D36-962C-A481213566EA}"/>
  <bookViews>
    <workbookView xWindow="-120" yWindow="-120" windowWidth="29040" windowHeight="15720" xr2:uid="{00000000-000D-0000-FFFF-FFFF00000000}"/>
  </bookViews>
  <sheets>
    <sheet name="Plan1" sheetId="1" r:id="rId1"/>
    <sheet name="Plan2" sheetId="2" r:id="rId2"/>
    <sheet name="Plan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1" l="1"/>
  <c r="I5" i="1" s="1"/>
  <c r="H6" i="1"/>
  <c r="H7" i="1"/>
  <c r="I7" i="1" s="1"/>
  <c r="H8" i="1"/>
  <c r="H9" i="1"/>
  <c r="I9" i="1" s="1"/>
  <c r="H10" i="1"/>
  <c r="H11" i="1"/>
  <c r="I11" i="1" s="1"/>
  <c r="I6" i="1"/>
  <c r="I8" i="1"/>
  <c r="I10" i="1"/>
  <c r="G6" i="1"/>
  <c r="G7" i="1"/>
  <c r="G8" i="1"/>
  <c r="G9" i="1"/>
  <c r="G10" i="1"/>
  <c r="G11" i="1"/>
  <c r="G5" i="1"/>
  <c r="F6" i="1"/>
  <c r="F7" i="1"/>
  <c r="F8" i="1"/>
  <c r="F9" i="1"/>
  <c r="F10" i="1"/>
  <c r="F11" i="1"/>
  <c r="F5" i="1"/>
  <c r="E6" i="1"/>
  <c r="E7" i="1"/>
  <c r="E8" i="1"/>
  <c r="E9" i="1"/>
  <c r="E10" i="1"/>
  <c r="E11" i="1"/>
  <c r="E5" i="1"/>
  <c r="D11" i="1"/>
  <c r="D10" i="1"/>
  <c r="D9" i="1"/>
  <c r="D8" i="1"/>
  <c r="D7" i="1"/>
  <c r="D6" i="1"/>
  <c r="D5" i="1"/>
  <c r="C12" i="1"/>
</calcChain>
</file>

<file path=xl/sharedStrings.xml><?xml version="1.0" encoding="utf-8"?>
<sst xmlns="http://schemas.openxmlformats.org/spreadsheetml/2006/main" count="22" uniqueCount="22">
  <si>
    <t>HORA INICIAL</t>
  </si>
  <si>
    <t>HORA FINAL</t>
  </si>
  <si>
    <t>TEMPO TOTAL</t>
  </si>
  <si>
    <t>NÚMERO DE HORAS</t>
  </si>
  <si>
    <t>NÚMERO DE MINUTOS</t>
  </si>
  <si>
    <t>VALOR A PAGAR</t>
  </si>
  <si>
    <t>USUÁRIO</t>
  </si>
  <si>
    <t>VALOR HORA:</t>
  </si>
  <si>
    <t>Alexandre</t>
  </si>
  <si>
    <t>TEMPO TOTAL (MINUTOS)</t>
  </si>
  <si>
    <t>Karina</t>
  </si>
  <si>
    <t>Monica</t>
  </si>
  <si>
    <t>Manolo</t>
  </si>
  <si>
    <t>Simone</t>
  </si>
  <si>
    <t>Yvone</t>
  </si>
  <si>
    <t>Rogerio</t>
  </si>
  <si>
    <t>VALOR DO MINUTO</t>
  </si>
  <si>
    <t>NETHOUSE - COMPUTADOR 23 - 03/06/2018</t>
  </si>
  <si>
    <t>*APLICAR 20% DE DESCONTO A PARTIR DAS 11:59 MANHÃ</t>
  </si>
  <si>
    <t>FUNÇÕES</t>
  </si>
  <si>
    <t>B e C para o formato hh:mm e D para [h]:mm.</t>
  </si>
  <si>
    <t>#=SE(HORA(B5)&lt;=11;($B$2-$B$2*20%)/60;$B$2/60) - definir o valor do minuto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</si>
</sst>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[h]:mm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horizontal="center"/>
    </xf>
    <xf numFmtId="44" fontId="0" fillId="0" borderId="0" xfId="1" applyFont="1"/>
    <xf numFmtId="0" fontId="0" fillId="0" borderId="1" xfId="0" applyBorder="1"/>
    <xf numFmtId="20" fontId="0" fillId="0" borderId="1" xfId="0" applyNumberFormat="1" applyBorder="1"/>
    <xf numFmtId="44" fontId="0" fillId="0" borderId="1" xfId="1" applyFont="1" applyBorder="1"/>
    <xf numFmtId="0" fontId="3" fillId="0" borderId="0" xfId="0" applyFont="1"/>
    <xf numFmtId="0" fontId="2" fillId="0" borderId="0" xfId="0" applyFont="1"/>
    <xf numFmtId="8" fontId="2" fillId="0" borderId="0" xfId="0" applyNumberFormat="1" applyFont="1"/>
    <xf numFmtId="14" fontId="0" fillId="0" borderId="0" xfId="0" applyNumberFormat="1" applyAlignment="1">
      <alignment horizontal="center"/>
    </xf>
    <xf numFmtId="44" fontId="0" fillId="0" borderId="0" xfId="1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44" fontId="2" fillId="0" borderId="1" xfId="1" applyFont="1" applyFill="1" applyBorder="1" applyAlignment="1">
      <alignment horizontal="center" vertical="center" wrapText="1"/>
    </xf>
    <xf numFmtId="0" fontId="2" fillId="2" borderId="0" xfId="0" applyFont="1" applyFill="1"/>
    <xf numFmtId="164" fontId="2" fillId="2" borderId="0" xfId="0" applyNumberFormat="1" applyFont="1" applyFill="1"/>
    <xf numFmtId="0" fontId="0" fillId="3" borderId="0" xfId="0" applyFill="1" applyAlignment="1">
      <alignment vertical="center"/>
    </xf>
    <xf numFmtId="20" fontId="0" fillId="3" borderId="1" xfId="0" applyNumberFormat="1" applyFill="1" applyBorder="1"/>
    <xf numFmtId="0" fontId="4" fillId="0" borderId="1" xfId="0" applyFont="1" applyBorder="1" applyAlignment="1">
      <alignment horizontal="center"/>
    </xf>
    <xf numFmtId="0" fontId="0" fillId="4" borderId="0" xfId="0" applyFill="1"/>
    <xf numFmtId="2" fontId="4" fillId="4" borderId="1" xfId="0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12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1BCBC00-DE17-4FFB-9803-ACC796D756AA}">
  <we:reference id="wa200005502" version="1.0.0.13" store="pt-BR" storeType="OMEX"/>
  <we:alternateReferences>
    <we:reference id="WA200005502" version="1.0.0.13" store="WA200005502" storeType="OMEX"/>
  </we:alternateReferences>
  <we:properties>
    <we:property name="docId" value="&quot;3MyQkY-edUWwlPB8YTTg3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2"/>
  <sheetViews>
    <sheetView tabSelected="1" zoomScale="115" zoomScaleNormal="115" workbookViewId="0">
      <selection activeCell="L11" sqref="L11"/>
    </sheetView>
  </sheetViews>
  <sheetFormatPr defaultRowHeight="15" x14ac:dyDescent="0.25"/>
  <cols>
    <col min="1" max="1" width="17" customWidth="1"/>
    <col min="2" max="2" width="10.5703125" customWidth="1"/>
    <col min="3" max="3" width="9.140625" customWidth="1"/>
    <col min="4" max="4" width="14.5703125" customWidth="1"/>
    <col min="5" max="5" width="10.7109375" style="1" bestFit="1" customWidth="1"/>
    <col min="6" max="6" width="12.85546875" style="1" customWidth="1"/>
    <col min="7" max="8" width="14.85546875" style="1" customWidth="1"/>
    <col min="9" max="9" width="12.7109375" style="2" customWidth="1"/>
    <col min="13" max="13" width="68.28515625" bestFit="1" customWidth="1"/>
    <col min="14" max="14" width="8.42578125" customWidth="1"/>
  </cols>
  <sheetData>
    <row r="1" spans="1:13" ht="21" x14ac:dyDescent="0.35">
      <c r="A1" s="20" t="s">
        <v>17</v>
      </c>
      <c r="B1" s="20"/>
      <c r="C1" s="20"/>
      <c r="D1" s="20"/>
      <c r="E1" s="20"/>
      <c r="F1" s="20"/>
      <c r="G1" s="20"/>
      <c r="H1" s="20"/>
      <c r="I1" s="20"/>
      <c r="J1" s="6"/>
    </row>
    <row r="2" spans="1:13" x14ac:dyDescent="0.25">
      <c r="A2" s="7" t="s">
        <v>7</v>
      </c>
      <c r="B2" s="8">
        <v>10</v>
      </c>
      <c r="E2" s="9"/>
      <c r="F2" s="1" t="s">
        <v>18</v>
      </c>
      <c r="I2" s="10"/>
    </row>
    <row r="3" spans="1:13" x14ac:dyDescent="0.25">
      <c r="M3" s="13" t="s">
        <v>19</v>
      </c>
    </row>
    <row r="4" spans="1:13" ht="30" x14ac:dyDescent="0.25">
      <c r="A4" s="11" t="s">
        <v>6</v>
      </c>
      <c r="B4" s="11" t="s">
        <v>0</v>
      </c>
      <c r="C4" s="11" t="s">
        <v>1</v>
      </c>
      <c r="D4" s="11" t="s">
        <v>2</v>
      </c>
      <c r="E4" s="11" t="s">
        <v>3</v>
      </c>
      <c r="F4" s="11" t="s">
        <v>4</v>
      </c>
      <c r="G4" s="11" t="s">
        <v>9</v>
      </c>
      <c r="H4" s="11" t="s">
        <v>16</v>
      </c>
      <c r="I4" s="12" t="s">
        <v>5</v>
      </c>
      <c r="M4" s="15" t="s">
        <v>20</v>
      </c>
    </row>
    <row r="5" spans="1:13" x14ac:dyDescent="0.25">
      <c r="A5" s="3" t="s">
        <v>8</v>
      </c>
      <c r="B5" s="4">
        <v>0.375</v>
      </c>
      <c r="C5" s="16">
        <v>0.4201388888888889</v>
      </c>
      <c r="D5" s="4">
        <f>C5-B5</f>
        <v>4.5138888888888895E-2</v>
      </c>
      <c r="E5" s="17">
        <f>HOUR(D5)</f>
        <v>1</v>
      </c>
      <c r="F5" s="17">
        <f>MINUTE(D5)</f>
        <v>5</v>
      </c>
      <c r="G5" s="17">
        <f>E5*60+F5</f>
        <v>65</v>
      </c>
      <c r="H5" s="19">
        <f>IF(HOUR(B5)&lt;=11,($B$2-$B$2*20%)/60,$B$2/60)</f>
        <v>0.13333333333333333</v>
      </c>
      <c r="I5" s="5">
        <f>G5*H5</f>
        <v>8.6666666666666661</v>
      </c>
      <c r="M5" s="18" t="s">
        <v>21</v>
      </c>
    </row>
    <row r="6" spans="1:13" x14ac:dyDescent="0.25">
      <c r="A6" s="3" t="s">
        <v>10</v>
      </c>
      <c r="B6" s="4">
        <v>0.42152777777777778</v>
      </c>
      <c r="C6" s="4">
        <v>0.44930555555555557</v>
      </c>
      <c r="D6" s="4">
        <f t="shared" ref="D6:D11" si="0">C6-B6</f>
        <v>2.777777777777779E-2</v>
      </c>
      <c r="E6" s="17">
        <f t="shared" ref="E6:E11" si="1">HOUR(D6)</f>
        <v>0</v>
      </c>
      <c r="F6" s="17">
        <f t="shared" ref="F6:F11" si="2">MINUTE(D6)</f>
        <v>40</v>
      </c>
      <c r="G6" s="17">
        <f t="shared" ref="G6:G11" si="3">E6*60+F6</f>
        <v>40</v>
      </c>
      <c r="H6" s="19">
        <f t="shared" ref="H6:H11" si="4">IF(HOUR(B6)&lt;=11,($B$2-$B$2*20%)/60,$B$2/60)</f>
        <v>0.13333333333333333</v>
      </c>
      <c r="I6" s="5">
        <f t="shared" ref="I6:I11" si="5">G6*H6</f>
        <v>5.333333333333333</v>
      </c>
    </row>
    <row r="7" spans="1:13" x14ac:dyDescent="0.25">
      <c r="A7" s="3" t="s">
        <v>11</v>
      </c>
      <c r="B7" s="4">
        <v>0.4513888888888889</v>
      </c>
      <c r="C7" s="4">
        <v>0.47916666666666669</v>
      </c>
      <c r="D7" s="4">
        <f t="shared" si="0"/>
        <v>2.777777777777779E-2</v>
      </c>
      <c r="E7" s="17">
        <f t="shared" si="1"/>
        <v>0</v>
      </c>
      <c r="F7" s="17">
        <f t="shared" si="2"/>
        <v>40</v>
      </c>
      <c r="G7" s="17">
        <f t="shared" si="3"/>
        <v>40</v>
      </c>
      <c r="H7" s="19">
        <f t="shared" si="4"/>
        <v>0.13333333333333333</v>
      </c>
      <c r="I7" s="5">
        <f t="shared" si="5"/>
        <v>5.333333333333333</v>
      </c>
    </row>
    <row r="8" spans="1:13" x14ac:dyDescent="0.25">
      <c r="A8" s="3" t="s">
        <v>12</v>
      </c>
      <c r="B8" s="4">
        <v>0.47986111111111113</v>
      </c>
      <c r="C8" s="4">
        <v>0.50347222222222221</v>
      </c>
      <c r="D8" s="4">
        <f t="shared" si="0"/>
        <v>2.3611111111111083E-2</v>
      </c>
      <c r="E8" s="17">
        <f t="shared" si="1"/>
        <v>0</v>
      </c>
      <c r="F8" s="17">
        <f t="shared" si="2"/>
        <v>34</v>
      </c>
      <c r="G8" s="17">
        <f t="shared" si="3"/>
        <v>34</v>
      </c>
      <c r="H8" s="19">
        <f t="shared" si="4"/>
        <v>0.13333333333333333</v>
      </c>
      <c r="I8" s="5">
        <f t="shared" si="5"/>
        <v>4.5333333333333332</v>
      </c>
    </row>
    <row r="9" spans="1:13" x14ac:dyDescent="0.25">
      <c r="A9" s="3" t="s">
        <v>13</v>
      </c>
      <c r="B9" s="4">
        <v>0.50486111111111109</v>
      </c>
      <c r="C9" s="4">
        <v>0.57291666666666663</v>
      </c>
      <c r="D9" s="4">
        <f t="shared" si="0"/>
        <v>6.8055555555555536E-2</v>
      </c>
      <c r="E9" s="17">
        <f t="shared" si="1"/>
        <v>1</v>
      </c>
      <c r="F9" s="17">
        <f t="shared" si="2"/>
        <v>38</v>
      </c>
      <c r="G9" s="17">
        <f t="shared" si="3"/>
        <v>98</v>
      </c>
      <c r="H9" s="19">
        <f t="shared" si="4"/>
        <v>0.16666666666666666</v>
      </c>
      <c r="I9" s="5">
        <f t="shared" si="5"/>
        <v>16.333333333333332</v>
      </c>
    </row>
    <row r="10" spans="1:13" x14ac:dyDescent="0.25">
      <c r="A10" s="3" t="s">
        <v>14</v>
      </c>
      <c r="B10" s="4">
        <v>0.57361111111111118</v>
      </c>
      <c r="C10" s="4">
        <v>0.6875</v>
      </c>
      <c r="D10" s="4">
        <f t="shared" si="0"/>
        <v>0.11388888888888882</v>
      </c>
      <c r="E10" s="17">
        <f t="shared" si="1"/>
        <v>2</v>
      </c>
      <c r="F10" s="17">
        <f t="shared" si="2"/>
        <v>44</v>
      </c>
      <c r="G10" s="17">
        <f t="shared" si="3"/>
        <v>164</v>
      </c>
      <c r="H10" s="19">
        <f t="shared" si="4"/>
        <v>0.16666666666666666</v>
      </c>
      <c r="I10" s="5">
        <f t="shared" si="5"/>
        <v>27.333333333333332</v>
      </c>
    </row>
    <row r="11" spans="1:13" x14ac:dyDescent="0.25">
      <c r="A11" s="3" t="s">
        <v>15</v>
      </c>
      <c r="B11" s="4">
        <v>0.69791666666666663</v>
      </c>
      <c r="C11" s="4">
        <v>0.75</v>
      </c>
      <c r="D11" s="4">
        <f t="shared" si="0"/>
        <v>5.208333333333337E-2</v>
      </c>
      <c r="E11" s="17">
        <f t="shared" si="1"/>
        <v>1</v>
      </c>
      <c r="F11" s="17">
        <f t="shared" si="2"/>
        <v>15</v>
      </c>
      <c r="G11" s="17">
        <f t="shared" si="3"/>
        <v>75</v>
      </c>
      <c r="H11" s="19">
        <f t="shared" si="4"/>
        <v>0.16666666666666666</v>
      </c>
      <c r="I11" s="5">
        <f t="shared" si="5"/>
        <v>12.5</v>
      </c>
    </row>
    <row r="12" spans="1:13" x14ac:dyDescent="0.25">
      <c r="C12" s="14">
        <f>SUM(C5:C11)</f>
        <v>3.8624999999999998</v>
      </c>
    </row>
  </sheetData>
  <mergeCells count="1">
    <mergeCell ref="A1:I1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EB2B541769F8A4991DE642272C524BB" ma:contentTypeVersion="0" ma:contentTypeDescription="Crie um novo documento." ma:contentTypeScope="" ma:versionID="7ae862ae5010eca0394e8ac9f072291e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397561fba88d9dece65508bac662637b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3023F845-B776-44D6-BD9D-EB23702C716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94AB0242-7A83-4BD2-8609-680DB457C9E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EC5D026-099B-4C5A-B95D-B86D765E2B2E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Plan1</vt:lpstr>
      <vt:lpstr>Plan2</vt:lpstr>
      <vt:lpstr>Plan3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Silvia</dc:creator>
  <cp:lastModifiedBy>YURI DA SILVA MENDES</cp:lastModifiedBy>
  <dcterms:created xsi:type="dcterms:W3CDTF">2011-06-24T18:10:58Z</dcterms:created>
  <dcterms:modified xsi:type="dcterms:W3CDTF">2026-09-29T01:24:32Z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0x010100CEB2B541769F8A4991DE642272C524BB</vt:lpwstr>
  </property>
</Properties>
</file>