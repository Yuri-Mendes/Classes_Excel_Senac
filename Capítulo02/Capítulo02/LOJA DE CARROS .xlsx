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acspedu-my.sharepoint.com/personal/yuri_smendes_senacsp_edu_br/Documents/Capítulo02/Capítulo02/"/>
    </mc:Choice>
  </mc:AlternateContent>
  <xr:revisionPtr revIDLastSave="182" documentId="13_ncr:1_{D7366B9F-5940-410E-8B88-A4A7BBD7C952}" xr6:coauthVersionLast="47" xr6:coauthVersionMax="47" xr10:uidLastSave="{1C3977B6-2D3C-4F62-B833-10CF50BC1F1F}"/>
  <bookViews>
    <workbookView xWindow="-120" yWindow="-120" windowWidth="29040" windowHeight="15720" xr2:uid="{00000000-000D-0000-FFFF-FFFF00000000}"/>
  </bookViews>
  <sheets>
    <sheet name="VENDAS" sheetId="4" r:id="rId1"/>
    <sheet name="RELATÓRIO" sheetId="5" r:id="rId2"/>
  </sheets>
  <definedNames>
    <definedName name="_xlnm._FilterDatabase" localSheetId="0" hidden="1">VENDAS!$A$2:$G$22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 a="1"/>
  <c r="G4" i="4"/>
  <c r="G5" i="4" a="1"/>
  <c r="G5" i="4" s="1"/>
  <c r="G6" i="4" a="1"/>
  <c r="G6" i="4" s="1"/>
  <c r="G7" i="4" a="1"/>
  <c r="G7" i="4"/>
  <c r="G8" i="4" a="1"/>
  <c r="G8" i="4"/>
  <c r="G9" i="4" a="1"/>
  <c r="G9" i="4" s="1"/>
  <c r="G10" i="4" a="1"/>
  <c r="G10" i="4" s="1"/>
  <c r="G11" i="4" a="1"/>
  <c r="G11" i="4"/>
  <c r="G12" i="4" a="1"/>
  <c r="G12" i="4"/>
  <c r="G13" i="4" a="1"/>
  <c r="G13" i="4" s="1"/>
  <c r="G14" i="4" a="1"/>
  <c r="G14" i="4" s="1"/>
  <c r="G15" i="4" a="1"/>
  <c r="G15" i="4"/>
  <c r="G16" i="4" a="1"/>
  <c r="G16" i="4"/>
  <c r="G17" i="4" a="1"/>
  <c r="G17" i="4" s="1"/>
  <c r="G18" i="4" a="1"/>
  <c r="G18" i="4" s="1"/>
  <c r="G19" i="4" a="1"/>
  <c r="G19" i="4" s="1"/>
  <c r="G20" i="4" a="1"/>
  <c r="G20" i="4" s="1"/>
  <c r="G21" i="4" a="1"/>
  <c r="G21" i="4" s="1"/>
  <c r="G22" i="4" a="1"/>
  <c r="G22" i="4" s="1"/>
  <c r="G3" i="4" a="1"/>
  <c r="G3" i="4" s="1"/>
  <c r="F3" i="4" a="1"/>
  <c r="F3" i="4" s="1"/>
  <c r="F4" i="4" a="1"/>
  <c r="F4" i="4" s="1"/>
  <c r="F5" i="4" a="1"/>
  <c r="F5" i="4" s="1"/>
  <c r="F6" i="4" a="1"/>
  <c r="F6" i="4" s="1"/>
  <c r="F7" i="4" a="1"/>
  <c r="F7" i="4"/>
  <c r="F8" i="4" a="1"/>
  <c r="F8" i="4" s="1"/>
  <c r="F9" i="4" a="1"/>
  <c r="F9" i="4" s="1"/>
  <c r="F10" i="4" a="1"/>
  <c r="F10" i="4"/>
  <c r="F11" i="4" a="1"/>
  <c r="F11" i="4"/>
  <c r="F12" i="4" a="1"/>
  <c r="F12" i="4" s="1"/>
  <c r="F13" i="4" a="1"/>
  <c r="F13" i="4" s="1"/>
  <c r="F14" i="4" a="1"/>
  <c r="F14" i="4"/>
  <c r="F15" i="4" a="1"/>
  <c r="F15" i="4"/>
  <c r="F16" i="4" a="1"/>
  <c r="F16" i="4" s="1"/>
  <c r="F17" i="4" a="1"/>
  <c r="F17" i="4" s="1"/>
  <c r="F18" i="4" a="1"/>
  <c r="F18" i="4"/>
  <c r="F19" i="4" a="1"/>
  <c r="F19" i="4"/>
  <c r="F20" i="4" a="1"/>
  <c r="F20" i="4" s="1"/>
  <c r="F21" i="4" a="1"/>
  <c r="F21" i="4" s="1"/>
  <c r="F22" i="4" a="1"/>
  <c r="F22" i="4"/>
  <c r="E17" i="5"/>
  <c r="E11" i="5"/>
  <c r="E5" i="5"/>
  <c r="E16" i="5"/>
  <c r="E4" i="5"/>
  <c r="E10" i="5"/>
  <c r="E9" i="5"/>
  <c r="E15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3" i="5"/>
  <c r="E14" i="5"/>
  <c r="E8" i="5"/>
  <c r="E2" i="5"/>
  <c r="B9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B7" i="5"/>
  <c r="B4" i="5"/>
  <c r="B3" i="5"/>
  <c r="B2" i="5"/>
  <c r="B10" i="5" s="1"/>
  <c r="B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<sst xmlns="http://schemas.openxmlformats.org/spreadsheetml/2006/main" count="97" uniqueCount="67">
  <si>
    <t>VENDEDOR</t>
  </si>
  <si>
    <t>VALOR DA VENDA (R$)</t>
  </si>
  <si>
    <t>VALOR DO PRÊMIO</t>
  </si>
  <si>
    <t>COLOCAÇÃO</t>
  </si>
  <si>
    <t xml:space="preserve">Valor do Prêmio </t>
  </si>
  <si>
    <t>DEPARTAMENTO</t>
  </si>
  <si>
    <t>NÚMERO DE VENDEDORES</t>
  </si>
  <si>
    <t>Total</t>
  </si>
  <si>
    <t>Não efetuaram vendas</t>
  </si>
  <si>
    <t>Efetuaram vendas</t>
  </si>
  <si>
    <t>Ganhadores do prêmio</t>
  </si>
  <si>
    <t>VENDAS</t>
  </si>
  <si>
    <t>Maior</t>
  </si>
  <si>
    <t xml:space="preserve">Menor </t>
  </si>
  <si>
    <t>Média</t>
  </si>
  <si>
    <t>Total Vendedores</t>
  </si>
  <si>
    <t>Ganhadores</t>
  </si>
  <si>
    <t>Média de Vendas Total</t>
  </si>
  <si>
    <t>Média de Vendas dos Não Ganhadores</t>
  </si>
  <si>
    <t>Meta:</t>
  </si>
  <si>
    <t>PRÊMIO EXTRA</t>
  </si>
  <si>
    <t>CONCEITO</t>
  </si>
  <si>
    <t>USADOS</t>
  </si>
  <si>
    <t>ZERO KM</t>
  </si>
  <si>
    <t>ISENÇÕES</t>
  </si>
  <si>
    <t>Máximo Queiroz</t>
  </si>
  <si>
    <t>Maria Amélia Gouveia</t>
  </si>
  <si>
    <t>Fernando Augusto Martinez</t>
  </si>
  <si>
    <t>Solange Farias</t>
  </si>
  <si>
    <t>Luciana Meirelles</t>
  </si>
  <si>
    <t>Stella Cruz e Souza</t>
  </si>
  <si>
    <t>Marineide Novais</t>
  </si>
  <si>
    <t>Geraldo Maximiliano</t>
  </si>
  <si>
    <t>Gilda Soares</t>
  </si>
  <si>
    <t>Hector Mangiolii</t>
  </si>
  <si>
    <t xml:space="preserve">Marli Vieira </t>
  </si>
  <si>
    <t>Homero Gamberin</t>
  </si>
  <si>
    <t>Miriam Hashimoto</t>
  </si>
  <si>
    <t>Luci Pereira</t>
  </si>
  <si>
    <t>Marcela Gianotti</t>
  </si>
  <si>
    <t>Arlete Farias</t>
  </si>
  <si>
    <t>Beatriz Domingues</t>
  </si>
  <si>
    <t>Camila Gonçalves</t>
  </si>
  <si>
    <t>Rogério Hanibal Junior</t>
  </si>
  <si>
    <t>Katia Domenica Lira</t>
  </si>
  <si>
    <t>FUNÇÕES</t>
  </si>
  <si>
    <t>#=MÁXIMO(VENDAS!C3:C22) / O MAIOR VALOR DA LISTA</t>
  </si>
  <si>
    <t>#=MÍNIMO(VENDAS!C3:C22) / O MENOR VALOR DA LISTA</t>
  </si>
  <si>
    <t>#=MÉDIA(VENDAS!C3:C21)</t>
  </si>
  <si>
    <t>#=CONT.VALORES(VENDAS!A3:A22) / conta valores números ou textos</t>
  </si>
  <si>
    <t>#=CONTAR.VAZIO(VENDAS!C3:C22)</t>
  </si>
  <si>
    <t>#=CONT.SE(VENDAS!C3:C21;MÁXIMO(RELATÓRIO!B2)) para identificar os maiores números de venda por pessoa</t>
  </si>
  <si>
    <t>#=CONT.NÚM(VENDAS!C3:C22) / CONTA OS VALORES EXCETO CÉLULAS VAZIAS</t>
  </si>
  <si>
    <t>#=ORDEM.EQ(C3;$C$3:$C$22;0) - DEFINIR A ORDEM DE UMA COLOCAÇÃO/RANKING</t>
  </si>
  <si>
    <t>#=SE(D3=1;$B$1/RELATÓRIO!$B$10;0) - DEFINIR O VALOR PARA OS GANHADORES</t>
  </si>
  <si>
    <t>#=CONT.SES(VENDAS!B3:B22;"zero km";VENDAS!D3:D22;"=1") - identificar ganhadores por categoria</t>
  </si>
  <si>
    <t>#=MÉDIASE(VENDAS!B3:B22;"zero km";VENDAS!C3:C22) - identificar média por categoria</t>
  </si>
  <si>
    <t>Se Colocação = 1; "Excelente";</t>
  </si>
  <si>
    <t>Se Venda &gt; Meta; "Ótimo";</t>
  </si>
  <si>
    <t>Se Venda = Meta; "Bom"</t>
  </si>
  <si>
    <t>Senão "Melhorar"</t>
  </si>
  <si>
    <t>#=SES(D3=1;"Excelente";C3&gt;$D$1;"Ótimo";C3=$D$1;"Bom";C3&lt;$D$1;"Melhorar")</t>
  </si>
  <si>
    <t>Conceitos:</t>
  </si>
  <si>
    <t>Prêmio Extra:</t>
  </si>
  <si>
    <t>Se Conceito = Ótimo; "Viagem para Natal"</t>
  </si>
  <si>
    <t>Se Venda &lt;= Meta e a Venda &gt;= 100.000; "Notebook"</t>
  </si>
  <si>
    <t>Senão "Vazio"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</si>
</sst>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&quot;* #,##0.00_);_(&quot;R$&quot;* \(#,##0.00\);_(&quot;R$&quot;* &quot;-&quot;??_);_(@_)"/>
    <numFmt numFmtId="165" formatCode="&quot;R$&quot;\ #,##0.00"/>
  </numFmts>
  <fonts count="10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8"/>
      <name val="Calibri"/>
      <family val="2"/>
    </font>
    <font>
      <sz val="14"/>
      <name val="Calibri"/>
      <family val="2"/>
    </font>
    <font>
      <b/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164" fontId="3" fillId="0" borderId="0" xfId="1" applyFont="1"/>
    <xf numFmtId="0" fontId="6" fillId="0" borderId="0" xfId="0" applyFont="1"/>
    <xf numFmtId="0" fontId="6" fillId="0" borderId="1" xfId="0" applyFont="1" applyBorder="1"/>
    <xf numFmtId="164" fontId="6" fillId="0" borderId="1" xfId="1" applyFont="1" applyBorder="1"/>
    <xf numFmtId="0" fontId="3" fillId="0" borderId="1" xfId="0" applyFont="1" applyBorder="1" applyAlignment="1">
      <alignment horizontal="center"/>
    </xf>
    <xf numFmtId="165" fontId="3" fillId="0" borderId="1" xfId="1" applyNumberFormat="1" applyFont="1" applyBorder="1" applyAlignment="1">
      <alignment horizontal="right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164" fontId="8" fillId="0" borderId="0" xfId="1" applyFont="1"/>
    <xf numFmtId="0" fontId="2" fillId="3" borderId="1" xfId="0" applyFont="1" applyFill="1" applyBorder="1" applyAlignment="1">
      <alignment horizontal="center" vertical="center" wrapText="1"/>
    </xf>
    <xf numFmtId="0" fontId="4" fillId="3" borderId="0" xfId="0" applyFont="1" applyFill="1"/>
    <xf numFmtId="0" fontId="5" fillId="4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9" fillId="4" borderId="0" xfId="0" applyFont="1" applyFill="1"/>
    <xf numFmtId="0" fontId="6" fillId="5" borderId="0" xfId="0" applyFont="1" applyFill="1"/>
    <xf numFmtId="164" fontId="6" fillId="5" borderId="1" xfId="1" applyFont="1" applyFill="1" applyBorder="1"/>
    <xf numFmtId="0" fontId="6" fillId="6" borderId="0" xfId="0" applyFont="1" applyFill="1"/>
    <xf numFmtId="164" fontId="6" fillId="6" borderId="1" xfId="1" applyFont="1" applyFill="1" applyBorder="1"/>
    <xf numFmtId="0" fontId="6" fillId="7" borderId="0" xfId="0" applyFont="1" applyFill="1"/>
    <xf numFmtId="164" fontId="6" fillId="7" borderId="1" xfId="1" applyFont="1" applyFill="1" applyBorder="1"/>
    <xf numFmtId="0" fontId="6" fillId="8" borderId="0" xfId="0" applyFont="1" applyFill="1"/>
    <xf numFmtId="0" fontId="6" fillId="8" borderId="1" xfId="0" applyFont="1" applyFill="1" applyBorder="1"/>
    <xf numFmtId="0" fontId="6" fillId="9" borderId="1" xfId="0" applyFont="1" applyFill="1" applyBorder="1"/>
    <xf numFmtId="0" fontId="6" fillId="9" borderId="0" xfId="0" applyFont="1" applyFill="1"/>
    <xf numFmtId="0" fontId="6" fillId="10" borderId="0" xfId="0" applyFont="1" applyFill="1"/>
    <xf numFmtId="0" fontId="6" fillId="10" borderId="1" xfId="0" applyFont="1" applyFill="1" applyBorder="1"/>
    <xf numFmtId="0" fontId="6" fillId="11" borderId="1" xfId="0" applyFont="1" applyFill="1" applyBorder="1"/>
    <xf numFmtId="0" fontId="6" fillId="11" borderId="0" xfId="0" applyFont="1" applyFill="1"/>
    <xf numFmtId="0" fontId="3" fillId="11" borderId="1" xfId="0" applyFont="1" applyFill="1" applyBorder="1" applyAlignment="1">
      <alignment horizontal="center" vertical="center"/>
    </xf>
    <xf numFmtId="164" fontId="3" fillId="0" borderId="1" xfId="1" applyFont="1" applyBorder="1" applyAlignment="1"/>
    <xf numFmtId="164" fontId="3" fillId="12" borderId="1" xfId="1" applyFont="1" applyFill="1" applyBorder="1" applyAlignment="1"/>
    <xf numFmtId="0" fontId="2" fillId="12" borderId="0" xfId="0" applyFont="1" applyFill="1"/>
    <xf numFmtId="0" fontId="9" fillId="0" borderId="0" xfId="0" applyFont="1" applyFill="1"/>
    <xf numFmtId="0" fontId="3" fillId="5" borderId="1" xfId="0" applyFont="1" applyFill="1" applyBorder="1"/>
    <xf numFmtId="0" fontId="2" fillId="12" borderId="1" xfId="0" applyFont="1" applyFill="1" applyBorder="1"/>
    <xf numFmtId="0" fontId="2" fillId="5" borderId="0" xfId="0" applyFont="1" applyFill="1"/>
    <xf numFmtId="0" fontId="2" fillId="11" borderId="0" xfId="0" applyFont="1" applyFill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zoomScaleNormal="100" workbookViewId="0">
      <selection activeCell="H6" sqref="H6"/>
    </sheetView>
  </sheetViews>
  <sheetFormatPr defaultRowHeight="12.75" x14ac:dyDescent="0.2"/>
  <cols>
    <col min="1" max="1" width="55.42578125" style="3" customWidth="1"/>
    <col min="2" max="2" width="19" style="3" customWidth="1"/>
    <col min="3" max="3" width="19.42578125" style="3" customWidth="1"/>
    <col min="4" max="4" width="19.140625" style="2" customWidth="1"/>
    <col min="5" max="5" width="17.42578125" style="3" bestFit="1" customWidth="1"/>
    <col min="6" max="6" width="16.28515625" style="3" bestFit="1" customWidth="1"/>
    <col min="7" max="7" width="17.42578125" style="3" bestFit="1" customWidth="1"/>
    <col min="8" max="9" width="9.140625" style="3"/>
    <col min="10" max="10" width="76.5703125" style="3" bestFit="1" customWidth="1"/>
    <col min="11" max="11" width="6.5703125" style="3" customWidth="1"/>
    <col min="12" max="16384" width="9.140625" style="3"/>
  </cols>
  <sheetData>
    <row r="1" spans="1:10" ht="23.25" x14ac:dyDescent="0.35">
      <c r="A1" s="15" t="s">
        <v>4</v>
      </c>
      <c r="B1" s="16">
        <v>50000</v>
      </c>
      <c r="C1" s="15" t="s">
        <v>19</v>
      </c>
      <c r="D1" s="16">
        <v>130000</v>
      </c>
    </row>
    <row r="2" spans="1:10" s="18" customFormat="1" ht="30" x14ac:dyDescent="0.2">
      <c r="A2" s="17" t="s">
        <v>0</v>
      </c>
      <c r="B2" s="17" t="s">
        <v>5</v>
      </c>
      <c r="C2" s="17" t="s">
        <v>1</v>
      </c>
      <c r="D2" s="17" t="s">
        <v>3</v>
      </c>
      <c r="E2" s="17" t="s">
        <v>2</v>
      </c>
      <c r="F2" s="17" t="s">
        <v>21</v>
      </c>
      <c r="G2" s="17" t="s">
        <v>20</v>
      </c>
    </row>
    <row r="3" spans="1:10" ht="75" x14ac:dyDescent="0.25">
      <c r="A3" s="1" t="s">
        <v>37</v>
      </c>
      <c r="B3" s="11" t="s">
        <v>23</v>
      </c>
      <c r="C3" s="12">
        <v>150000</v>
      </c>
      <c r="D3" s="36">
        <f>_xlfn.RANK.EQ(C3,$C$3:$C$22,0)</f>
        <v>1</v>
      </c>
      <c r="E3" s="38">
        <f>IF(D3=1,$B$1/RELATÓRIO!$B$10,0)</f>
        <v>25000</v>
      </c>
      <c r="F3" s="41" t="str" cm="1">
        <f t="array" ref="F3">_xlfn.IFS(D3=1,"Excelente",C3&gt;$D$1,"Ótimo",C3=$D$1,"Bom",C3&lt;$D$1,"Melhorar")</f>
        <v>Excelente</v>
      </c>
      <c r="G3" s="13" t="str" cm="1">
        <f t="array" ref="G3">_xlfn.IFS(F6="Ótimo","Viagem para Natal",C6&lt;=$D$1&amp;C6,AND(C6&gt;=10000,"Notebook",C3&gt;$D$1,""))</f>
        <v>Viagem para Natal</v>
      </c>
      <c r="J3" s="21" t="s">
        <v>45</v>
      </c>
    </row>
    <row r="4" spans="1:10" ht="15" x14ac:dyDescent="0.25">
      <c r="A4" s="1" t="s">
        <v>38</v>
      </c>
      <c r="B4" s="11" t="s">
        <v>24</v>
      </c>
      <c r="C4" s="12">
        <v>150000</v>
      </c>
      <c r="D4" s="14">
        <f>_xlfn.RANK.EQ(C4,$C$3:$C$22,0)</f>
        <v>1</v>
      </c>
      <c r="E4" s="37">
        <f>IF(D4=1,$B$1/RELATÓRIO!$B$10,0)</f>
        <v>25000</v>
      </c>
      <c r="F4" s="1" t="str" cm="1">
        <f t="array" ref="F4">_xlfn.IFS(D4=1,"Excelente",C4&gt;$D$1,"Ótimo",C4=$D$1,"Bom",C4&lt;$D$1,"Melhorar")</f>
        <v>Excelente</v>
      </c>
      <c r="G4" s="13" t="str" cm="1">
        <f t="array" ref="G4">_xlfn.IFS(F7="Ótimo","Viagem para Natal",C7&lt;=$D$1&amp;C7,AND(C7&gt;=10000,"Notebook",C4&gt;$D$1,""))</f>
        <v>Viagem para Natal</v>
      </c>
      <c r="J4" s="44" t="s">
        <v>53</v>
      </c>
    </row>
    <row r="5" spans="1:10" ht="15" x14ac:dyDescent="0.25">
      <c r="A5" s="1" t="s">
        <v>34</v>
      </c>
      <c r="B5" s="11" t="s">
        <v>23</v>
      </c>
      <c r="C5" s="12">
        <v>149000</v>
      </c>
      <c r="D5" s="14">
        <f>_xlfn.RANK.EQ(C5,$C$3:$C$22,0)</f>
        <v>3</v>
      </c>
      <c r="E5" s="37">
        <f>IF(D5=1,$B$1/RELATÓRIO!$B$10,0)</f>
        <v>0</v>
      </c>
      <c r="F5" s="1" t="str" cm="1">
        <f t="array" ref="F5">_xlfn.IFS(D5=1,"Excelente",C5&gt;$D$1,"Ótimo",C5=$D$1,"Bom",C5&lt;$D$1,"Melhorar")</f>
        <v>Ótimo</v>
      </c>
      <c r="G5" s="13" t="str" cm="1">
        <f t="array" ref="G5">_xlfn.IFS(F8="Ótimo","Viagem para Natal",C8&lt;=$D$1&amp;C8,AND(C8&gt;=10000,"Notebook",C5&gt;$D$1,""))</f>
        <v>Viagem para Natal</v>
      </c>
      <c r="J5" s="39" t="s">
        <v>54</v>
      </c>
    </row>
    <row r="6" spans="1:10" ht="15" x14ac:dyDescent="0.25">
      <c r="A6" s="1" t="s">
        <v>44</v>
      </c>
      <c r="B6" s="11" t="s">
        <v>22</v>
      </c>
      <c r="C6" s="12">
        <v>143000</v>
      </c>
      <c r="D6" s="14">
        <f>_xlfn.RANK.EQ(C6,$C$3:$C$22,0)</f>
        <v>4</v>
      </c>
      <c r="E6" s="37">
        <f>IF(D6=1,$B$1/RELATÓRIO!$B$10,0)</f>
        <v>0</v>
      </c>
      <c r="F6" s="1" t="str" cm="1">
        <f t="array" ref="F6">_xlfn.IFS(D6=1,"Excelente",C6&gt;$D$1,"Ótimo",C6=$D$1,"Bom",C6&lt;$D$1,"Melhorar")</f>
        <v>Ótimo</v>
      </c>
      <c r="G6" s="13" t="str" cm="1">
        <f t="array" ref="G6">_xlfn.IFS(F9="Ótimo","Viagem para Natal",C9&lt;=$D$1&amp;C9,AND(C9&gt;=10000,"Notebook",C6&gt;$D$1,""))</f>
        <v>Viagem para Natal</v>
      </c>
    </row>
    <row r="7" spans="1:10" ht="15" x14ac:dyDescent="0.25">
      <c r="A7" s="1" t="s">
        <v>31</v>
      </c>
      <c r="B7" s="11" t="s">
        <v>22</v>
      </c>
      <c r="C7" s="12">
        <v>137000</v>
      </c>
      <c r="D7" s="14">
        <f>_xlfn.RANK.EQ(C7,$C$3:$C$22,0)</f>
        <v>5</v>
      </c>
      <c r="E7" s="37">
        <f>IF(D7=1,$B$1/RELATÓRIO!$B$10,0)</f>
        <v>0</v>
      </c>
      <c r="F7" s="1" t="str" cm="1">
        <f t="array" ref="F7">_xlfn.IFS(D7=1,"Excelente",C7&gt;$D$1,"Ótimo",C7=$D$1,"Bom",C7&lt;$D$1,"Melhorar")</f>
        <v>Ótimo</v>
      </c>
      <c r="G7" s="13" t="b" cm="1">
        <f t="array" ref="G7">_xlfn.IFS(F10="Ótimo","Viagem para Natal",C10&lt;=$D$1&amp;C10,AND(C10&gt;=10000,"Notebook",C7&gt;$D$1,""))</f>
        <v>1</v>
      </c>
    </row>
    <row r="8" spans="1:10" ht="15" x14ac:dyDescent="0.25">
      <c r="A8" s="1" t="s">
        <v>26</v>
      </c>
      <c r="B8" s="11" t="s">
        <v>23</v>
      </c>
      <c r="C8" s="12">
        <v>134600</v>
      </c>
      <c r="D8" s="14">
        <f>_xlfn.RANK.EQ(C8,$C$3:$C$22,0)</f>
        <v>6</v>
      </c>
      <c r="E8" s="37">
        <f>IF(D8=1,$B$1/RELATÓRIO!$B$10,0)</f>
        <v>0</v>
      </c>
      <c r="F8" s="1" t="str" cm="1">
        <f t="array" ref="F8">_xlfn.IFS(D8=1,"Excelente",C8&gt;$D$1,"Ótimo",C8=$D$1,"Bom",C8&lt;$D$1,"Melhorar")</f>
        <v>Ótimo</v>
      </c>
      <c r="G8" s="13" t="b" cm="1">
        <f t="array" ref="G8">_xlfn.IFS(F11="Ótimo","Viagem para Natal",C11&lt;=$D$1&amp;C11,AND(C11&gt;=10000,"Notebook",C8&gt;$D$1,""))</f>
        <v>1</v>
      </c>
    </row>
    <row r="9" spans="1:10" ht="15" x14ac:dyDescent="0.25">
      <c r="A9" s="1" t="s">
        <v>35</v>
      </c>
      <c r="B9" s="11" t="s">
        <v>24</v>
      </c>
      <c r="C9" s="12">
        <v>134000</v>
      </c>
      <c r="D9" s="14">
        <f>_xlfn.RANK.EQ(C9,$C$3:$C$22,0)</f>
        <v>7</v>
      </c>
      <c r="E9" s="37">
        <f>IF(D9=1,$B$1/RELATÓRIO!$B$10,0)</f>
        <v>0</v>
      </c>
      <c r="F9" s="1" t="str" cm="1">
        <f t="array" ref="F9">_xlfn.IFS(D9=1,"Excelente",C9&gt;$D$1,"Ótimo",C9=$D$1,"Bom",C9&lt;$D$1,"Melhorar")</f>
        <v>Ótimo</v>
      </c>
      <c r="G9" s="13" t="b" cm="1">
        <f t="array" ref="G9">_xlfn.IFS(F12="Ótimo","Viagem para Natal",C12&lt;=$D$1&amp;C12,AND(C12&gt;=10000,"Notebook",C9&gt;$D$1,""))</f>
        <v>1</v>
      </c>
      <c r="J9" s="43" t="s">
        <v>61</v>
      </c>
    </row>
    <row r="10" spans="1:10" ht="15" x14ac:dyDescent="0.25">
      <c r="A10" s="1" t="s">
        <v>28</v>
      </c>
      <c r="B10" s="11" t="s">
        <v>23</v>
      </c>
      <c r="C10" s="12">
        <v>130000</v>
      </c>
      <c r="D10" s="14">
        <f>_xlfn.RANK.EQ(C10,$C$3:$C$22,0)</f>
        <v>8</v>
      </c>
      <c r="E10" s="37">
        <f>IF(D10=1,$B$1/RELATÓRIO!$B$10,0)</f>
        <v>0</v>
      </c>
      <c r="F10" s="1" t="str" cm="1">
        <f t="array" ref="F10">_xlfn.IFS(D10=1,"Excelente",C10&gt;$D$1,"Ótimo",C10=$D$1,"Bom",C10&lt;$D$1,"Melhorar")</f>
        <v>Bom</v>
      </c>
      <c r="G10" s="13" t="b" cm="1">
        <f t="array" ref="G10">_xlfn.IFS(F13="Ótimo","Viagem para Natal",C13&lt;=$D$1&amp;C13,AND(C13&gt;=10000,"Notebook",C10&gt;$D$1,""))</f>
        <v>0</v>
      </c>
      <c r="J10" s="42" t="s">
        <v>62</v>
      </c>
    </row>
    <row r="11" spans="1:10" ht="15" x14ac:dyDescent="0.25">
      <c r="A11" s="1" t="s">
        <v>36</v>
      </c>
      <c r="B11" s="11" t="s">
        <v>22</v>
      </c>
      <c r="C11" s="12">
        <v>123000</v>
      </c>
      <c r="D11" s="14">
        <f>_xlfn.RANK.EQ(C11,$C$3:$C$22,0)</f>
        <v>9</v>
      </c>
      <c r="E11" s="37">
        <f>IF(D11=1,$B$1/RELATÓRIO!$B$10,0)</f>
        <v>0</v>
      </c>
      <c r="F11" s="1" t="str" cm="1">
        <f t="array" ref="F11">_xlfn.IFS(D11=1,"Excelente",C11&gt;$D$1,"Ótimo",C11=$D$1,"Bom",C11&lt;$D$1,"Melhorar")</f>
        <v>Melhorar</v>
      </c>
      <c r="G11" s="13" t="b" cm="1">
        <f t="array" ref="G11">_xlfn.IFS(F14="Ótimo","Viagem para Natal",C14&lt;=$D$1&amp;C14,AND(C14&gt;=10000,"Notebook",C11&gt;$D$1,""))</f>
        <v>0</v>
      </c>
      <c r="J11" s="42" t="s">
        <v>57</v>
      </c>
    </row>
    <row r="12" spans="1:10" ht="15" x14ac:dyDescent="0.25">
      <c r="A12" s="1" t="s">
        <v>42</v>
      </c>
      <c r="B12" s="11" t="s">
        <v>23</v>
      </c>
      <c r="C12" s="12">
        <v>123000</v>
      </c>
      <c r="D12" s="14">
        <f>_xlfn.RANK.EQ(C12,$C$3:$C$22,0)</f>
        <v>9</v>
      </c>
      <c r="E12" s="37">
        <f>IF(D12=1,$B$1/RELATÓRIO!$B$10,0)</f>
        <v>0</v>
      </c>
      <c r="F12" s="1" t="str" cm="1">
        <f t="array" ref="F12">_xlfn.IFS(D12=1,"Excelente",C12&gt;$D$1,"Ótimo",C12=$D$1,"Bom",C12&lt;$D$1,"Melhorar")</f>
        <v>Melhorar</v>
      </c>
      <c r="G12" s="13" t="b" cm="1">
        <f t="array" ref="G12">_xlfn.IFS(F15="Ótimo","Viagem para Natal",C15&lt;=$D$1&amp;C15,AND(C15&gt;=10000,"Notebook",C12&gt;$D$1,""))</f>
        <v>0</v>
      </c>
      <c r="J12" s="42" t="s">
        <v>58</v>
      </c>
    </row>
    <row r="13" spans="1:10" ht="15" x14ac:dyDescent="0.25">
      <c r="A13" s="1" t="s">
        <v>40</v>
      </c>
      <c r="B13" s="11" t="s">
        <v>22</v>
      </c>
      <c r="C13" s="12">
        <v>120000</v>
      </c>
      <c r="D13" s="14">
        <f>_xlfn.RANK.EQ(C13,$C$3:$C$22,0)</f>
        <v>11</v>
      </c>
      <c r="E13" s="37">
        <f>IF(D13=1,$B$1/RELATÓRIO!$B$10,0)</f>
        <v>0</v>
      </c>
      <c r="F13" s="1" t="str" cm="1">
        <f t="array" ref="F13">_xlfn.IFS(D13=1,"Excelente",C13&gt;$D$1,"Ótimo",C13=$D$1,"Bom",C13&lt;$D$1,"Melhorar")</f>
        <v>Melhorar</v>
      </c>
      <c r="G13" s="13" t="b" cm="1">
        <f t="array" ref="G13">_xlfn.IFS(F16="Ótimo","Viagem para Natal",C16&lt;=$D$1&amp;C16,AND(C16&gt;=10000,"Notebook",C13&gt;$D$1,""))</f>
        <v>0</v>
      </c>
      <c r="J13" s="42" t="s">
        <v>59</v>
      </c>
    </row>
    <row r="14" spans="1:10" ht="15" x14ac:dyDescent="0.25">
      <c r="A14" s="1" t="s">
        <v>25</v>
      </c>
      <c r="B14" s="11" t="s">
        <v>22</v>
      </c>
      <c r="C14" s="12">
        <v>100000</v>
      </c>
      <c r="D14" s="14">
        <f>_xlfn.RANK.EQ(C14,$C$3:$C$22,0)</f>
        <v>12</v>
      </c>
      <c r="E14" s="37">
        <f>IF(D14=1,$B$1/RELATÓRIO!$B$10,0)</f>
        <v>0</v>
      </c>
      <c r="F14" s="1" t="str" cm="1">
        <f t="array" ref="F14">_xlfn.IFS(D14=1,"Excelente",C14&gt;$D$1,"Ótimo",C14=$D$1,"Bom",C14&lt;$D$1,"Melhorar")</f>
        <v>Melhorar</v>
      </c>
      <c r="G14" s="13" t="b" cm="1">
        <f t="array" ref="G14">_xlfn.IFS(F17="Ótimo","Viagem para Natal",C17&lt;=$D$1&amp;C17,AND(C17&gt;=10000,"Notebook",C14&gt;$D$1,""))</f>
        <v>0</v>
      </c>
      <c r="J14" s="42" t="s">
        <v>60</v>
      </c>
    </row>
    <row r="15" spans="1:10" ht="15" x14ac:dyDescent="0.25">
      <c r="A15" s="1" t="s">
        <v>29</v>
      </c>
      <c r="B15" s="11" t="s">
        <v>23</v>
      </c>
      <c r="C15" s="12">
        <v>90870</v>
      </c>
      <c r="D15" s="14">
        <f>_xlfn.RANK.EQ(C15,$C$3:$C$22,0)</f>
        <v>13</v>
      </c>
      <c r="E15" s="37">
        <f>IF(D15=1,$B$1/RELATÓRIO!$B$10,0)</f>
        <v>0</v>
      </c>
      <c r="F15" s="1" t="str" cm="1">
        <f t="array" ref="F15">_xlfn.IFS(D15=1,"Excelente",C15&gt;$D$1,"Ótimo",C15=$D$1,"Bom",C15&lt;$D$1,"Melhorar")</f>
        <v>Melhorar</v>
      </c>
      <c r="G15" s="13" t="b" cm="1">
        <f t="array" ref="G15">_xlfn.IFS(F18="Ótimo","Viagem para Natal",C18&lt;=$D$1&amp;C18,AND(C18&gt;=10000,"Notebook",C15&gt;$D$1,""))</f>
        <v>0</v>
      </c>
      <c r="J15" s="40"/>
    </row>
    <row r="16" spans="1:10" ht="15" x14ac:dyDescent="0.25">
      <c r="A16" s="1" t="s">
        <v>41</v>
      </c>
      <c r="B16" s="11" t="s">
        <v>23</v>
      </c>
      <c r="C16" s="12">
        <v>87900</v>
      </c>
      <c r="D16" s="14">
        <f>_xlfn.RANK.EQ(C16,$C$3:$C$22,0)</f>
        <v>14</v>
      </c>
      <c r="E16" s="37">
        <f>IF(D16=1,$B$1/RELATÓRIO!$B$10,0)</f>
        <v>0</v>
      </c>
      <c r="F16" s="1" t="str" cm="1">
        <f t="array" ref="F16">_xlfn.IFS(D16=1,"Excelente",C16&gt;$D$1,"Ótimo",C16=$D$1,"Bom",C16&lt;$D$1,"Melhorar")</f>
        <v>Melhorar</v>
      </c>
      <c r="G16" s="13" t="b" cm="1">
        <f t="array" ref="G16">_xlfn.IFS(F19="Ótimo","Viagem para Natal",C19&lt;=$D$1&amp;C19,AND(C19&gt;=10000,"Notebook",C16&gt;$D$1,""))</f>
        <v>0</v>
      </c>
      <c r="J16" s="40"/>
    </row>
    <row r="17" spans="1:10" ht="15" x14ac:dyDescent="0.25">
      <c r="A17" s="1" t="s">
        <v>43</v>
      </c>
      <c r="B17" s="11" t="s">
        <v>22</v>
      </c>
      <c r="C17" s="12">
        <v>76900</v>
      </c>
      <c r="D17" s="14">
        <f>_xlfn.RANK.EQ(C17,$C$3:$C$22,0)</f>
        <v>15</v>
      </c>
      <c r="E17" s="37">
        <f>IF(D17=1,$B$1/RELATÓRIO!$B$10,0)</f>
        <v>0</v>
      </c>
      <c r="F17" s="1" t="str" cm="1">
        <f t="array" ref="F17">_xlfn.IFS(D17=1,"Excelente",C17&gt;$D$1,"Ótimo",C17=$D$1,"Bom",C17&lt;$D$1,"Melhorar")</f>
        <v>Melhorar</v>
      </c>
      <c r="G17" s="13" t="b" cm="1">
        <f t="array" ref="G17">_xlfn.IFS(F20="Ótimo","Viagem para Natal",C20&lt;=$D$1&amp;C20,AND(C20&gt;=10000,"Notebook",C17&gt;$D$1,""))</f>
        <v>0</v>
      </c>
      <c r="J17" s="43" t="s">
        <v>61</v>
      </c>
    </row>
    <row r="18" spans="1:10" ht="15" x14ac:dyDescent="0.25">
      <c r="A18" s="1" t="s">
        <v>32</v>
      </c>
      <c r="B18" s="11" t="s">
        <v>22</v>
      </c>
      <c r="C18" s="12">
        <v>67800</v>
      </c>
      <c r="D18" s="14">
        <f>_xlfn.RANK.EQ(C18,$C$3:$C$22,0)</f>
        <v>16</v>
      </c>
      <c r="E18" s="37">
        <f>IF(D18=1,$B$1/RELATÓRIO!$B$10,0)</f>
        <v>0</v>
      </c>
      <c r="F18" s="1" t="str" cm="1">
        <f t="array" ref="F18">_xlfn.IFS(D18=1,"Excelente",C18&gt;$D$1,"Ótimo",C18=$D$1,"Bom",C18&lt;$D$1,"Melhorar")</f>
        <v>Melhorar</v>
      </c>
      <c r="G18" s="13" t="b" cm="1">
        <f t="array" ref="G18">_xlfn.IFS(F21="Ótimo","Viagem para Natal",C21&lt;=$D$1&amp;C21,AND(C21&gt;=10000,"Notebook",C18&gt;$D$1,""))</f>
        <v>0</v>
      </c>
      <c r="J18" s="42" t="s">
        <v>63</v>
      </c>
    </row>
    <row r="19" spans="1:10" ht="15" x14ac:dyDescent="0.25">
      <c r="A19" s="1" t="s">
        <v>27</v>
      </c>
      <c r="B19" s="11" t="s">
        <v>24</v>
      </c>
      <c r="C19" s="12">
        <v>50000</v>
      </c>
      <c r="D19" s="14">
        <f>_xlfn.RANK.EQ(C19,$C$3:$C$22,0)</f>
        <v>17</v>
      </c>
      <c r="E19" s="37">
        <f>IF(D19=1,$B$1/RELATÓRIO!$B$10,0)</f>
        <v>0</v>
      </c>
      <c r="F19" s="1" t="str" cm="1">
        <f t="array" ref="F19">_xlfn.IFS(D19=1,"Excelente",C19&gt;$D$1,"Ótimo",C19=$D$1,"Bom",C19&lt;$D$1,"Melhorar")</f>
        <v>Melhorar</v>
      </c>
      <c r="G19" s="13" t="e" cm="1">
        <f t="array" ref="G19">_xlfn.IFS(F22="Ótimo","Viagem para Natal",C22&lt;=$D$1&amp;C22,AND(C22&gt;=10000,"Notebook",C19&gt;$D$1,""))</f>
        <v>#N/A</v>
      </c>
      <c r="J19" s="42" t="s">
        <v>64</v>
      </c>
    </row>
    <row r="20" spans="1:10" ht="15" x14ac:dyDescent="0.25">
      <c r="A20" s="1" t="s">
        <v>30</v>
      </c>
      <c r="B20" s="11" t="s">
        <v>22</v>
      </c>
      <c r="C20" s="12">
        <v>45000</v>
      </c>
      <c r="D20" s="14">
        <f>_xlfn.RANK.EQ(C20,$C$3:$C$22,0)</f>
        <v>18</v>
      </c>
      <c r="E20" s="37">
        <f>IF(D20=1,$B$1/RELATÓRIO!$B$10,0)</f>
        <v>0</v>
      </c>
      <c r="F20" s="1" t="str" cm="1">
        <f t="array" ref="F20">_xlfn.IFS(D20=1,"Excelente",C20&gt;$D$1,"Ótimo",C20=$D$1,"Bom",C20&lt;$D$1,"Melhorar")</f>
        <v>Melhorar</v>
      </c>
      <c r="G20" s="13" t="b" cm="1">
        <f t="array" ref="G20">_xlfn.IFS(F23="Ótimo","Viagem para Natal",C23&lt;=$D$1&amp;C23,AND(C23&gt;=10000,"Notebook",C20&gt;$D$1,""))</f>
        <v>0</v>
      </c>
      <c r="J20" s="42" t="s">
        <v>65</v>
      </c>
    </row>
    <row r="21" spans="1:10" ht="15" x14ac:dyDescent="0.25">
      <c r="A21" s="1" t="s">
        <v>33</v>
      </c>
      <c r="B21" s="11" t="s">
        <v>24</v>
      </c>
      <c r="C21" s="12">
        <v>23000</v>
      </c>
      <c r="D21" s="14">
        <f>_xlfn.RANK.EQ(C21,$C$3:$C$22,0)</f>
        <v>19</v>
      </c>
      <c r="E21" s="37">
        <f>IF(D21=1,$B$1/RELATÓRIO!$B$10,0)</f>
        <v>0</v>
      </c>
      <c r="F21" s="1" t="str" cm="1">
        <f t="array" ref="F21">_xlfn.IFS(D21=1,"Excelente",C21&gt;$D$1,"Ótimo",C21=$D$1,"Bom",C21&lt;$D$1,"Melhorar")</f>
        <v>Melhorar</v>
      </c>
      <c r="G21" s="13" t="b" cm="1">
        <f t="array" ref="G21">_xlfn.IFS(F24="Ótimo","Viagem para Natal",C24&lt;=$D$1&amp;C24,AND(C24&gt;=10000,"Notebook",C21&gt;$D$1,""))</f>
        <v>0</v>
      </c>
      <c r="J21" s="42" t="s">
        <v>66</v>
      </c>
    </row>
    <row r="22" spans="1:10" ht="15" x14ac:dyDescent="0.25">
      <c r="A22" s="1" t="s">
        <v>39</v>
      </c>
      <c r="B22" s="11" t="s">
        <v>24</v>
      </c>
      <c r="C22" s="12"/>
      <c r="D22" s="14" t="e">
        <f>_xlfn.RANK.EQ(C22,$C$3:$C$22,0)</f>
        <v>#N/A</v>
      </c>
      <c r="E22" s="37" t="e">
        <f>IF(D22=1,$B$1/RELATÓRIO!$B$10,0)</f>
        <v>#N/A</v>
      </c>
      <c r="F22" s="1" t="e" cm="1">
        <f t="array" ref="F22">_xlfn.IFS(D22=1,"Excelente",C22&gt;$D$1,"Ótimo",C22=$D$1,"Bom",C22&lt;$D$1,"Melhorar")</f>
        <v>#N/A</v>
      </c>
      <c r="G22" s="13" t="b" cm="1">
        <f t="array" ref="G22">_xlfn.IFS(F25="Ótimo","Viagem para Natal",C25&lt;=$D$1&amp;C25,AND(C25&gt;=10000,"Notebook",C22&gt;$D$1,""))</f>
        <v>0</v>
      </c>
      <c r="J22" s="42"/>
    </row>
    <row r="24" spans="1:10" ht="15" x14ac:dyDescent="0.25">
      <c r="A24" s="4"/>
    </row>
    <row r="25" spans="1:10" ht="15" x14ac:dyDescent="0.25">
      <c r="A25" s="4"/>
    </row>
    <row r="26" spans="1:10" ht="15" x14ac:dyDescent="0.25">
      <c r="A26" s="4"/>
    </row>
    <row r="27" spans="1:10" ht="15" x14ac:dyDescent="0.25">
      <c r="A27" s="4"/>
    </row>
    <row r="28" spans="1:10" ht="15" x14ac:dyDescent="0.25">
      <c r="A28" s="4"/>
      <c r="B28" s="4"/>
    </row>
    <row r="29" spans="1:10" ht="15" x14ac:dyDescent="0.25">
      <c r="A29" s="4"/>
      <c r="B29" s="4"/>
    </row>
    <row r="30" spans="1:10" ht="15" x14ac:dyDescent="0.25">
      <c r="A30" s="4"/>
      <c r="B30" s="4"/>
    </row>
    <row r="31" spans="1:10" ht="15" x14ac:dyDescent="0.25">
      <c r="A31" s="4"/>
      <c r="B31" s="4"/>
    </row>
    <row r="32" spans="1:10" ht="15" x14ac:dyDescent="0.25">
      <c r="A32" s="4"/>
      <c r="B32" s="4"/>
    </row>
    <row r="33" spans="1:5" ht="15" x14ac:dyDescent="0.25">
      <c r="A33" s="4"/>
      <c r="B33" s="4"/>
    </row>
    <row r="34" spans="1:5" ht="15" x14ac:dyDescent="0.25">
      <c r="A34" s="4"/>
      <c r="B34" s="6"/>
      <c r="C34" s="4"/>
      <c r="D34" s="5"/>
      <c r="E34" s="4"/>
    </row>
    <row r="35" spans="1:5" ht="15" x14ac:dyDescent="0.25">
      <c r="A35" s="4"/>
      <c r="B35" s="6"/>
      <c r="C35" s="4"/>
      <c r="D35" s="5"/>
      <c r="E35" s="4"/>
    </row>
    <row r="36" spans="1:5" ht="15" x14ac:dyDescent="0.25">
      <c r="A36" s="4"/>
      <c r="B36" s="6"/>
      <c r="C36" s="4"/>
      <c r="D36" s="5"/>
      <c r="E36" s="4"/>
    </row>
    <row r="37" spans="1:5" ht="15" x14ac:dyDescent="0.25">
      <c r="A37" s="4"/>
      <c r="B37" s="7"/>
      <c r="C37" s="4"/>
      <c r="D37" s="5"/>
      <c r="E37" s="4"/>
    </row>
    <row r="38" spans="1:5" ht="15" x14ac:dyDescent="0.25">
      <c r="A38" s="4"/>
      <c r="B38" s="7"/>
      <c r="C38" s="4"/>
      <c r="D38" s="5"/>
      <c r="E38" s="4"/>
    </row>
    <row r="39" spans="1:5" ht="15" x14ac:dyDescent="0.25">
      <c r="C39" s="4"/>
      <c r="D39" s="5"/>
      <c r="E39" s="4"/>
    </row>
    <row r="40" spans="1:5" ht="15" x14ac:dyDescent="0.25">
      <c r="C40" s="4"/>
      <c r="D40" s="5"/>
      <c r="E40" s="4"/>
    </row>
    <row r="41" spans="1:5" ht="15" x14ac:dyDescent="0.25">
      <c r="C41" s="4"/>
      <c r="D41" s="5"/>
      <c r="E41" s="4"/>
    </row>
    <row r="42" spans="1:5" ht="15" x14ac:dyDescent="0.25">
      <c r="C42" s="4"/>
      <c r="D42" s="5"/>
      <c r="E42" s="4"/>
    </row>
    <row r="43" spans="1:5" ht="15" x14ac:dyDescent="0.25">
      <c r="C43" s="4"/>
      <c r="D43" s="5"/>
      <c r="E43" s="4"/>
    </row>
    <row r="44" spans="1:5" ht="15" x14ac:dyDescent="0.25">
      <c r="C44" s="4"/>
      <c r="D44" s="5"/>
      <c r="E44" s="4"/>
    </row>
    <row r="45" spans="1:5" ht="15" x14ac:dyDescent="0.25">
      <c r="A45" s="4"/>
      <c r="B45" s="4"/>
      <c r="C45" s="4"/>
      <c r="D45" s="5"/>
      <c r="E45" s="4"/>
    </row>
    <row r="46" spans="1:5" ht="15" x14ac:dyDescent="0.25">
      <c r="A46" s="4"/>
      <c r="B46" s="4"/>
      <c r="C46" s="4"/>
      <c r="D46" s="5"/>
      <c r="E46" s="4"/>
    </row>
    <row r="47" spans="1:5" ht="15" x14ac:dyDescent="0.25">
      <c r="A47" s="4"/>
      <c r="B47" s="4"/>
      <c r="C47" s="4"/>
      <c r="D47" s="5"/>
      <c r="E47" s="4"/>
    </row>
    <row r="48" spans="1:5" ht="15" x14ac:dyDescent="0.25">
      <c r="A48" s="4"/>
      <c r="B48" s="4"/>
      <c r="C48" s="4"/>
      <c r="D48" s="5"/>
      <c r="E48" s="4"/>
    </row>
    <row r="49" spans="1:5" ht="15" x14ac:dyDescent="0.25">
      <c r="A49" s="4"/>
      <c r="B49" s="4"/>
      <c r="C49" s="4"/>
      <c r="D49" s="5"/>
      <c r="E49" s="4"/>
    </row>
    <row r="50" spans="1:5" ht="15" x14ac:dyDescent="0.25">
      <c r="A50" s="4"/>
      <c r="B50" s="4"/>
      <c r="C50" s="4"/>
      <c r="D50" s="5"/>
      <c r="E50" s="4"/>
    </row>
    <row r="51" spans="1:5" ht="15" x14ac:dyDescent="0.25">
      <c r="A51" s="4"/>
      <c r="B51" s="4"/>
      <c r="C51" s="4"/>
      <c r="D51" s="5"/>
      <c r="E51" s="4"/>
    </row>
    <row r="52" spans="1:5" ht="15" x14ac:dyDescent="0.25">
      <c r="A52" s="4"/>
      <c r="B52" s="4"/>
      <c r="C52" s="4"/>
      <c r="D52" s="5"/>
      <c r="E52" s="4"/>
    </row>
    <row r="53" spans="1:5" ht="15" x14ac:dyDescent="0.25">
      <c r="A53" s="4"/>
      <c r="B53" s="4"/>
      <c r="C53" s="4"/>
      <c r="D53" s="5"/>
      <c r="E53" s="4"/>
    </row>
    <row r="54" spans="1:5" ht="15" x14ac:dyDescent="0.25">
      <c r="A54" s="4"/>
      <c r="B54" s="4"/>
      <c r="C54" s="4"/>
      <c r="D54" s="5"/>
      <c r="E54" s="4"/>
    </row>
    <row r="55" spans="1:5" ht="15" x14ac:dyDescent="0.25">
      <c r="A55" s="4"/>
      <c r="B55" s="4"/>
      <c r="C55" s="4"/>
      <c r="D55" s="5"/>
      <c r="E55" s="4"/>
    </row>
    <row r="56" spans="1:5" ht="15" x14ac:dyDescent="0.25">
      <c r="A56" s="4"/>
      <c r="B56" s="4"/>
      <c r="C56" s="4"/>
      <c r="D56" s="5"/>
      <c r="E56" s="4"/>
    </row>
    <row r="57" spans="1:5" ht="15" x14ac:dyDescent="0.25">
      <c r="A57" s="4"/>
      <c r="B57" s="4"/>
      <c r="C57" s="4"/>
      <c r="D57" s="5"/>
      <c r="E57" s="4"/>
    </row>
    <row r="58" spans="1:5" ht="15" x14ac:dyDescent="0.25">
      <c r="A58" s="4"/>
      <c r="B58" s="4"/>
      <c r="C58" s="4"/>
      <c r="D58" s="5"/>
      <c r="E58" s="4"/>
    </row>
    <row r="59" spans="1:5" ht="15" x14ac:dyDescent="0.25">
      <c r="A59" s="4"/>
      <c r="B59" s="4"/>
      <c r="C59" s="4"/>
      <c r="D59" s="5"/>
      <c r="E59" s="4"/>
    </row>
    <row r="60" spans="1:5" ht="15" x14ac:dyDescent="0.25">
      <c r="A60" s="4"/>
      <c r="B60" s="4"/>
      <c r="C60" s="4"/>
      <c r="D60" s="5"/>
      <c r="E60" s="4"/>
    </row>
    <row r="61" spans="1:5" ht="15" x14ac:dyDescent="0.25">
      <c r="A61" s="4"/>
      <c r="B61" s="4"/>
      <c r="C61" s="4"/>
      <c r="D61" s="5"/>
      <c r="E61" s="4"/>
    </row>
    <row r="62" spans="1:5" ht="15" x14ac:dyDescent="0.25">
      <c r="A62" s="4"/>
      <c r="B62" s="4"/>
      <c r="C62" s="4"/>
      <c r="D62" s="5"/>
      <c r="E62" s="4"/>
    </row>
    <row r="63" spans="1:5" ht="15" x14ac:dyDescent="0.25">
      <c r="A63" s="4"/>
      <c r="B63" s="4"/>
      <c r="C63" s="4"/>
      <c r="D63" s="5"/>
      <c r="E63" s="4"/>
    </row>
    <row r="64" spans="1:5" ht="15" x14ac:dyDescent="0.25">
      <c r="A64" s="4"/>
      <c r="B64" s="4"/>
      <c r="C64" s="4"/>
      <c r="D64" s="5"/>
      <c r="E64" s="4"/>
    </row>
    <row r="65" spans="1:5" ht="15" x14ac:dyDescent="0.25">
      <c r="A65" s="4"/>
      <c r="B65" s="4"/>
      <c r="C65" s="4"/>
      <c r="D65" s="5"/>
      <c r="E65" s="4"/>
    </row>
    <row r="66" spans="1:5" ht="15" x14ac:dyDescent="0.25">
      <c r="A66" s="4"/>
      <c r="B66" s="4"/>
      <c r="C66" s="4"/>
      <c r="D66" s="5"/>
      <c r="E66" s="4"/>
    </row>
    <row r="67" spans="1:5" ht="15" x14ac:dyDescent="0.25">
      <c r="A67" s="4"/>
      <c r="B67" s="4"/>
      <c r="C67" s="4"/>
      <c r="D67" s="5"/>
      <c r="E67" s="4"/>
    </row>
    <row r="68" spans="1:5" ht="15" x14ac:dyDescent="0.25">
      <c r="A68" s="4"/>
      <c r="B68" s="4"/>
      <c r="C68" s="4"/>
      <c r="D68" s="5"/>
      <c r="E68" s="4"/>
    </row>
    <row r="69" spans="1:5" ht="15" x14ac:dyDescent="0.25">
      <c r="A69" s="4"/>
      <c r="B69" s="4"/>
      <c r="C69" s="4"/>
      <c r="D69" s="5"/>
      <c r="E69" s="4"/>
    </row>
    <row r="70" spans="1:5" ht="15" x14ac:dyDescent="0.25">
      <c r="A70" s="4"/>
      <c r="B70" s="4"/>
      <c r="C70" s="4"/>
      <c r="D70" s="5"/>
      <c r="E70" s="4"/>
    </row>
    <row r="71" spans="1:5" ht="15" x14ac:dyDescent="0.25">
      <c r="A71" s="4"/>
      <c r="B71" s="4"/>
      <c r="C71" s="4"/>
      <c r="D71" s="5"/>
      <c r="E71" s="4"/>
    </row>
    <row r="72" spans="1:5" ht="15" x14ac:dyDescent="0.25">
      <c r="A72" s="4"/>
      <c r="B72" s="4"/>
      <c r="C72" s="4"/>
      <c r="D72" s="5"/>
      <c r="E72" s="4"/>
    </row>
    <row r="73" spans="1:5" ht="15" x14ac:dyDescent="0.25">
      <c r="A73" s="4"/>
      <c r="B73" s="4"/>
      <c r="C73" s="4"/>
      <c r="D73" s="5"/>
      <c r="E73" s="4"/>
    </row>
    <row r="74" spans="1:5" ht="15" x14ac:dyDescent="0.25">
      <c r="A74" s="4"/>
      <c r="B74" s="4"/>
      <c r="C74" s="4"/>
      <c r="D74" s="5"/>
      <c r="E74" s="4"/>
    </row>
    <row r="75" spans="1:5" ht="15" x14ac:dyDescent="0.25">
      <c r="A75" s="4"/>
      <c r="B75" s="4"/>
      <c r="C75" s="4"/>
      <c r="D75" s="5"/>
      <c r="E75" s="4"/>
    </row>
    <row r="76" spans="1:5" ht="15" x14ac:dyDescent="0.25">
      <c r="A76" s="4"/>
      <c r="B76" s="4"/>
      <c r="C76" s="4"/>
      <c r="D76" s="5"/>
      <c r="E76" s="4"/>
    </row>
    <row r="77" spans="1:5" ht="15" x14ac:dyDescent="0.25">
      <c r="A77" s="4"/>
      <c r="B77" s="4"/>
      <c r="C77" s="4"/>
      <c r="D77" s="5"/>
      <c r="E77" s="4"/>
    </row>
    <row r="78" spans="1:5" ht="15" x14ac:dyDescent="0.25">
      <c r="A78" s="4"/>
      <c r="B78" s="4"/>
      <c r="C78" s="4"/>
      <c r="D78" s="5"/>
      <c r="E78" s="4"/>
    </row>
    <row r="79" spans="1:5" ht="15" x14ac:dyDescent="0.25">
      <c r="A79" s="4"/>
      <c r="B79" s="4"/>
      <c r="C79" s="4"/>
      <c r="D79" s="5"/>
      <c r="E79" s="4"/>
    </row>
    <row r="80" spans="1:5" ht="15" x14ac:dyDescent="0.25">
      <c r="A80" s="4"/>
      <c r="B80" s="4"/>
      <c r="C80" s="4"/>
      <c r="D80" s="5"/>
      <c r="E80" s="4"/>
    </row>
    <row r="81" spans="1:5" ht="15" x14ac:dyDescent="0.25">
      <c r="A81" s="4"/>
      <c r="B81" s="4"/>
      <c r="C81" s="4"/>
      <c r="D81" s="5"/>
      <c r="E81" s="4"/>
    </row>
    <row r="82" spans="1:5" ht="15" x14ac:dyDescent="0.25">
      <c r="A82" s="4"/>
      <c r="B82" s="4"/>
      <c r="C82" s="4"/>
      <c r="D82" s="5"/>
      <c r="E82" s="4"/>
    </row>
  </sheetData>
  <sortState xmlns:xlrd2="http://schemas.microsoft.com/office/spreadsheetml/2017/richdata2" ref="A3:G22">
    <sortCondition descending="1" ref="C2:C22"/>
  </sortState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horizontalDpi="4294967292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zoomScale="115" zoomScaleNormal="115" workbookViewId="0">
      <selection activeCell="G15" sqref="G15"/>
    </sheetView>
  </sheetViews>
  <sheetFormatPr defaultRowHeight="15" x14ac:dyDescent="0.25"/>
  <cols>
    <col min="1" max="1" width="20.7109375" style="8" customWidth="1"/>
    <col min="2" max="2" width="14.7109375" style="8" bestFit="1" customWidth="1"/>
    <col min="3" max="3" width="19.28515625" style="8" customWidth="1"/>
    <col min="4" max="4" width="35.7109375" style="8" bestFit="1" customWidth="1"/>
    <col min="5" max="5" width="14.7109375" style="8" bestFit="1" customWidth="1"/>
    <col min="6" max="6" width="9.140625" style="8"/>
    <col min="7" max="7" width="102.28515625" style="8" bestFit="1" customWidth="1"/>
    <col min="8" max="16384" width="9.140625" style="8"/>
  </cols>
  <sheetData>
    <row r="1" spans="1:7" x14ac:dyDescent="0.25">
      <c r="A1" s="20" t="s">
        <v>11</v>
      </c>
      <c r="B1" s="20"/>
      <c r="D1" s="20" t="s">
        <v>22</v>
      </c>
      <c r="E1" s="20"/>
      <c r="G1" s="19" t="s">
        <v>45</v>
      </c>
    </row>
    <row r="2" spans="1:7" x14ac:dyDescent="0.25">
      <c r="A2" s="9" t="s">
        <v>12</v>
      </c>
      <c r="B2" s="23">
        <f>MAX(VENDAS!C3:C22)</f>
        <v>150000</v>
      </c>
      <c r="D2" s="9" t="s">
        <v>15</v>
      </c>
      <c r="E2" s="9">
        <f>COUNTIF(VENDAS!B3:B22,"usados")</f>
        <v>8</v>
      </c>
      <c r="G2" s="22" t="s">
        <v>46</v>
      </c>
    </row>
    <row r="3" spans="1:7" x14ac:dyDescent="0.25">
      <c r="A3" s="9" t="s">
        <v>13</v>
      </c>
      <c r="B3" s="25">
        <f>MIN(VENDAS!C3:C22)</f>
        <v>23000</v>
      </c>
      <c r="D3" s="9" t="s">
        <v>16</v>
      </c>
      <c r="E3" s="9">
        <f>COUNTIFS(VENDAS!B3:B22,"USADOS",VENDAS!C3:C22,LARGE(VENDAS!D1,1))</f>
        <v>0</v>
      </c>
      <c r="G3" s="24" t="s">
        <v>47</v>
      </c>
    </row>
    <row r="4" spans="1:7" x14ac:dyDescent="0.25">
      <c r="A4" s="9" t="s">
        <v>14</v>
      </c>
      <c r="B4" s="27">
        <f>AVERAGE(VENDAS!C3:C21)</f>
        <v>107108.94736842105</v>
      </c>
      <c r="D4" s="9" t="s">
        <v>17</v>
      </c>
      <c r="E4" s="10">
        <f>AVERAGEIF(VENDAS!B3:B22,"usados",VENDAS!C3:C22)</f>
        <v>101587.5</v>
      </c>
      <c r="G4" s="26" t="s">
        <v>48</v>
      </c>
    </row>
    <row r="5" spans="1:7" x14ac:dyDescent="0.25">
      <c r="D5" s="9" t="s">
        <v>18</v>
      </c>
      <c r="E5" s="10">
        <f>AVERAGEIFS(VENDAS!C3:C22,VENDAS!B3:B22,"usados",VENDAS!E3:E22,"=0")</f>
        <v>101587.5</v>
      </c>
      <c r="G5" s="28" t="s">
        <v>49</v>
      </c>
    </row>
    <row r="6" spans="1:7" x14ac:dyDescent="0.25">
      <c r="A6" s="20" t="s">
        <v>6</v>
      </c>
      <c r="B6" s="20"/>
      <c r="G6" s="31" t="s">
        <v>50</v>
      </c>
    </row>
    <row r="7" spans="1:7" x14ac:dyDescent="0.25">
      <c r="A7" s="9" t="s">
        <v>7</v>
      </c>
      <c r="B7" s="29">
        <f>COUNTA(VENDAS!A3:A22)</f>
        <v>20</v>
      </c>
      <c r="D7" s="20" t="s">
        <v>23</v>
      </c>
      <c r="E7" s="20"/>
      <c r="G7" s="32" t="s">
        <v>51</v>
      </c>
    </row>
    <row r="8" spans="1:7" x14ac:dyDescent="0.25">
      <c r="A8" s="9" t="s">
        <v>8</v>
      </c>
      <c r="B8" s="30">
        <f>COUNTBLANK(VENDAS!C3:C22)</f>
        <v>1</v>
      </c>
      <c r="D8" s="9" t="s">
        <v>15</v>
      </c>
      <c r="E8" s="9">
        <f>COUNTIF(VENDAS!B3:B22,"zero km")</f>
        <v>7</v>
      </c>
      <c r="G8" s="35" t="s">
        <v>52</v>
      </c>
    </row>
    <row r="9" spans="1:7" x14ac:dyDescent="0.25">
      <c r="A9" s="9" t="s">
        <v>9</v>
      </c>
      <c r="B9" s="34">
        <f>COUNT(VENDAS!C3:C22)</f>
        <v>19</v>
      </c>
      <c r="D9" s="9" t="s">
        <v>16</v>
      </c>
      <c r="E9" s="9">
        <f>COUNTIFS(VENDAS!B3:B22,"zero km",VENDAS!D3:D22,"=1")</f>
        <v>1</v>
      </c>
      <c r="G9" s="8" t="s">
        <v>55</v>
      </c>
    </row>
    <row r="10" spans="1:7" x14ac:dyDescent="0.25">
      <c r="A10" s="9" t="s">
        <v>10</v>
      </c>
      <c r="B10" s="33">
        <f>COUNTIF(VENDAS!C3:C21,MAX(RELATÓRIO!B2))</f>
        <v>2</v>
      </c>
      <c r="D10" s="9" t="s">
        <v>17</v>
      </c>
      <c r="E10" s="10">
        <f>AVERAGEIF(VENDAS!B3:B22,"zero km",VENDAS!C3:C22)</f>
        <v>123624.28571428571</v>
      </c>
      <c r="G10" s="8" t="s">
        <v>56</v>
      </c>
    </row>
    <row r="11" spans="1:7" x14ac:dyDescent="0.25">
      <c r="D11" s="9" t="s">
        <v>18</v>
      </c>
      <c r="E11" s="10">
        <f>AVERAGEIFS(VENDAS!C3:C22,VENDAS!B3:B22,"zero km",VENDAS!E3:E22,"=0")</f>
        <v>119228.33333333333</v>
      </c>
    </row>
    <row r="13" spans="1:7" x14ac:dyDescent="0.25">
      <c r="D13" s="20" t="s">
        <v>24</v>
      </c>
      <c r="E13" s="20"/>
    </row>
    <row r="14" spans="1:7" x14ac:dyDescent="0.25">
      <c r="D14" s="9" t="s">
        <v>15</v>
      </c>
      <c r="E14" s="9">
        <f>COUNTIF(VENDAS!B3:B22,"isenções")</f>
        <v>5</v>
      </c>
    </row>
    <row r="15" spans="1:7" x14ac:dyDescent="0.25">
      <c r="D15" s="9" t="s">
        <v>16</v>
      </c>
      <c r="E15" s="9">
        <f>COUNTIFS(VENDAS!B3:B22,"isenções",VENDAS!D3:D22,"=1")</f>
        <v>1</v>
      </c>
    </row>
    <row r="16" spans="1:7" x14ac:dyDescent="0.25">
      <c r="D16" s="9" t="s">
        <v>17</v>
      </c>
      <c r="E16" s="10">
        <f>AVERAGEIF(VENDAS!B3:B22,"isenções",VENDAS!C3:C22)</f>
        <v>89250</v>
      </c>
    </row>
    <row r="17" spans="4:5" x14ac:dyDescent="0.25">
      <c r="D17" s="9" t="s">
        <v>18</v>
      </c>
      <c r="E17" s="10">
        <f>AVERAGEIFS(VENDAS!C3:C22,VENDAS!B3:B22,"isenções",VENDAS!E3:E22,"=0")</f>
        <v>69000</v>
      </c>
    </row>
  </sheetData>
  <mergeCells count="5">
    <mergeCell ref="A6:B6"/>
    <mergeCell ref="A1:B1"/>
    <mergeCell ref="D1:E1"/>
    <mergeCell ref="D7:E7"/>
    <mergeCell ref="D13:E13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E8DEAC-3A9C-404A-8264-9223756F60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0C43FA-D0D9-4250-9D8F-0B603F141E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4065620-52E6-42F5-9F09-6EBAD10A29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Mendonça</dc:creator>
  <cp:lastModifiedBy>YURI DA SILVA MENDES</cp:lastModifiedBy>
  <cp:lastPrinted>2000-07-27T13:34:20Z</cp:lastPrinted>
  <dcterms:created xsi:type="dcterms:W3CDTF">2000-04-04T21:09:06Z</dcterms:created>
  <dcterms:modified xsi:type="dcterms:W3CDTF">2026-09-23T01:17:43Z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