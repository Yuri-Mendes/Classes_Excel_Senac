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108" documentId="13_ncr:1_{DA35D92A-B0BB-4979-81BA-68DFAFE6F35E}" xr6:coauthVersionLast="47" xr6:coauthVersionMax="47" xr10:uidLastSave="{CFAE359E-3383-45BE-A9DD-E0FD0C70A400}"/>
  <bookViews>
    <workbookView xWindow="-120" yWindow="-120" windowWidth="29040" windowHeight="15720" xr2:uid="{00000000-000D-0000-FFFF-FFFF00000000}"/>
  </bookViews>
  <sheets>
    <sheet name="ESTOQUE" sheetId="1" r:id="rId1"/>
    <sheet name="FERIADOS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F12" i="1" s="1"/>
  <c r="F13" i="1"/>
  <c r="C14" i="1" s="1"/>
  <c r="F14" i="1" s="1"/>
  <c r="C15" i="1" s="1"/>
  <c r="F15" i="1" s="1"/>
  <c r="C16" i="1" s="1"/>
  <c r="F16" i="1" s="1"/>
  <c r="C17" i="1" s="1"/>
  <c r="F17" i="1" s="1"/>
  <c r="C18" i="1" s="1"/>
  <c r="F18" i="1" s="1"/>
  <c r="C19" i="1" s="1"/>
  <c r="F19" i="1" s="1"/>
  <c r="C20" i="1" s="1"/>
  <c r="F20" i="1" s="1"/>
  <c r="C21" i="1" s="1"/>
  <c r="F21" i="1" s="1"/>
  <c r="C22" i="1" s="1"/>
  <c r="F22" i="1" s="1"/>
  <c r="C23" i="1" s="1"/>
  <c r="F23" i="1" s="1"/>
  <c r="C24" i="1" s="1"/>
  <c r="F24" i="1" s="1"/>
  <c r="C25" i="1" s="1"/>
  <c r="F25" i="1" s="1"/>
  <c r="C26" i="1" s="1"/>
  <c r="F26" i="1" s="1"/>
  <c r="C27" i="1" s="1"/>
  <c r="F27" i="1" s="1"/>
  <c r="C28" i="1" s="1"/>
  <c r="F28" i="1" s="1"/>
  <c r="C29" i="1" s="1"/>
  <c r="F29" i="1" s="1"/>
  <c r="C30" i="1" s="1"/>
  <c r="F30" i="1" s="1"/>
  <c r="F11" i="1"/>
  <c r="A11" i="1" l="1"/>
  <c r="H1" i="1"/>
  <c r="F1" i="1"/>
  <c r="F2" i="1" s="1"/>
  <c r="A12" i="1" l="1"/>
  <c r="B12" i="1" s="1"/>
  <c r="B11" i="1"/>
  <c r="G3" i="1"/>
  <c r="G5" i="1"/>
  <c r="F3" i="1"/>
  <c r="F5" i="1"/>
  <c r="F4" i="1"/>
  <c r="A13" i="1" l="1"/>
  <c r="A14" i="1" l="1"/>
  <c r="B13" i="1"/>
  <c r="A15" i="1" l="1"/>
  <c r="B14" i="1"/>
  <c r="A16" i="1" l="1"/>
  <c r="B15" i="1"/>
  <c r="A17" i="1" l="1"/>
  <c r="B16" i="1"/>
  <c r="A18" i="1" l="1"/>
  <c r="B17" i="1"/>
  <c r="A19" i="1" l="1"/>
  <c r="B18" i="1"/>
  <c r="A20" i="1" l="1"/>
  <c r="B19" i="1"/>
  <c r="A21" i="1" l="1"/>
  <c r="B20" i="1"/>
  <c r="A22" i="1" l="1"/>
  <c r="B21" i="1"/>
  <c r="A23" i="1" l="1"/>
  <c r="B22" i="1"/>
  <c r="A24" i="1" l="1"/>
  <c r="B23" i="1"/>
  <c r="A25" i="1" l="1"/>
  <c r="B24" i="1"/>
  <c r="A26" i="1" l="1"/>
  <c r="B25" i="1"/>
  <c r="A27" i="1" l="1"/>
  <c r="B26" i="1"/>
  <c r="A28" i="1" l="1"/>
  <c r="B27" i="1"/>
  <c r="A29" i="1" l="1"/>
  <c r="B28" i="1"/>
  <c r="A30" i="1" l="1"/>
  <c r="B30" i="1" s="1"/>
  <c r="B29" i="1"/>
</calcChain>
</file>

<file path=xl/sharedStrings.xml><?xml version="1.0" encoding="utf-8"?>
<sst xmlns="http://schemas.openxmlformats.org/spreadsheetml/2006/main" count="21" uniqueCount="21">
  <si>
    <t>DATA DE HOJE:</t>
  </si>
  <si>
    <t>DIA DE HOJE:</t>
  </si>
  <si>
    <t>NÚMERO DO MÊS DE HOJE:</t>
  </si>
  <si>
    <t>ANO DE HOJE:</t>
  </si>
  <si>
    <t>NÚMERO DO DIA DA SEMANA DE HOJE:</t>
  </si>
  <si>
    <t>CONTROLE DO ESTOQUE DE VASSOURAS</t>
  </si>
  <si>
    <t xml:space="preserve">MÊS: </t>
  </si>
  <si>
    <t>DATA</t>
  </si>
  <si>
    <t>ESTOQUE ANTERIOR</t>
  </si>
  <si>
    <t>QUANTIDADE ENTRADA</t>
  </si>
  <si>
    <t>QUANTIDADE SAÍDA</t>
  </si>
  <si>
    <t>ESTOQUE DO DIA</t>
  </si>
  <si>
    <t>DIA DA SEMANA</t>
  </si>
  <si>
    <t>funções</t>
  </si>
  <si>
    <t>#=AGORA() - traz data e hora atual / qualquer enter ou clique duplo para atualizar</t>
  </si>
  <si>
    <t>#=HOJE() - traz data atual</t>
  </si>
  <si>
    <t>#=ESCOLHER(F5;"dom";"seg";"ter";"qua";"qui";"sex";sáb) - para definir o nome do dia</t>
  </si>
  <si>
    <r>
      <t xml:space="preserve">para trazer a hora atual: </t>
    </r>
    <r>
      <rPr>
        <b/>
        <sz val="11"/>
        <color theme="1"/>
        <rFont val="Calibri"/>
        <family val="2"/>
        <scheme val="minor"/>
      </rPr>
      <t>ctrl+shift+;</t>
    </r>
  </si>
  <si>
    <t>#=TEXTO(F1;"mmmm") / TEXTO(F1;"dddd")  - para definir o nome do dia ou do mês</t>
  </si>
  <si>
    <t>#=DIATRABALHO.INTL(B8-1;1;1;FERIADOS!A:A) - definir o dia útil a partir do 1º dia do mês</t>
  </si>
  <si>
    <t>#=DIATRABALHO.INTL(A11;1;1;FERIADOS!A:A) - definir os próximos dias úteis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</si>
</sst>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2" applyNumberFormat="0" applyFill="0" applyAlignment="0" applyProtection="0"/>
    <xf numFmtId="0" fontId="3" fillId="2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3" fillId="2" borderId="1" xfId="2" applyBorder="1" applyAlignment="1">
      <alignment horizontal="center" vertical="center" wrapText="1"/>
    </xf>
    <xf numFmtId="0" fontId="3" fillId="2" borderId="0" xfId="2"/>
    <xf numFmtId="0" fontId="2" fillId="0" borderId="2" xfId="1" applyAlignment="1">
      <alignment horizontal="center"/>
    </xf>
    <xf numFmtId="0" fontId="3" fillId="2" borderId="0" xfId="2" applyAlignment="1">
      <alignment horizontal="center"/>
    </xf>
    <xf numFmtId="0" fontId="0" fillId="4" borderId="0" xfId="0" applyFill="1"/>
    <xf numFmtId="22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20" fontId="0" fillId="6" borderId="0" xfId="0" applyNumberFormat="1" applyFill="1"/>
    <xf numFmtId="0" fontId="4" fillId="3" borderId="0" xfId="0" applyFont="1" applyFill="1" applyAlignment="1">
      <alignment horizontal="center"/>
    </xf>
    <xf numFmtId="0" fontId="0" fillId="0" borderId="0" xfId="0" applyFill="1"/>
    <xf numFmtId="0" fontId="0" fillId="7" borderId="0" xfId="0" applyFill="1"/>
    <xf numFmtId="0" fontId="0" fillId="8" borderId="0" xfId="0" applyFill="1"/>
    <xf numFmtId="14" fontId="0" fillId="8" borderId="1" xfId="0" applyNumberFormat="1" applyFill="1" applyBorder="1"/>
    <xf numFmtId="0" fontId="0" fillId="9" borderId="0" xfId="0" applyFill="1"/>
    <xf numFmtId="14" fontId="0" fillId="9" borderId="1" xfId="0" applyNumberFormat="1" applyFill="1" applyBorder="1"/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3">
    <cellStyle name="Ênfase1" xfId="2" builtinId="29"/>
    <cellStyle name="Normal" xfId="0" builtinId="0"/>
    <cellStyle name="Título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1ABE10-15BC-4567-A65E-D88233CD3AF1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M4aC5MlF8oieix0V_rZ56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10" zoomScaleNormal="110" workbookViewId="0">
      <selection activeCell="J17" sqref="J17"/>
    </sheetView>
  </sheetViews>
  <sheetFormatPr defaultRowHeight="15" x14ac:dyDescent="0.25"/>
  <cols>
    <col min="1" max="1" width="12" bestFit="1" customWidth="1"/>
    <col min="2" max="2" width="14.5703125" style="22" customWidth="1"/>
    <col min="3" max="3" width="13.140625" customWidth="1"/>
    <col min="4" max="4" width="13.5703125" customWidth="1"/>
    <col min="5" max="5" width="13.42578125" customWidth="1"/>
    <col min="6" max="6" width="12.28515625" customWidth="1"/>
    <col min="7" max="7" width="13.42578125" bestFit="1" customWidth="1"/>
    <col min="8" max="8" width="17.5703125" bestFit="1" customWidth="1"/>
    <col min="11" max="11" width="78.42578125" bestFit="1" customWidth="1"/>
  </cols>
  <sheetData>
    <row r="1" spans="1:11" ht="15.75" x14ac:dyDescent="0.25">
      <c r="A1" s="8" t="s">
        <v>0</v>
      </c>
      <c r="B1" s="8"/>
      <c r="C1" s="8"/>
      <c r="D1" s="8"/>
      <c r="E1" s="8"/>
      <c r="F1" s="12">
        <f ca="1">TODAY()</f>
        <v>46293</v>
      </c>
      <c r="G1" s="14">
        <v>0.82152777777777775</v>
      </c>
      <c r="H1" s="10">
        <f ca="1">NOW()</f>
        <v>46293.86745474537</v>
      </c>
      <c r="K1" s="15" t="s">
        <v>13</v>
      </c>
    </row>
    <row r="2" spans="1:11" x14ac:dyDescent="0.25">
      <c r="A2" s="8" t="s">
        <v>1</v>
      </c>
      <c r="B2" s="8"/>
      <c r="C2" s="8"/>
      <c r="D2" s="8"/>
      <c r="E2" s="8"/>
      <c r="F2">
        <f ca="1">DAY(F1)</f>
        <v>28</v>
      </c>
      <c r="K2" s="13" t="s">
        <v>17</v>
      </c>
    </row>
    <row r="3" spans="1:11" x14ac:dyDescent="0.25">
      <c r="A3" s="8" t="s">
        <v>2</v>
      </c>
      <c r="B3" s="8"/>
      <c r="C3" s="8"/>
      <c r="D3" s="8"/>
      <c r="E3" s="8"/>
      <c r="F3">
        <f ca="1">MONTH(F1)</f>
        <v>9</v>
      </c>
      <c r="G3" s="17" t="str">
        <f ca="1">TEXT(F1,"mmmm")</f>
        <v>setembro</v>
      </c>
      <c r="K3" s="9" t="s">
        <v>14</v>
      </c>
    </row>
    <row r="4" spans="1:11" x14ac:dyDescent="0.25">
      <c r="A4" s="8" t="s">
        <v>3</v>
      </c>
      <c r="B4" s="8"/>
      <c r="C4" s="8"/>
      <c r="D4" s="8"/>
      <c r="E4" s="8"/>
      <c r="F4">
        <f ca="1">YEAR(F1)</f>
        <v>2026</v>
      </c>
      <c r="K4" s="11" t="s">
        <v>15</v>
      </c>
    </row>
    <row r="5" spans="1:11" x14ac:dyDescent="0.25">
      <c r="A5" s="8" t="s">
        <v>4</v>
      </c>
      <c r="B5" s="8"/>
      <c r="C5" s="8"/>
      <c r="D5" s="8"/>
      <c r="E5" s="8"/>
      <c r="F5">
        <f ca="1">WEEKDAY(F1,1)</f>
        <v>2</v>
      </c>
      <c r="G5" s="17" t="str">
        <f ca="1">TEXT(F1,"dddd")</f>
        <v>segunda-feira</v>
      </c>
      <c r="K5" s="16" t="s">
        <v>16</v>
      </c>
    </row>
    <row r="6" spans="1:11" x14ac:dyDescent="0.25">
      <c r="K6" s="17" t="s">
        <v>18</v>
      </c>
    </row>
    <row r="7" spans="1:11" ht="20.25" thickBot="1" x14ac:dyDescent="0.35">
      <c r="A7" s="7" t="s">
        <v>5</v>
      </c>
      <c r="B7" s="7"/>
      <c r="C7" s="7"/>
      <c r="D7" s="7"/>
      <c r="E7" s="7"/>
      <c r="F7" s="7"/>
      <c r="K7" s="20" t="s">
        <v>19</v>
      </c>
    </row>
    <row r="8" spans="1:11" ht="15.75" thickTop="1" x14ac:dyDescent="0.25">
      <c r="A8" s="6" t="s">
        <v>6</v>
      </c>
      <c r="B8" s="23">
        <v>43221</v>
      </c>
      <c r="K8" s="18" t="s">
        <v>20</v>
      </c>
    </row>
    <row r="9" spans="1:11" x14ac:dyDescent="0.25">
      <c r="A9" s="1"/>
      <c r="B9" s="24"/>
    </row>
    <row r="10" spans="1:11" ht="30" x14ac:dyDescent="0.25">
      <c r="A10" s="5" t="s">
        <v>7</v>
      </c>
      <c r="B10" s="5" t="s">
        <v>12</v>
      </c>
      <c r="C10" s="5" t="s">
        <v>8</v>
      </c>
      <c r="D10" s="5" t="s">
        <v>9</v>
      </c>
      <c r="E10" s="5" t="s">
        <v>10</v>
      </c>
      <c r="F10" s="5" t="s">
        <v>11</v>
      </c>
    </row>
    <row r="11" spans="1:11" x14ac:dyDescent="0.25">
      <c r="A11" s="21">
        <f>WORKDAY.INTL(B8-1,1,1,FERIADOS!A:A)</f>
        <v>43222</v>
      </c>
      <c r="B11" s="25" t="str">
        <f>TEXT(A11,"dddd")</f>
        <v>quarta-feira</v>
      </c>
      <c r="C11" s="4">
        <v>10</v>
      </c>
      <c r="D11" s="4">
        <v>20</v>
      </c>
      <c r="E11" s="4">
        <v>15</v>
      </c>
      <c r="F11" s="4">
        <f>C11+D11-E11</f>
        <v>15</v>
      </c>
    </row>
    <row r="12" spans="1:11" x14ac:dyDescent="0.25">
      <c r="A12" s="19">
        <f>WORKDAY.INTL(A11,1,1,FERIADOS!A:A)</f>
        <v>43223</v>
      </c>
      <c r="B12" s="25" t="str">
        <f t="shared" ref="B12:B30" si="0">TEXT(A12,"dddd")</f>
        <v>quinta-feira</v>
      </c>
      <c r="C12" s="4">
        <f>F11</f>
        <v>15</v>
      </c>
      <c r="D12" s="4">
        <v>5</v>
      </c>
      <c r="E12" s="4">
        <v>20</v>
      </c>
      <c r="F12" s="4">
        <f t="shared" ref="F12:F30" si="1">C12+D12-E12</f>
        <v>0</v>
      </c>
    </row>
    <row r="13" spans="1:11" x14ac:dyDescent="0.25">
      <c r="A13" s="3">
        <f>WORKDAY.INTL(A12,1,1,FERIADOS!A:A)</f>
        <v>43224</v>
      </c>
      <c r="B13" s="25" t="str">
        <f t="shared" si="0"/>
        <v>sexta-feira</v>
      </c>
      <c r="C13" s="4">
        <f t="shared" ref="C13:C30" si="2">F12</f>
        <v>0</v>
      </c>
      <c r="D13" s="4">
        <v>10</v>
      </c>
      <c r="E13" s="4">
        <v>8</v>
      </c>
      <c r="F13" s="4">
        <f t="shared" si="1"/>
        <v>2</v>
      </c>
    </row>
    <row r="14" spans="1:11" x14ac:dyDescent="0.25">
      <c r="A14" s="3">
        <f>WORKDAY.INTL(A13,1,1,FERIADOS!A:A)</f>
        <v>43227</v>
      </c>
      <c r="B14" s="25" t="str">
        <f t="shared" si="0"/>
        <v>segunda-feira</v>
      </c>
      <c r="C14" s="4">
        <f t="shared" si="2"/>
        <v>2</v>
      </c>
      <c r="D14" s="4">
        <v>23</v>
      </c>
      <c r="E14" s="4">
        <v>20</v>
      </c>
      <c r="F14" s="4">
        <f t="shared" si="1"/>
        <v>5</v>
      </c>
    </row>
    <row r="15" spans="1:11" x14ac:dyDescent="0.25">
      <c r="A15" s="3">
        <f>WORKDAY.INTL(A14,1,1,FERIADOS!A:A)</f>
        <v>43228</v>
      </c>
      <c r="B15" s="25" t="str">
        <f t="shared" si="0"/>
        <v>terça-feira</v>
      </c>
      <c r="C15" s="4">
        <f t="shared" si="2"/>
        <v>5</v>
      </c>
      <c r="D15" s="4">
        <v>25</v>
      </c>
      <c r="E15" s="4">
        <v>22</v>
      </c>
      <c r="F15" s="4">
        <f t="shared" si="1"/>
        <v>8</v>
      </c>
    </row>
    <row r="16" spans="1:11" x14ac:dyDescent="0.25">
      <c r="A16" s="3">
        <f>WORKDAY.INTL(A15,1,1,FERIADOS!A:A)</f>
        <v>43229</v>
      </c>
      <c r="B16" s="25" t="str">
        <f t="shared" si="0"/>
        <v>quarta-feira</v>
      </c>
      <c r="C16" s="4">
        <f t="shared" si="2"/>
        <v>8</v>
      </c>
      <c r="D16" s="4">
        <v>12</v>
      </c>
      <c r="E16" s="4">
        <v>10</v>
      </c>
      <c r="F16" s="4">
        <f t="shared" si="1"/>
        <v>10</v>
      </c>
    </row>
    <row r="17" spans="1:6" x14ac:dyDescent="0.25">
      <c r="A17" s="3">
        <f>WORKDAY.INTL(A16,1,1,FERIADOS!A:A)</f>
        <v>43230</v>
      </c>
      <c r="B17" s="25" t="str">
        <f t="shared" si="0"/>
        <v>quinta-feira</v>
      </c>
      <c r="C17" s="4">
        <f t="shared" si="2"/>
        <v>10</v>
      </c>
      <c r="D17" s="4">
        <v>20</v>
      </c>
      <c r="E17" s="4">
        <v>12</v>
      </c>
      <c r="F17" s="4">
        <f t="shared" si="1"/>
        <v>18</v>
      </c>
    </row>
    <row r="18" spans="1:6" x14ac:dyDescent="0.25">
      <c r="A18" s="3">
        <f>WORKDAY.INTL(A17,1,1,FERIADOS!A:A)</f>
        <v>43231</v>
      </c>
      <c r="B18" s="25" t="str">
        <f t="shared" si="0"/>
        <v>sexta-feira</v>
      </c>
      <c r="C18" s="4">
        <f t="shared" si="2"/>
        <v>18</v>
      </c>
      <c r="D18" s="4">
        <v>2</v>
      </c>
      <c r="E18" s="4">
        <v>15</v>
      </c>
      <c r="F18" s="4">
        <f t="shared" si="1"/>
        <v>5</v>
      </c>
    </row>
    <row r="19" spans="1:6" x14ac:dyDescent="0.25">
      <c r="A19" s="3">
        <f>WORKDAY.INTL(A18,1,1,FERIADOS!A:A)</f>
        <v>43234</v>
      </c>
      <c r="B19" s="25" t="str">
        <f t="shared" si="0"/>
        <v>segunda-feira</v>
      </c>
      <c r="C19" s="4">
        <f t="shared" si="2"/>
        <v>5</v>
      </c>
      <c r="D19" s="4">
        <v>13</v>
      </c>
      <c r="E19" s="4">
        <v>17</v>
      </c>
      <c r="F19" s="4">
        <f t="shared" si="1"/>
        <v>1</v>
      </c>
    </row>
    <row r="20" spans="1:6" x14ac:dyDescent="0.25">
      <c r="A20" s="3">
        <f>WORKDAY.INTL(A19,1,1,FERIADOS!A:A)</f>
        <v>43235</v>
      </c>
      <c r="B20" s="25" t="str">
        <f t="shared" si="0"/>
        <v>terça-feira</v>
      </c>
      <c r="C20" s="4">
        <f t="shared" si="2"/>
        <v>1</v>
      </c>
      <c r="D20" s="4">
        <v>20</v>
      </c>
      <c r="E20" s="4">
        <v>15</v>
      </c>
      <c r="F20" s="4">
        <f t="shared" si="1"/>
        <v>6</v>
      </c>
    </row>
    <row r="21" spans="1:6" x14ac:dyDescent="0.25">
      <c r="A21" s="3">
        <f>WORKDAY.INTL(A20,1,1,FERIADOS!A:A)</f>
        <v>43236</v>
      </c>
      <c r="B21" s="25" t="str">
        <f t="shared" si="0"/>
        <v>quarta-feira</v>
      </c>
      <c r="C21" s="4">
        <f t="shared" si="2"/>
        <v>6</v>
      </c>
      <c r="D21" s="4">
        <v>22</v>
      </c>
      <c r="E21" s="4">
        <v>25</v>
      </c>
      <c r="F21" s="4">
        <f t="shared" si="1"/>
        <v>3</v>
      </c>
    </row>
    <row r="22" spans="1:6" x14ac:dyDescent="0.25">
      <c r="A22" s="3">
        <f>WORKDAY.INTL(A21,1,1,FERIADOS!A:A)</f>
        <v>43237</v>
      </c>
      <c r="B22" s="25" t="str">
        <f t="shared" si="0"/>
        <v>quinta-feira</v>
      </c>
      <c r="C22" s="4">
        <f t="shared" si="2"/>
        <v>3</v>
      </c>
      <c r="D22" s="4">
        <v>30</v>
      </c>
      <c r="E22" s="4">
        <v>24</v>
      </c>
      <c r="F22" s="4">
        <f t="shared" si="1"/>
        <v>9</v>
      </c>
    </row>
    <row r="23" spans="1:6" x14ac:dyDescent="0.25">
      <c r="A23" s="3">
        <f>WORKDAY.INTL(A22,1,1,FERIADOS!A:A)</f>
        <v>43238</v>
      </c>
      <c r="B23" s="25" t="str">
        <f t="shared" si="0"/>
        <v>sexta-feira</v>
      </c>
      <c r="C23" s="4">
        <f t="shared" si="2"/>
        <v>9</v>
      </c>
      <c r="D23" s="4">
        <v>45</v>
      </c>
      <c r="E23" s="4">
        <v>40</v>
      </c>
      <c r="F23" s="4">
        <f t="shared" si="1"/>
        <v>14</v>
      </c>
    </row>
    <row r="24" spans="1:6" x14ac:dyDescent="0.25">
      <c r="A24" s="3">
        <f>WORKDAY.INTL(A23,1,1,FERIADOS!A:A)</f>
        <v>43241</v>
      </c>
      <c r="B24" s="25" t="str">
        <f t="shared" si="0"/>
        <v>segunda-feira</v>
      </c>
      <c r="C24" s="4">
        <f t="shared" si="2"/>
        <v>14</v>
      </c>
      <c r="D24" s="4">
        <v>12</v>
      </c>
      <c r="E24" s="4">
        <v>25</v>
      </c>
      <c r="F24" s="4">
        <f t="shared" si="1"/>
        <v>1</v>
      </c>
    </row>
    <row r="25" spans="1:6" x14ac:dyDescent="0.25">
      <c r="A25" s="3">
        <f>WORKDAY.INTL(A24,1,1,FERIADOS!A:A)</f>
        <v>43242</v>
      </c>
      <c r="B25" s="25" t="str">
        <f t="shared" si="0"/>
        <v>terça-feira</v>
      </c>
      <c r="C25" s="4">
        <f t="shared" si="2"/>
        <v>1</v>
      </c>
      <c r="D25" s="4">
        <v>20</v>
      </c>
      <c r="E25" s="4">
        <v>10</v>
      </c>
      <c r="F25" s="4">
        <f t="shared" si="1"/>
        <v>11</v>
      </c>
    </row>
    <row r="26" spans="1:6" x14ac:dyDescent="0.25">
      <c r="A26" s="3">
        <f>WORKDAY.INTL(A25,1,1,FERIADOS!A:A)</f>
        <v>43243</v>
      </c>
      <c r="B26" s="25" t="str">
        <f t="shared" si="0"/>
        <v>quarta-feira</v>
      </c>
      <c r="C26" s="4">
        <f t="shared" si="2"/>
        <v>11</v>
      </c>
      <c r="D26" s="4">
        <v>22</v>
      </c>
      <c r="E26" s="4">
        <v>25</v>
      </c>
      <c r="F26" s="4">
        <f t="shared" si="1"/>
        <v>8</v>
      </c>
    </row>
    <row r="27" spans="1:6" x14ac:dyDescent="0.25">
      <c r="A27" s="3">
        <f>WORKDAY.INTL(A26,1,1,FERIADOS!A:A)</f>
        <v>43244</v>
      </c>
      <c r="B27" s="25" t="str">
        <f t="shared" si="0"/>
        <v>quinta-feira</v>
      </c>
      <c r="C27" s="4">
        <f t="shared" si="2"/>
        <v>8</v>
      </c>
      <c r="D27" s="4">
        <v>25</v>
      </c>
      <c r="E27" s="4">
        <v>28</v>
      </c>
      <c r="F27" s="4">
        <f t="shared" si="1"/>
        <v>5</v>
      </c>
    </row>
    <row r="28" spans="1:6" x14ac:dyDescent="0.25">
      <c r="A28" s="3">
        <f>WORKDAY.INTL(A27,1,1,FERIADOS!A:A)</f>
        <v>43245</v>
      </c>
      <c r="B28" s="25" t="str">
        <f t="shared" si="0"/>
        <v>sexta-feira</v>
      </c>
      <c r="C28" s="4">
        <f t="shared" si="2"/>
        <v>5</v>
      </c>
      <c r="D28" s="4">
        <v>16</v>
      </c>
      <c r="E28" s="4">
        <v>21</v>
      </c>
      <c r="F28" s="4">
        <f t="shared" si="1"/>
        <v>0</v>
      </c>
    </row>
    <row r="29" spans="1:6" x14ac:dyDescent="0.25">
      <c r="A29" s="3">
        <f>WORKDAY.INTL(A28,1,1,FERIADOS!A:A)</f>
        <v>43248</v>
      </c>
      <c r="B29" s="25" t="str">
        <f t="shared" si="0"/>
        <v>segunda-feira</v>
      </c>
      <c r="C29" s="4">
        <f t="shared" si="2"/>
        <v>0</v>
      </c>
      <c r="D29" s="4">
        <v>35</v>
      </c>
      <c r="E29" s="4">
        <v>28</v>
      </c>
      <c r="F29" s="4">
        <f t="shared" si="1"/>
        <v>7</v>
      </c>
    </row>
    <row r="30" spans="1:6" x14ac:dyDescent="0.25">
      <c r="A30" s="3">
        <f>WORKDAY.INTL(A29,1,1,FERIADOS!A:A)</f>
        <v>43249</v>
      </c>
      <c r="B30" s="25" t="str">
        <f t="shared" si="0"/>
        <v>terça-feira</v>
      </c>
      <c r="C30" s="4">
        <f t="shared" si="2"/>
        <v>7</v>
      </c>
      <c r="D30" s="4">
        <v>13</v>
      </c>
      <c r="E30" s="4">
        <v>15</v>
      </c>
      <c r="F30" s="4">
        <f t="shared" si="1"/>
        <v>5</v>
      </c>
    </row>
  </sheetData>
  <mergeCells count="6">
    <mergeCell ref="A7:F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cols>
    <col min="1" max="1" width="10.7109375" bestFit="1" customWidth="1"/>
  </cols>
  <sheetData>
    <row r="1" spans="1:1" x14ac:dyDescent="0.25">
      <c r="A1" s="2">
        <v>43221</v>
      </c>
    </row>
    <row r="2" spans="1:1" x14ac:dyDescent="0.25">
      <c r="A2" s="2">
        <v>43251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F61029-5113-4A13-9AD4-40A717D0DF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B850719-595E-472B-9B96-76618063F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FB214D-FD1A-4A5B-9F34-160CCF196FF7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ESTOQUE</vt:lpstr>
      <vt:lpstr>FERIADOS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2011-06-21T18:20:34Z</dcterms:created>
  <dcterms:modified xsi:type="dcterms:W3CDTF">2026-09-29T00:00:04Z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