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ri.smendes\Downloads\Capítulo02\Capítulo02\"/>
    </mc:Choice>
  </mc:AlternateContent>
  <xr:revisionPtr revIDLastSave="0" documentId="13_ncr:1_{A4B82D3E-F05C-4DF1-BF8F-A8057D498E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4" i="1" l="1"/>
  <c r="D25" i="1"/>
  <c r="D32" i="1"/>
  <c r="F20" i="1"/>
  <c r="F19" i="1"/>
  <c r="F18" i="1"/>
  <c r="F17" i="1"/>
  <c r="D27" i="1" l="1"/>
  <c r="F5" i="1"/>
  <c r="F12" i="1"/>
  <c r="D30" i="1" s="1"/>
  <c r="F16" i="1"/>
  <c r="F13" i="1"/>
  <c r="F9" i="1"/>
  <c r="F7" i="1"/>
  <c r="F6" i="1"/>
  <c r="F14" i="1"/>
  <c r="F3" i="1"/>
  <c r="F8" i="1"/>
  <c r="F11" i="1"/>
  <c r="F4" i="1"/>
  <c r="F15" i="1"/>
  <c r="F10" i="1"/>
  <c r="D26" i="1" l="1"/>
  <c r="D28" i="1"/>
  <c r="D31" i="1"/>
  <c r="D29" i="1"/>
</calcChain>
</file>

<file path=xl/sharedStrings.xml><?xml version="1.0" encoding="utf-8"?>
<sst xmlns="http://schemas.openxmlformats.org/spreadsheetml/2006/main" count="76" uniqueCount="39">
  <si>
    <t>Filial</t>
  </si>
  <si>
    <t>Produto</t>
  </si>
  <si>
    <t>Mês</t>
  </si>
  <si>
    <t>Quantidade</t>
  </si>
  <si>
    <t>Valor Unitário</t>
  </si>
  <si>
    <t>Vila Mariana</t>
  </si>
  <si>
    <t>Janeiro</t>
  </si>
  <si>
    <t>Mesa para computador</t>
  </si>
  <si>
    <t>Mouse</t>
  </si>
  <si>
    <t>Brooklin</t>
  </si>
  <si>
    <t>Fevereiro</t>
  </si>
  <si>
    <t>Impressora</t>
  </si>
  <si>
    <t>Março</t>
  </si>
  <si>
    <t>Valor Total</t>
  </si>
  <si>
    <t>Número de itens vendidos:</t>
  </si>
  <si>
    <t>Valor total de vendas:</t>
  </si>
  <si>
    <t>Valor total Vila Mariana:</t>
  </si>
  <si>
    <t>Valor total Brooklin:</t>
  </si>
  <si>
    <t>Valor total Janeiro:</t>
  </si>
  <si>
    <t>Valor total Fevereiro:</t>
  </si>
  <si>
    <t>Valor total Março:</t>
  </si>
  <si>
    <t>Valor Vila Mariana em Fevereiro:</t>
  </si>
  <si>
    <t>Valor Brooklin em Janeiro:</t>
  </si>
  <si>
    <t>RESUMO DO TRIMESTRE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</si>
  <si>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</si>
  <si>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</si>
  <si>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</si>
  <si>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</si>
  <si>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</si>
  <si>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</si>
  <si>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</si>
  <si>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</si>
  <si>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</si>
  <si>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TUDO EM INFORMÁTICA - Vendas 2018</t>
  </si>
  <si>
    <t>#=MULT(A1:B1)</t>
  </si>
  <si>
    <t>FUNÇÕES</t>
  </si>
  <si>
    <t>#=SOMARPRODUTO(D3:D16;E3:E16)</t>
  </si>
  <si>
    <t>#=SOMASE(A3:A16;"vila mariana";F3:F16)</t>
  </si>
  <si>
    <t>#=SOMASES(F3:F16;A3:A16;"vila mariana";B3:B16;"fevereiro") #condição com dois critérios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</si>
</sst>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164" fontId="0" fillId="0" borderId="0" xfId="1" applyNumberFormat="1" applyFont="1"/>
    <xf numFmtId="44" fontId="0" fillId="0" borderId="0" xfId="2" applyFont="1"/>
    <xf numFmtId="44" fontId="0" fillId="0" borderId="0" xfId="0" applyNumberFormat="1"/>
    <xf numFmtId="0" fontId="0" fillId="0" borderId="1" xfId="0" applyBorder="1"/>
    <xf numFmtId="164" fontId="0" fillId="0" borderId="1" xfId="1" applyNumberFormat="1" applyFont="1" applyBorder="1"/>
    <xf numFmtId="44" fontId="0" fillId="0" borderId="1" xfId="2" applyFont="1" applyBorder="1"/>
    <xf numFmtId="164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165" fontId="0" fillId="0" borderId="1" xfId="3" applyNumberFormat="1" applyFont="1" applyBorder="1"/>
    <xf numFmtId="44" fontId="0" fillId="0" borderId="1" xfId="2" applyFont="1" applyFill="1" applyBorder="1" applyAlignment="1">
      <alignment horizontal="left" vertical="center"/>
    </xf>
    <xf numFmtId="0" fontId="0" fillId="0" borderId="0" xfId="0" applyBorder="1"/>
    <xf numFmtId="164" fontId="0" fillId="0" borderId="0" xfId="1" applyNumberFormat="1" applyFont="1" applyBorder="1"/>
    <xf numFmtId="44" fontId="0" fillId="0" borderId="0" xfId="2" applyFont="1" applyBorder="1"/>
    <xf numFmtId="0" fontId="0" fillId="0" borderId="2" xfId="0" applyBorder="1"/>
    <xf numFmtId="44" fontId="0" fillId="0" borderId="3" xfId="2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4" fontId="2" fillId="2" borderId="5" xfId="1" applyNumberFormat="1" applyFont="1" applyFill="1" applyBorder="1" applyAlignment="1">
      <alignment horizontal="center" vertical="center" wrapText="1"/>
    </xf>
    <xf numFmtId="44" fontId="2" fillId="2" borderId="5" xfId="2" applyFont="1" applyFill="1" applyBorder="1" applyAlignment="1">
      <alignment horizontal="center" vertical="center" wrapText="1"/>
    </xf>
    <xf numFmtId="44" fontId="2" fillId="2" borderId="6" xfId="2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164" fontId="0" fillId="0" borderId="8" xfId="1" applyNumberFormat="1" applyFont="1" applyBorder="1"/>
    <xf numFmtId="44" fontId="0" fillId="0" borderId="8" xfId="2" applyFont="1" applyBorder="1"/>
    <xf numFmtId="44" fontId="0" fillId="0" borderId="9" xfId="2" applyFont="1" applyBorder="1"/>
    <xf numFmtId="0" fontId="2" fillId="3" borderId="0" xfId="0" applyFont="1" applyFill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2A4744-66AE-48DC-82AC-7FFF060DEE33}" name="Tabela1" displayName="Tabela1" ref="A2:F20" totalsRowShown="0" headerRowDxfId="9" headerRowBorderDxfId="7" tableBorderDxfId="8" totalsRowBorderDxfId="6" headerRowCellStyle="Moeda">
  <autoFilter ref="A2:F20" xr:uid="{732A4744-66AE-48DC-82AC-7FFF060DEE33}"/>
  <tableColumns count="6">
    <tableColumn id="1" xr3:uid="{9D446EC1-51EC-484A-A376-354D42FFD161}" name="Filial" dataDxfId="5"/>
    <tableColumn id="2" xr3:uid="{57F5DA88-8F67-459E-B09B-E700176C4E65}" name="Mês" dataDxfId="4"/>
    <tableColumn id="3" xr3:uid="{0001AF8D-57E7-41BE-8CA1-03A13DD45DE5}" name="Produto" dataDxfId="3"/>
    <tableColumn id="4" xr3:uid="{4785CC8E-8FA5-4ACD-9962-E61091AE4B47}" name="Quantidade" dataDxfId="2" dataCellStyle="Vírgula"/>
    <tableColumn id="5" xr3:uid="{31BD398D-82DC-4FE6-BC0A-490FD62E02DA}" name="Valor Unitário" dataDxfId="1" dataCellStyle="Moeda"/>
    <tableColumn id="6" xr3:uid="{1D97C87D-0059-4256-8681-361247030DCE}" name="Valor Total" dataDxfId="0" dataCellStyle="Moeda">
      <calculatedColumnFormula>PRODUCT(D3:E3)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115" zoomScaleNormal="115" workbookViewId="0">
      <selection activeCell="I13" sqref="I13"/>
    </sheetView>
  </sheetViews>
  <sheetFormatPr defaultRowHeight="15" x14ac:dyDescent="0.25"/>
  <cols>
    <col min="1" max="1" width="13.5703125" customWidth="1"/>
    <col min="2" max="2" width="14.7109375" customWidth="1"/>
    <col min="3" max="3" width="30.140625" customWidth="1"/>
    <col min="4" max="4" width="14" style="1" customWidth="1"/>
    <col min="5" max="5" width="15.85546875" style="2" customWidth="1"/>
    <col min="6" max="6" width="20.28515625" style="2" customWidth="1"/>
    <col min="7" max="7" width="13.28515625" bestFit="1" customWidth="1"/>
    <col min="9" max="9" width="82.85546875" bestFit="1" customWidth="1"/>
  </cols>
  <sheetData>
    <row r="1" spans="1:9" ht="26.25" x14ac:dyDescent="0.4">
      <c r="A1" s="9" t="s">
        <v>33</v>
      </c>
      <c r="B1" s="9"/>
      <c r="C1" s="9"/>
      <c r="D1" s="9"/>
      <c r="E1" s="9"/>
      <c r="F1" s="9"/>
    </row>
    <row r="2" spans="1:9" ht="30" x14ac:dyDescent="0.25">
      <c r="A2" s="19" t="s">
        <v>0</v>
      </c>
      <c r="B2" s="20" t="s">
        <v>2</v>
      </c>
      <c r="C2" s="20" t="s">
        <v>1</v>
      </c>
      <c r="D2" s="21" t="s">
        <v>3</v>
      </c>
      <c r="E2" s="22" t="s">
        <v>4</v>
      </c>
      <c r="F2" s="23" t="s">
        <v>13</v>
      </c>
      <c r="I2" s="29" t="s">
        <v>35</v>
      </c>
    </row>
    <row r="3" spans="1:9" x14ac:dyDescent="0.25">
      <c r="A3" s="17" t="s">
        <v>9</v>
      </c>
      <c r="B3" s="4" t="s">
        <v>30</v>
      </c>
      <c r="C3" s="4" t="s">
        <v>8</v>
      </c>
      <c r="D3" s="5">
        <v>3</v>
      </c>
      <c r="E3" s="6">
        <v>20</v>
      </c>
      <c r="F3" s="18">
        <f>PRODUCT(D3:E3)</f>
        <v>60</v>
      </c>
      <c r="I3" t="s">
        <v>34</v>
      </c>
    </row>
    <row r="4" spans="1:9" x14ac:dyDescent="0.25">
      <c r="A4" s="17" t="s">
        <v>5</v>
      </c>
      <c r="B4" s="4" t="s">
        <v>6</v>
      </c>
      <c r="C4" s="4" t="s">
        <v>8</v>
      </c>
      <c r="D4" s="5">
        <v>33</v>
      </c>
      <c r="E4" s="6">
        <v>20</v>
      </c>
      <c r="F4" s="18">
        <f>PRODUCT(D4:E4)</f>
        <v>660</v>
      </c>
      <c r="I4" t="s">
        <v>36</v>
      </c>
    </row>
    <row r="5" spans="1:9" x14ac:dyDescent="0.25">
      <c r="A5" s="17" t="s">
        <v>5</v>
      </c>
      <c r="B5" s="4" t="s">
        <v>10</v>
      </c>
      <c r="C5" s="4" t="s">
        <v>8</v>
      </c>
      <c r="D5" s="5">
        <v>134</v>
      </c>
      <c r="E5" s="6">
        <v>23.8</v>
      </c>
      <c r="F5" s="18">
        <f>PRODUCT(D5:E5)</f>
        <v>3189.2000000000003</v>
      </c>
      <c r="I5" t="s">
        <v>37</v>
      </c>
    </row>
    <row r="6" spans="1:9" x14ac:dyDescent="0.25">
      <c r="A6" s="17" t="s">
        <v>5</v>
      </c>
      <c r="B6" s="4" t="s">
        <v>28</v>
      </c>
      <c r="C6" s="4" t="s">
        <v>8</v>
      </c>
      <c r="D6" s="5">
        <v>22</v>
      </c>
      <c r="E6" s="6">
        <v>25</v>
      </c>
      <c r="F6" s="18">
        <f>PRODUCT(D6:E6)</f>
        <v>550</v>
      </c>
      <c r="I6" t="s">
        <v>38</v>
      </c>
    </row>
    <row r="7" spans="1:9" x14ac:dyDescent="0.25">
      <c r="A7" s="17" t="s">
        <v>9</v>
      </c>
      <c r="B7" s="4" t="s">
        <v>27</v>
      </c>
      <c r="C7" s="4" t="s">
        <v>7</v>
      </c>
      <c r="D7" s="5">
        <v>7</v>
      </c>
      <c r="E7" s="6">
        <v>210</v>
      </c>
      <c r="F7" s="18">
        <f>PRODUCT(D7:E7)</f>
        <v>1470</v>
      </c>
    </row>
    <row r="8" spans="1:9" x14ac:dyDescent="0.25">
      <c r="A8" s="17" t="s">
        <v>9</v>
      </c>
      <c r="B8" s="4" t="s">
        <v>31</v>
      </c>
      <c r="C8" s="4" t="s">
        <v>7</v>
      </c>
      <c r="D8" s="5">
        <v>21</v>
      </c>
      <c r="E8" s="6">
        <v>220</v>
      </c>
      <c r="F8" s="18">
        <f>PRODUCT(D8:E8)</f>
        <v>4620</v>
      </c>
    </row>
    <row r="9" spans="1:9" x14ac:dyDescent="0.25">
      <c r="A9" s="17" t="s">
        <v>5</v>
      </c>
      <c r="B9" s="4" t="s">
        <v>26</v>
      </c>
      <c r="C9" s="4" t="s">
        <v>7</v>
      </c>
      <c r="D9" s="5">
        <v>56</v>
      </c>
      <c r="E9" s="6">
        <v>220</v>
      </c>
      <c r="F9" s="18">
        <f>PRODUCT(D9:E9)</f>
        <v>12320</v>
      </c>
    </row>
    <row r="10" spans="1:9" x14ac:dyDescent="0.25">
      <c r="A10" s="17" t="s">
        <v>5</v>
      </c>
      <c r="B10" s="4" t="s">
        <v>6</v>
      </c>
      <c r="C10" s="4" t="s">
        <v>7</v>
      </c>
      <c r="D10" s="5">
        <v>56</v>
      </c>
      <c r="E10" s="12">
        <v>230</v>
      </c>
      <c r="F10" s="18">
        <f>PRODUCT(D10:E10)</f>
        <v>12880</v>
      </c>
    </row>
    <row r="11" spans="1:9" x14ac:dyDescent="0.25">
      <c r="A11" s="17" t="s">
        <v>5</v>
      </c>
      <c r="B11" s="4" t="s">
        <v>32</v>
      </c>
      <c r="C11" s="4" t="s">
        <v>7</v>
      </c>
      <c r="D11" s="5">
        <v>18</v>
      </c>
      <c r="E11" s="6">
        <v>230</v>
      </c>
      <c r="F11" s="18">
        <f>PRODUCT(D11:E11)</f>
        <v>4140</v>
      </c>
    </row>
    <row r="12" spans="1:9" x14ac:dyDescent="0.25">
      <c r="A12" s="17" t="s">
        <v>9</v>
      </c>
      <c r="B12" s="4" t="s">
        <v>12</v>
      </c>
      <c r="C12" s="4" t="s">
        <v>7</v>
      </c>
      <c r="D12" s="5">
        <v>23</v>
      </c>
      <c r="E12" s="6">
        <v>247</v>
      </c>
      <c r="F12" s="18">
        <f>PRODUCT(D12:E12)</f>
        <v>5681</v>
      </c>
    </row>
    <row r="13" spans="1:9" x14ac:dyDescent="0.25">
      <c r="A13" s="17" t="s">
        <v>9</v>
      </c>
      <c r="B13" s="4" t="s">
        <v>25</v>
      </c>
      <c r="C13" s="4" t="s">
        <v>11</v>
      </c>
      <c r="D13" s="5">
        <v>45</v>
      </c>
      <c r="E13" s="6">
        <v>250</v>
      </c>
      <c r="F13" s="18">
        <f>PRODUCT(D13:E13)</f>
        <v>11250</v>
      </c>
    </row>
    <row r="14" spans="1:9" x14ac:dyDescent="0.25">
      <c r="A14" s="17" t="s">
        <v>5</v>
      </c>
      <c r="B14" s="4" t="s">
        <v>29</v>
      </c>
      <c r="C14" s="4" t="s">
        <v>11</v>
      </c>
      <c r="D14" s="5">
        <v>14</v>
      </c>
      <c r="E14" s="6">
        <v>250</v>
      </c>
      <c r="F14" s="18">
        <f>PRODUCT(D14:E14)</f>
        <v>3500</v>
      </c>
    </row>
    <row r="15" spans="1:9" x14ac:dyDescent="0.25">
      <c r="A15" s="17" t="s">
        <v>9</v>
      </c>
      <c r="B15" s="4" t="s">
        <v>10</v>
      </c>
      <c r="C15" s="4" t="s">
        <v>11</v>
      </c>
      <c r="D15" s="5">
        <v>22</v>
      </c>
      <c r="E15" s="6">
        <v>299</v>
      </c>
      <c r="F15" s="18">
        <f>PRODUCT(D15:E15)</f>
        <v>6578</v>
      </c>
    </row>
    <row r="16" spans="1:9" x14ac:dyDescent="0.25">
      <c r="A16" s="24" t="s">
        <v>5</v>
      </c>
      <c r="B16" s="25" t="s">
        <v>24</v>
      </c>
      <c r="C16" s="25" t="s">
        <v>11</v>
      </c>
      <c r="D16" s="26">
        <v>12</v>
      </c>
      <c r="E16" s="27">
        <v>299</v>
      </c>
      <c r="F16" s="28">
        <f>PRODUCT(D16:E16)</f>
        <v>3588</v>
      </c>
    </row>
    <row r="17" spans="1:6" x14ac:dyDescent="0.25">
      <c r="A17" s="24" t="s">
        <v>9</v>
      </c>
      <c r="B17" s="25" t="s">
        <v>12</v>
      </c>
      <c r="C17" s="25" t="s">
        <v>11</v>
      </c>
      <c r="D17" s="26">
        <v>12</v>
      </c>
      <c r="E17" s="27">
        <v>299</v>
      </c>
      <c r="F17" s="28">
        <f>PRODUCT(D17:E17)</f>
        <v>3588</v>
      </c>
    </row>
    <row r="18" spans="1:6" x14ac:dyDescent="0.25">
      <c r="A18" s="24" t="s">
        <v>9</v>
      </c>
      <c r="B18" s="25" t="s">
        <v>10</v>
      </c>
      <c r="C18" s="25" t="s">
        <v>11</v>
      </c>
      <c r="D18" s="26">
        <v>12</v>
      </c>
      <c r="E18" s="27">
        <v>299</v>
      </c>
      <c r="F18" s="28">
        <f>PRODUCT(D18:E18)</f>
        <v>3588</v>
      </c>
    </row>
    <row r="19" spans="1:6" x14ac:dyDescent="0.25">
      <c r="A19" s="24" t="s">
        <v>5</v>
      </c>
      <c r="B19" s="25" t="s">
        <v>12</v>
      </c>
      <c r="C19" s="25" t="s">
        <v>11</v>
      </c>
      <c r="D19" s="26">
        <v>12</v>
      </c>
      <c r="E19" s="27">
        <v>299</v>
      </c>
      <c r="F19" s="28">
        <f>PRODUCT(D19:E19)</f>
        <v>3588</v>
      </c>
    </row>
    <row r="20" spans="1:6" x14ac:dyDescent="0.25">
      <c r="A20" s="24" t="s">
        <v>9</v>
      </c>
      <c r="B20" s="25" t="s">
        <v>25</v>
      </c>
      <c r="C20" s="25" t="s">
        <v>8</v>
      </c>
      <c r="D20" s="26">
        <v>15</v>
      </c>
      <c r="E20" s="27">
        <v>20</v>
      </c>
      <c r="F20" s="28">
        <f>PRODUCT(D20:E20)</f>
        <v>300</v>
      </c>
    </row>
    <row r="21" spans="1:6" x14ac:dyDescent="0.25">
      <c r="A21" s="14"/>
      <c r="B21" s="14"/>
      <c r="C21" s="14"/>
      <c r="D21" s="15"/>
      <c r="E21" s="16"/>
      <c r="F21" s="16"/>
    </row>
    <row r="23" spans="1:6" ht="21" x14ac:dyDescent="0.35">
      <c r="A23" s="11" t="s">
        <v>23</v>
      </c>
      <c r="B23" s="11"/>
      <c r="C23" s="11"/>
      <c r="D23" s="11"/>
      <c r="E23"/>
    </row>
    <row r="24" spans="1:6" x14ac:dyDescent="0.25">
      <c r="A24" s="10" t="s">
        <v>14</v>
      </c>
      <c r="B24" s="10"/>
      <c r="C24" s="10"/>
      <c r="D24" s="7">
        <f>SUM(D3:D20)</f>
        <v>517</v>
      </c>
      <c r="F24" s="3"/>
    </row>
    <row r="25" spans="1:6" x14ac:dyDescent="0.25">
      <c r="A25" s="8" t="s">
        <v>15</v>
      </c>
      <c r="B25" s="8"/>
      <c r="C25" s="8"/>
      <c r="D25" s="13">
        <f>SUMPRODUCT(D3:D20,E3:E20)</f>
        <v>81550.2</v>
      </c>
      <c r="F25"/>
    </row>
    <row r="26" spans="1:6" x14ac:dyDescent="0.25">
      <c r="A26" s="8" t="s">
        <v>16</v>
      </c>
      <c r="B26" s="8"/>
      <c r="C26" s="8"/>
      <c r="D26" s="6">
        <f>SUMIF(A3:A20,"vila mariana",F3:F20)</f>
        <v>44415.199999999997</v>
      </c>
      <c r="F26"/>
    </row>
    <row r="27" spans="1:6" x14ac:dyDescent="0.25">
      <c r="A27" s="8" t="s">
        <v>17</v>
      </c>
      <c r="B27" s="8"/>
      <c r="C27" s="8"/>
      <c r="D27" s="13">
        <f>SUMIF(A3:A20,"brooklin",F3:F20)</f>
        <v>37135</v>
      </c>
      <c r="F27"/>
    </row>
    <row r="28" spans="1:6" x14ac:dyDescent="0.25">
      <c r="A28" s="8" t="s">
        <v>18</v>
      </c>
      <c r="B28" s="8"/>
      <c r="C28" s="8"/>
      <c r="D28" s="13">
        <f>SUMIF(B3:B20,"janeiro",F3:F20)</f>
        <v>13540</v>
      </c>
      <c r="F28"/>
    </row>
    <row r="29" spans="1:6" x14ac:dyDescent="0.25">
      <c r="A29" s="8" t="s">
        <v>19</v>
      </c>
      <c r="B29" s="8"/>
      <c r="C29" s="8"/>
      <c r="D29" s="13">
        <f>SUMIF(B3:B20,"fevereiro",F3:F20)</f>
        <v>13355.2</v>
      </c>
      <c r="F29"/>
    </row>
    <row r="30" spans="1:6" x14ac:dyDescent="0.25">
      <c r="A30" s="8" t="s">
        <v>20</v>
      </c>
      <c r="B30" s="8"/>
      <c r="C30" s="8"/>
      <c r="D30" s="13">
        <f>SUMIF(B3:B20,"março",F3:F20)</f>
        <v>12857</v>
      </c>
      <c r="F30"/>
    </row>
    <row r="31" spans="1:6" x14ac:dyDescent="0.25">
      <c r="A31" s="8" t="s">
        <v>21</v>
      </c>
      <c r="B31" s="8"/>
      <c r="C31" s="8"/>
      <c r="D31" s="13">
        <f>SUMIFS(F3:F20,A3:A20,"vila mariana",B3:B20,"fevereiro")</f>
        <v>3189.2000000000003</v>
      </c>
      <c r="F31"/>
    </row>
    <row r="32" spans="1:6" x14ac:dyDescent="0.25">
      <c r="A32" s="8" t="s">
        <v>22</v>
      </c>
      <c r="B32" s="8"/>
      <c r="C32" s="8"/>
      <c r="D32" s="13">
        <f>SUMIFS(F3:F20,A3:A20,"brooklin",B3:B20,"janeiro")</f>
        <v>0</v>
      </c>
      <c r="F32"/>
    </row>
  </sheetData>
  <mergeCells count="11">
    <mergeCell ref="A1:F1"/>
    <mergeCell ref="A24:C24"/>
    <mergeCell ref="A25:C25"/>
    <mergeCell ref="A26:C26"/>
    <mergeCell ref="A27:C27"/>
    <mergeCell ref="A23:D23"/>
    <mergeCell ref="A28:C28"/>
    <mergeCell ref="A29:C29"/>
    <mergeCell ref="A30:C30"/>
    <mergeCell ref="A31:C31"/>
    <mergeCell ref="A32:C32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BF7810C53DD948993C670621B98261" ma:contentTypeVersion="1" ma:contentTypeDescription="Crie um novo documento." ma:contentTypeScope="" ma:versionID="94b3693987d68cf85c5b0f5d6db53f67">
  <xsd:schema xmlns:xsd="http://www.w3.org/2001/XMLSchema" xmlns:xs="http://www.w3.org/2001/XMLSchema" xmlns:p="http://schemas.microsoft.com/office/2006/metadata/properties" xmlns:ns3="65a0878c-eb6a-4a15-bfc1-beb31a36699c" targetNamespace="http://schemas.microsoft.com/office/2006/metadata/properties" ma:root="true" ma:fieldsID="f89b107c2e51a02ce172dcda5a95bd47" ns3:_="">
    <xsd:import namespace="65a0878c-eb6a-4a15-bfc1-beb31a36699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a0878c-eb6a-4a15-bfc1-beb31a36699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54CE68-9E57-4095-9404-E84B36E11628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65a0878c-eb6a-4a15-bfc1-beb31a36699c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A964E0A-2CFA-45A4-AD17-D9F23A475A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417048-7B93-4B2B-9F1C-214350FB24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a0878c-eb6a-4a15-bfc1-beb31a3669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YURI DA SILVA MENDES</cp:lastModifiedBy>
  <dcterms:created xsi:type="dcterms:W3CDTF">2010-07-14T17:59:40Z</dcterms:created>
  <dcterms:modified xsi:type="dcterms:W3CDTF">2026-09-22T01:19:18Z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0x01010079BF7810C53DD948993C670621B98261</vt:lpwstr>
  </property>
</Properties>
</file>