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lvia\Documents\Livro Excel 2019\Avançado\Excel 2019\Planilhas\Capítulo3\"/>
    </mc:Choice>
  </mc:AlternateContent>
  <xr:revisionPtr revIDLastSave="0" documentId="13_ncr:1_{9D35DB4A-97F8-46A7-B6C6-1F794E1CB112}" xr6:coauthVersionLast="47" xr6:coauthVersionMax="47" xr10:uidLastSave="{00000000-0000-0000-0000-000000000000}"/>
  <bookViews>
    <workbookView xWindow="-120" yWindow="-120" windowWidth="20730" windowHeight="11310" xr2:uid="{B4465D5A-7BEE-4069-A833-471D4911DA36}"/>
  </bookViews>
  <sheets>
    <sheet name="CADASTRO" sheetId="2" r:id="rId1"/>
    <sheet name="TABELA" sheetId="3" r:id="rId2"/>
    <sheet name="DESCONTOS" sheetId="4" r:id="rId3"/>
    <sheet name="CLIENTES" sheetId="5" r:id="rId4"/>
    <sheet name="CLASSIFICAÇÃO" sheetId="6" r:id="rId5"/>
  </sheets>
  <externalReferences>
    <externalReference r:id="rId6"/>
    <externalReference r:id="rId7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5" l="1"/>
  <c r="C9" i="5"/>
  <c r="C8" i="5"/>
  <c r="C7" i="5"/>
  <c r="C6" i="5"/>
  <c r="C5" i="5"/>
  <c r="C4" i="5"/>
  <c r="F3" i="5"/>
  <c r="G3" i="5" s="1"/>
  <c r="H3" i="5" s="1"/>
  <c r="C3" i="5"/>
  <c r="F2" i="5"/>
  <c r="G2" i="5" s="1"/>
  <c r="H2" i="5" s="1"/>
  <c r="C2" i="5"/>
  <c r="F20" i="4" l="1"/>
  <c r="D20" i="4"/>
  <c r="C20" i="4"/>
  <c r="E20" i="4" s="1"/>
  <c r="F19" i="4"/>
  <c r="D19" i="4"/>
  <c r="C19" i="4"/>
  <c r="E19" i="4" s="1"/>
  <c r="F18" i="4"/>
  <c r="D18" i="4"/>
  <c r="C18" i="4"/>
  <c r="E18" i="4" s="1"/>
  <c r="F17" i="4"/>
  <c r="D17" i="4"/>
  <c r="C17" i="4"/>
  <c r="E17" i="4" s="1"/>
  <c r="F16" i="4"/>
  <c r="D16" i="4"/>
  <c r="C16" i="4"/>
  <c r="E16" i="4" s="1"/>
  <c r="F15" i="4"/>
  <c r="D15" i="4"/>
  <c r="C15" i="4"/>
  <c r="E15" i="4" s="1"/>
  <c r="F14" i="4"/>
  <c r="D14" i="4"/>
  <c r="C14" i="4"/>
  <c r="E14" i="4" s="1"/>
  <c r="F13" i="4"/>
  <c r="D13" i="4"/>
  <c r="C13" i="4"/>
  <c r="E13" i="4" s="1"/>
  <c r="F12" i="4"/>
  <c r="D12" i="4"/>
  <c r="C12" i="4"/>
  <c r="E12" i="4" s="1"/>
  <c r="F11" i="4"/>
  <c r="D11" i="4"/>
  <c r="C11" i="4"/>
  <c r="E11" i="4" s="1"/>
  <c r="F10" i="4"/>
  <c r="D10" i="4"/>
  <c r="C10" i="4"/>
  <c r="E10" i="4" s="1"/>
  <c r="F9" i="4"/>
  <c r="D9" i="4"/>
  <c r="C9" i="4"/>
  <c r="E9" i="4" s="1"/>
  <c r="F8" i="4"/>
  <c r="D8" i="4"/>
  <c r="C8" i="4"/>
  <c r="E8" i="4" s="1"/>
  <c r="F7" i="4"/>
  <c r="D7" i="4"/>
  <c r="C7" i="4"/>
  <c r="E7" i="4" s="1"/>
  <c r="F6" i="4"/>
  <c r="D6" i="4"/>
  <c r="C6" i="4"/>
  <c r="E6" i="4" s="1"/>
  <c r="F5" i="4"/>
  <c r="D5" i="4"/>
  <c r="C5" i="4"/>
  <c r="E5" i="4" s="1"/>
  <c r="F4" i="4"/>
  <c r="D4" i="4"/>
  <c r="C4" i="4"/>
  <c r="E4" i="4" s="1"/>
  <c r="E24" i="2" l="1"/>
  <c r="D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</calcChain>
</file>

<file path=xl/sharedStrings.xml><?xml version="1.0" encoding="utf-8"?>
<sst xmlns="http://schemas.openxmlformats.org/spreadsheetml/2006/main" count="115" uniqueCount="87">
  <si>
    <t>CURSOS DE INFORMÁTICA TECHBY</t>
  </si>
  <si>
    <t>NOME DO ALUNO</t>
  </si>
  <si>
    <t>FILIAL</t>
  </si>
  <si>
    <t>CÓDIGO CURSO</t>
  </si>
  <si>
    <t>NOME CURSO</t>
  </si>
  <si>
    <t>VALOR MENSALIDADE</t>
  </si>
  <si>
    <t>Ana Maria Bernardes</t>
  </si>
  <si>
    <t>Vila Mariana</t>
  </si>
  <si>
    <t>Beatriz Saracena</t>
  </si>
  <si>
    <t>Aclimação</t>
  </si>
  <si>
    <t>Diógenes Duarte Lima</t>
  </si>
  <si>
    <t>Fernando Coriolano</t>
  </si>
  <si>
    <t>Itaim Bibi</t>
  </si>
  <si>
    <t>Maria Carolina Braga</t>
  </si>
  <si>
    <t>Felipe dos Santos</t>
  </si>
  <si>
    <t>Vanderlei Higino</t>
  </si>
  <si>
    <t>Rodrigo Maia</t>
  </si>
  <si>
    <t>Alexandre Garcia Gomes</t>
  </si>
  <si>
    <t>Jussara Medeiros</t>
  </si>
  <si>
    <t>Rogerio Dias</t>
  </si>
  <si>
    <t>Jaciara Yonh</t>
  </si>
  <si>
    <t>Melina Mercurio</t>
  </si>
  <si>
    <t>Sofia Barros Maranhão</t>
  </si>
  <si>
    <t>Vanessa Silva e Souza</t>
  </si>
  <si>
    <t>Luiz André Ferreira</t>
  </si>
  <si>
    <t>Márcia Giuliani</t>
  </si>
  <si>
    <t>Jade Vinilitti</t>
  </si>
  <si>
    <t>Georgina Nythe</t>
  </si>
  <si>
    <t>Barbara Hioli</t>
  </si>
  <si>
    <t>João Paulo Moreira</t>
  </si>
  <si>
    <t>CÓDIGO</t>
  </si>
  <si>
    <t>CURSO</t>
  </si>
  <si>
    <t>MENSALIDADE</t>
  </si>
  <si>
    <t>Internet</t>
  </si>
  <si>
    <t>Word - Básico</t>
  </si>
  <si>
    <t>Word - Avançado</t>
  </si>
  <si>
    <t>Excel - Básico</t>
  </si>
  <si>
    <t>Excel - Avançado</t>
  </si>
  <si>
    <t>Power Point - Básico</t>
  </si>
  <si>
    <t>Power Point - Avançado</t>
  </si>
  <si>
    <t xml:space="preserve">Access </t>
  </si>
  <si>
    <t>Access com VBA</t>
  </si>
  <si>
    <t>BRINQUEDOS &amp; BRINCADEIRAS</t>
  </si>
  <si>
    <t>IR</t>
  </si>
  <si>
    <t>INSS</t>
  </si>
  <si>
    <t>Nome</t>
  </si>
  <si>
    <t>Salário</t>
  </si>
  <si>
    <t>Parcela IR a deduzir</t>
  </si>
  <si>
    <t>IR a pagar</t>
  </si>
  <si>
    <t>INSS a pagar</t>
  </si>
  <si>
    <t>Alíquota</t>
  </si>
  <si>
    <t>Parcela a deduzir</t>
  </si>
  <si>
    <t>Roseli</t>
  </si>
  <si>
    <t>Mariana</t>
  </si>
  <si>
    <t>Geraldo</t>
  </si>
  <si>
    <t>Maria Inês</t>
  </si>
  <si>
    <t>Sabrina</t>
  </si>
  <si>
    <t>Mercia</t>
  </si>
  <si>
    <t>Benedito</t>
  </si>
  <si>
    <t>Henrique</t>
  </si>
  <si>
    <t>Fabia</t>
  </si>
  <si>
    <t>Marina</t>
  </si>
  <si>
    <t>Eunice</t>
  </si>
  <si>
    <t>Vania</t>
  </si>
  <si>
    <t>Leonardo</t>
  </si>
  <si>
    <t>Roberto</t>
  </si>
  <si>
    <t>Felipe</t>
  </si>
  <si>
    <t>Hilda</t>
  </si>
  <si>
    <t>Katarina</t>
  </si>
  <si>
    <t>CLIENTE</t>
  </si>
  <si>
    <t>RENDA MENSAL</t>
  </si>
  <si>
    <t>CLASSIFICAÇÃO</t>
  </si>
  <si>
    <t>VALOR</t>
  </si>
  <si>
    <t>POSIÇÃO</t>
  </si>
  <si>
    <t>Jacira</t>
  </si>
  <si>
    <t>Maior renda</t>
  </si>
  <si>
    <t>Emilene</t>
  </si>
  <si>
    <t>Menor Renda</t>
  </si>
  <si>
    <t>Claudio</t>
  </si>
  <si>
    <t>Eneida</t>
  </si>
  <si>
    <t>Cristina</t>
  </si>
  <si>
    <t>Margarida</t>
  </si>
  <si>
    <t>Rosana</t>
  </si>
  <si>
    <t>D</t>
  </si>
  <si>
    <t>C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</si>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</sst>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0.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231F2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4" fontId="2" fillId="2" borderId="1" xfId="2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44" fontId="0" fillId="0" borderId="1" xfId="2" applyFont="1" applyBorder="1" applyAlignment="1">
      <alignment horizontal="center"/>
    </xf>
    <xf numFmtId="44" fontId="0" fillId="0" borderId="0" xfId="2" applyFont="1"/>
    <xf numFmtId="0" fontId="4" fillId="0" borderId="1" xfId="0" applyFont="1" applyBorder="1" applyAlignment="1">
      <alignment horizontal="center" vertical="center" wrapText="1"/>
    </xf>
    <xf numFmtId="164" fontId="5" fillId="0" borderId="1" xfId="2" applyNumberFormat="1" applyFont="1" applyBorder="1"/>
    <xf numFmtId="43" fontId="0" fillId="0" borderId="0" xfId="1" applyFont="1"/>
    <xf numFmtId="0" fontId="2" fillId="0" borderId="1" xfId="0" applyFont="1" applyBorder="1" applyAlignment="1">
      <alignment horizontal="center" vertical="center" wrapText="1"/>
    </xf>
    <xf numFmtId="43" fontId="2" fillId="0" borderId="1" xfId="1" applyFont="1" applyBorder="1" applyAlignment="1">
      <alignment horizontal="center" vertical="center" wrapText="1"/>
    </xf>
    <xf numFmtId="43" fontId="7" fillId="0" borderId="1" xfId="1" applyFont="1" applyBorder="1" applyAlignment="1">
      <alignment horizontal="center" vertical="center" wrapText="1"/>
    </xf>
    <xf numFmtId="43" fontId="0" fillId="0" borderId="1" xfId="1" applyFont="1" applyBorder="1"/>
    <xf numFmtId="43" fontId="8" fillId="0" borderId="1" xfId="1" applyFont="1" applyBorder="1"/>
    <xf numFmtId="3" fontId="0" fillId="0" borderId="1" xfId="0" applyNumberFormat="1" applyBorder="1" applyAlignment="1">
      <alignment horizontal="center" vertical="top" wrapText="1"/>
    </xf>
    <xf numFmtId="9" fontId="0" fillId="0" borderId="1" xfId="0" applyNumberFormat="1" applyBorder="1" applyAlignment="1">
      <alignment horizontal="center" vertical="top" wrapText="1"/>
    </xf>
    <xf numFmtId="43" fontId="0" fillId="0" borderId="1" xfId="1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4" fontId="0" fillId="0" borderId="1" xfId="0" applyNumberFormat="1" applyBorder="1" applyAlignment="1">
      <alignment horizontal="center" vertical="top" wrapText="1"/>
    </xf>
    <xf numFmtId="165" fontId="0" fillId="0" borderId="1" xfId="0" applyNumberFormat="1" applyBorder="1" applyAlignment="1">
      <alignment horizontal="center" vertical="top" wrapText="1"/>
    </xf>
    <xf numFmtId="10" fontId="0" fillId="0" borderId="1" xfId="0" applyNumberFormat="1" applyBorder="1" applyAlignment="1">
      <alignment horizontal="center" vertical="top" wrapText="1"/>
    </xf>
    <xf numFmtId="0" fontId="0" fillId="0" borderId="0" xfId="0" applyAlignment="1">
      <alignment horizontal="center"/>
    </xf>
    <xf numFmtId="44" fontId="0" fillId="0" borderId="0" xfId="2" applyFont="1" applyAlignment="1">
      <alignment horizontal="center"/>
    </xf>
    <xf numFmtId="0" fontId="0" fillId="0" borderId="0" xfId="0" applyAlignment="1">
      <alignment horizontal="center" vertical="center"/>
    </xf>
    <xf numFmtId="44" fontId="0" fillId="0" borderId="0" xfId="0" applyNumberFormat="1"/>
    <xf numFmtId="0" fontId="9" fillId="0" borderId="0" xfId="0" applyFont="1" applyAlignment="1">
      <alignment vertical="center"/>
    </xf>
    <xf numFmtId="0" fontId="2" fillId="0" borderId="1" xfId="0" applyFont="1" applyBorder="1"/>
    <xf numFmtId="44" fontId="0" fillId="0" borderId="1" xfId="2" applyFont="1" applyBorder="1"/>
    <xf numFmtId="0" fontId="0" fillId="0" borderId="1" xfId="0" applyBorder="1" applyAlignment="1">
      <alignment horizontal="right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43" fontId="2" fillId="3" borderId="1" xfId="1" applyFont="1" applyFill="1" applyBorder="1" applyAlignment="1">
      <alignment horizontal="center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Silvia/Documents/Livro%20Excel%202019/Avan&#231;ado/Excel%202019/Planilhas/RESOLVIDAS/TECHBY.xlsx" TargetMode="External"/><Relationship Id="rId1" Type="http://schemas.openxmlformats.org/officeDocument/2006/relationships/externalLinkPath" Target="/Users/Silvia/Documents/Livro%20Excel%202019/Avan&#231;ado/Excel%202019/Planilhas/RESOLVIDAS/TECHB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Silvia/Documents/Livro%20Excel%202019/Avan&#231;ado/Excel%202019/Planilhas/RESOLVIDAS/CLASSES.xlsx" TargetMode="External"/><Relationship Id="rId1" Type="http://schemas.openxmlformats.org/officeDocument/2006/relationships/externalLinkPath" Target="/Users/Silvia/Documents/Livro%20Excel%202019/Avan&#231;ado/Excel%202019/Planilhas/RESOLVIDAS/CLAS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DASTRO"/>
      <sheetName val="TABELA"/>
      <sheetName val="Plan3"/>
    </sheetNames>
    <sheetDataSet>
      <sheetData sheetId="0"/>
      <sheetData sheetId="1">
        <row r="2">
          <cell r="A2">
            <v>1</v>
          </cell>
          <cell r="B2" t="str">
            <v>Internet</v>
          </cell>
          <cell r="C2">
            <v>150</v>
          </cell>
        </row>
        <row r="3">
          <cell r="A3">
            <v>2</v>
          </cell>
          <cell r="B3" t="str">
            <v>Word - Básico</v>
          </cell>
          <cell r="C3">
            <v>180</v>
          </cell>
        </row>
        <row r="4">
          <cell r="A4">
            <v>3</v>
          </cell>
          <cell r="B4" t="str">
            <v>Word - Avançado</v>
          </cell>
          <cell r="C4">
            <v>270</v>
          </cell>
        </row>
        <row r="5">
          <cell r="A5">
            <v>4</v>
          </cell>
          <cell r="B5" t="str">
            <v>Excel - Básico</v>
          </cell>
          <cell r="C5">
            <v>200</v>
          </cell>
        </row>
        <row r="6">
          <cell r="A6">
            <v>5</v>
          </cell>
          <cell r="B6" t="str">
            <v>Excel - Avançado</v>
          </cell>
          <cell r="C6">
            <v>250</v>
          </cell>
        </row>
        <row r="7">
          <cell r="A7">
            <v>6</v>
          </cell>
          <cell r="B7" t="str">
            <v>Power Point - Básico</v>
          </cell>
          <cell r="C7">
            <v>120</v>
          </cell>
        </row>
        <row r="8">
          <cell r="A8">
            <v>7</v>
          </cell>
          <cell r="B8" t="str">
            <v>Power Point - Avançado</v>
          </cell>
          <cell r="C8">
            <v>170</v>
          </cell>
        </row>
        <row r="9">
          <cell r="A9">
            <v>8</v>
          </cell>
          <cell r="B9" t="str">
            <v xml:space="preserve">Access </v>
          </cell>
          <cell r="C9">
            <v>270</v>
          </cell>
        </row>
        <row r="10">
          <cell r="A10">
            <v>9</v>
          </cell>
          <cell r="B10" t="str">
            <v>Access com VBA</v>
          </cell>
          <cell r="C10">
            <v>320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LIENTES"/>
      <sheetName val="CLASSIFICAÇÃO"/>
      <sheetName val="Plan3"/>
    </sheetNames>
    <sheetDataSet>
      <sheetData sheetId="0"/>
      <sheetData sheetId="1">
        <row r="1">
          <cell r="B1">
            <v>0</v>
          </cell>
          <cell r="C1">
            <v>801</v>
          </cell>
          <cell r="D1">
            <v>2000</v>
          </cell>
          <cell r="E1">
            <v>4000</v>
          </cell>
        </row>
        <row r="2">
          <cell r="B2" t="str">
            <v>D</v>
          </cell>
          <cell r="C2" t="str">
            <v>C</v>
          </cell>
          <cell r="D2" t="str">
            <v>B</v>
          </cell>
          <cell r="E2" t="str">
            <v>A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BF4D4-BBD6-4687-8B2C-715703EF641A}">
  <dimension ref="A1:F24"/>
  <sheetViews>
    <sheetView tabSelected="1" workbookViewId="0">
      <selection activeCell="G13" sqref="G13"/>
    </sheetView>
  </sheetViews>
  <sheetFormatPr defaultRowHeight="15"/>
  <cols>
    <col min="1" max="1" width="24.5703125" customWidth="1"/>
    <col min="2" max="2" width="15.7109375" customWidth="1"/>
    <col min="4" max="4" width="22.85546875" customWidth="1"/>
    <col min="5" max="5" width="14.42578125" style="7" customWidth="1"/>
  </cols>
  <sheetData>
    <row r="1" spans="1:6" ht="23.25">
      <c r="A1" s="31" t="s">
        <v>0</v>
      </c>
      <c r="B1" s="31"/>
      <c r="C1" s="31"/>
      <c r="D1" s="31"/>
      <c r="E1" s="31"/>
    </row>
    <row r="3" spans="1:6" ht="30">
      <c r="A3" s="1" t="s">
        <v>1</v>
      </c>
      <c r="B3" s="1" t="s">
        <v>2</v>
      </c>
      <c r="C3" s="1" t="s">
        <v>3</v>
      </c>
      <c r="D3" s="1" t="s">
        <v>4</v>
      </c>
      <c r="E3" s="2" t="s">
        <v>5</v>
      </c>
      <c r="F3" s="3"/>
    </row>
    <row r="4" spans="1:6">
      <c r="A4" s="4" t="s">
        <v>6</v>
      </c>
      <c r="B4" s="5" t="s">
        <v>7</v>
      </c>
      <c r="C4" s="5">
        <v>2</v>
      </c>
      <c r="D4" s="5" t="str">
        <f>VLOOKUP(C4,[1]TABELA!$A$2:$B$10,2)</f>
        <v>Word - Básico</v>
      </c>
      <c r="E4" s="6">
        <f>VLOOKUP(C4,[1]TABELA!$A$2:$C$10,3)</f>
        <v>180</v>
      </c>
    </row>
    <row r="5" spans="1:6">
      <c r="A5" s="4" t="s">
        <v>8</v>
      </c>
      <c r="B5" s="5" t="s">
        <v>9</v>
      </c>
      <c r="C5" s="5">
        <v>3</v>
      </c>
      <c r="D5" s="5" t="str">
        <f>VLOOKUP(C5,[1]TABELA!$A$2:$B$10,2)</f>
        <v>Word - Avançado</v>
      </c>
      <c r="E5" s="6">
        <f>VLOOKUP(C5,[1]TABELA!$A$2:$C$10,3)</f>
        <v>270</v>
      </c>
    </row>
    <row r="6" spans="1:6">
      <c r="A6" s="4" t="s">
        <v>10</v>
      </c>
      <c r="B6" s="5" t="s">
        <v>7</v>
      </c>
      <c r="C6" s="5">
        <v>2</v>
      </c>
      <c r="D6" s="5" t="str">
        <f>VLOOKUP(C6,[1]TABELA!$A$2:$B$10,2)</f>
        <v>Word - Básico</v>
      </c>
      <c r="E6" s="6">
        <f>VLOOKUP(C6,[1]TABELA!$A$2:$C$10,3)</f>
        <v>180</v>
      </c>
    </row>
    <row r="7" spans="1:6">
      <c r="A7" s="4" t="s">
        <v>11</v>
      </c>
      <c r="B7" s="5" t="s">
        <v>12</v>
      </c>
      <c r="C7" s="5">
        <v>3</v>
      </c>
      <c r="D7" s="5" t="str">
        <f>VLOOKUP(C7,[1]TABELA!$A$2:$B$10,2)</f>
        <v>Word - Avançado</v>
      </c>
      <c r="E7" s="6">
        <f>VLOOKUP(C7,[1]TABELA!$A$2:$C$10,3)</f>
        <v>270</v>
      </c>
    </row>
    <row r="8" spans="1:6">
      <c r="A8" s="4" t="s">
        <v>13</v>
      </c>
      <c r="B8" s="5" t="s">
        <v>12</v>
      </c>
      <c r="C8" s="5">
        <v>1</v>
      </c>
      <c r="D8" s="5" t="str">
        <f>VLOOKUP(C8,[1]TABELA!$A$2:$B$10,2)</f>
        <v>Internet</v>
      </c>
      <c r="E8" s="6">
        <f>VLOOKUP(C8,[1]TABELA!$A$2:$C$10,3)</f>
        <v>150</v>
      </c>
    </row>
    <row r="9" spans="1:6">
      <c r="A9" s="4" t="s">
        <v>14</v>
      </c>
      <c r="B9" s="5" t="s">
        <v>9</v>
      </c>
      <c r="C9" s="5">
        <v>4</v>
      </c>
      <c r="D9" s="5" t="str">
        <f>VLOOKUP(C9,[1]TABELA!$A$2:$B$10,2)</f>
        <v>Excel - Básico</v>
      </c>
      <c r="E9" s="6">
        <f>VLOOKUP(C9,[1]TABELA!$A$2:$C$10,3)</f>
        <v>200</v>
      </c>
    </row>
    <row r="10" spans="1:6">
      <c r="A10" s="4" t="s">
        <v>15</v>
      </c>
      <c r="B10" s="5" t="s">
        <v>9</v>
      </c>
      <c r="C10" s="5">
        <v>1</v>
      </c>
      <c r="D10" s="5" t="str">
        <f>VLOOKUP(C10,[1]TABELA!$A$2:$B$10,2)</f>
        <v>Internet</v>
      </c>
      <c r="E10" s="6">
        <f>VLOOKUP(C10,[1]TABELA!$A$2:$C$10,3)</f>
        <v>150</v>
      </c>
    </row>
    <row r="11" spans="1:6">
      <c r="A11" s="4" t="s">
        <v>16</v>
      </c>
      <c r="B11" s="5" t="s">
        <v>9</v>
      </c>
      <c r="C11" s="5">
        <v>4</v>
      </c>
      <c r="D11" s="5" t="str">
        <f>VLOOKUP(C11,[1]TABELA!$A$2:$B$10,2)</f>
        <v>Excel - Básico</v>
      </c>
      <c r="E11" s="6">
        <f>VLOOKUP(C11,[1]TABELA!$A$2:$C$10,3)</f>
        <v>200</v>
      </c>
    </row>
    <row r="12" spans="1:6">
      <c r="A12" s="4" t="s">
        <v>17</v>
      </c>
      <c r="B12" s="5" t="s">
        <v>7</v>
      </c>
      <c r="C12" s="5">
        <v>6</v>
      </c>
      <c r="D12" s="5" t="str">
        <f>VLOOKUP(C12,[1]TABELA!$A$2:$B$10,2)</f>
        <v>Power Point - Básico</v>
      </c>
      <c r="E12" s="6">
        <f>VLOOKUP(C12,[1]TABELA!$A$2:$C$10,3)</f>
        <v>120</v>
      </c>
    </row>
    <row r="13" spans="1:6">
      <c r="A13" s="4" t="s">
        <v>18</v>
      </c>
      <c r="B13" s="5" t="s">
        <v>12</v>
      </c>
      <c r="C13" s="5">
        <v>6</v>
      </c>
      <c r="D13" s="5" t="str">
        <f>VLOOKUP(C13,[1]TABELA!$A$2:$B$10,2)</f>
        <v>Power Point - Básico</v>
      </c>
      <c r="E13" s="6">
        <f>VLOOKUP(C13,[1]TABELA!$A$2:$C$10,3)</f>
        <v>120</v>
      </c>
    </row>
    <row r="14" spans="1:6">
      <c r="A14" s="4" t="s">
        <v>19</v>
      </c>
      <c r="B14" s="5" t="s">
        <v>12</v>
      </c>
      <c r="C14" s="5">
        <v>3</v>
      </c>
      <c r="D14" s="5" t="str">
        <f>VLOOKUP(C14,[1]TABELA!$A$2:$B$10,2)</f>
        <v>Word - Avançado</v>
      </c>
      <c r="E14" s="6">
        <f>VLOOKUP(C14,[1]TABELA!$A$2:$C$10,3)</f>
        <v>270</v>
      </c>
    </row>
    <row r="15" spans="1:6">
      <c r="A15" s="4" t="s">
        <v>20</v>
      </c>
      <c r="B15" s="5" t="s">
        <v>12</v>
      </c>
      <c r="C15" s="5">
        <v>8</v>
      </c>
      <c r="D15" s="5" t="str">
        <f>VLOOKUP(C15,[1]TABELA!$A$2:$B$10,2)</f>
        <v xml:space="preserve">Access </v>
      </c>
      <c r="E15" s="6">
        <f>VLOOKUP(C15,[1]TABELA!$A$2:$C$10,3)</f>
        <v>270</v>
      </c>
    </row>
    <row r="16" spans="1:6">
      <c r="A16" s="4" t="s">
        <v>21</v>
      </c>
      <c r="B16" s="5" t="s">
        <v>12</v>
      </c>
      <c r="C16" s="5">
        <v>6</v>
      </c>
      <c r="D16" s="5" t="str">
        <f>VLOOKUP(C16,[1]TABELA!$A$2:$B$10,2)</f>
        <v>Power Point - Básico</v>
      </c>
      <c r="E16" s="6">
        <f>VLOOKUP(C16,[1]TABELA!$A$2:$C$10,3)</f>
        <v>120</v>
      </c>
    </row>
    <row r="17" spans="1:5">
      <c r="A17" s="4" t="s">
        <v>22</v>
      </c>
      <c r="B17" s="5" t="s">
        <v>9</v>
      </c>
      <c r="C17" s="5">
        <v>2</v>
      </c>
      <c r="D17" s="5" t="str">
        <f>VLOOKUP(C17,[1]TABELA!$A$2:$B$10,2)</f>
        <v>Word - Básico</v>
      </c>
      <c r="E17" s="6">
        <f>VLOOKUP(C17,[1]TABELA!$A$2:$C$10,3)</f>
        <v>180</v>
      </c>
    </row>
    <row r="18" spans="1:5">
      <c r="A18" s="4" t="s">
        <v>23</v>
      </c>
      <c r="B18" s="5" t="s">
        <v>9</v>
      </c>
      <c r="C18" s="5">
        <v>3</v>
      </c>
      <c r="D18" s="5" t="str">
        <f>VLOOKUP(C18,[1]TABELA!$A$2:$B$10,2)</f>
        <v>Word - Avançado</v>
      </c>
      <c r="E18" s="6">
        <f>VLOOKUP(C18,[1]TABELA!$A$2:$C$10,3)</f>
        <v>270</v>
      </c>
    </row>
    <row r="19" spans="1:5">
      <c r="A19" s="4" t="s">
        <v>24</v>
      </c>
      <c r="B19" s="5" t="s">
        <v>7</v>
      </c>
      <c r="C19" s="5">
        <v>4</v>
      </c>
      <c r="D19" s="5" t="str">
        <f>VLOOKUP(C19,[1]TABELA!$A$2:$B$10,2)</f>
        <v>Excel - Básico</v>
      </c>
      <c r="E19" s="6">
        <f>VLOOKUP(C19,[1]TABELA!$A$2:$C$10,3)</f>
        <v>200</v>
      </c>
    </row>
    <row r="20" spans="1:5">
      <c r="A20" s="4" t="s">
        <v>25</v>
      </c>
      <c r="B20" s="5" t="s">
        <v>9</v>
      </c>
      <c r="C20" s="5">
        <v>9</v>
      </c>
      <c r="D20" s="5" t="str">
        <f>VLOOKUP(C20,[1]TABELA!$A$2:$B$10,2)</f>
        <v>Access com VBA</v>
      </c>
      <c r="E20" s="6">
        <f>VLOOKUP(C20,[1]TABELA!$A$2:$C$10,3)</f>
        <v>320</v>
      </c>
    </row>
    <row r="21" spans="1:5">
      <c r="A21" s="4" t="s">
        <v>26</v>
      </c>
      <c r="B21" s="5" t="s">
        <v>9</v>
      </c>
      <c r="C21" s="5">
        <v>1</v>
      </c>
      <c r="D21" s="5" t="str">
        <f>VLOOKUP(C21,[1]TABELA!$A$2:$B$10,2)</f>
        <v>Internet</v>
      </c>
      <c r="E21" s="6">
        <f>VLOOKUP(C21,[1]TABELA!$A$2:$C$10,3)</f>
        <v>150</v>
      </c>
    </row>
    <row r="22" spans="1:5">
      <c r="A22" s="4" t="s">
        <v>27</v>
      </c>
      <c r="B22" s="5" t="s">
        <v>7</v>
      </c>
      <c r="C22" s="5">
        <v>8</v>
      </c>
      <c r="D22" s="5" t="str">
        <f>VLOOKUP(C22,[1]TABELA!$A$2:$B$10,2)</f>
        <v xml:space="preserve">Access </v>
      </c>
      <c r="E22" s="6">
        <f>VLOOKUP(C22,[1]TABELA!$A$2:$C$10,3)</f>
        <v>270</v>
      </c>
    </row>
    <row r="23" spans="1:5">
      <c r="A23" s="4" t="s">
        <v>28</v>
      </c>
      <c r="B23" s="5" t="s">
        <v>9</v>
      </c>
      <c r="C23" s="5">
        <v>5</v>
      </c>
      <c r="D23" s="5" t="str">
        <f>VLOOKUP(C23,[1]TABELA!$A$2:$B$10,2)</f>
        <v>Excel - Avançado</v>
      </c>
      <c r="E23" s="6">
        <f>VLOOKUP(C23,[1]TABELA!$A$2:$C$10,3)</f>
        <v>250</v>
      </c>
    </row>
    <row r="24" spans="1:5">
      <c r="A24" s="4" t="s">
        <v>29</v>
      </c>
      <c r="B24" s="5" t="s">
        <v>9</v>
      </c>
      <c r="C24" s="5">
        <v>7</v>
      </c>
      <c r="D24" s="5" t="str">
        <f>VLOOKUP(C24,[1]TABELA!$A$2:$B$10,2)</f>
        <v>Power Point - Avançado</v>
      </c>
      <c r="E24" s="6">
        <f>VLOOKUP(C24,[1]TABELA!$A$2:$C$10,3)</f>
        <v>170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3F01B-86F5-4D74-8E6D-224C4ACC557C}">
  <dimension ref="A1:C10"/>
  <sheetViews>
    <sheetView workbookViewId="0">
      <selection activeCell="C11" sqref="C11"/>
    </sheetView>
  </sheetViews>
  <sheetFormatPr defaultRowHeight="15"/>
  <cols>
    <col min="1" max="1" width="11" customWidth="1"/>
    <col min="2" max="2" width="24.140625" customWidth="1"/>
    <col min="3" max="3" width="21" customWidth="1"/>
  </cols>
  <sheetData>
    <row r="1" spans="1:3">
      <c r="A1" s="8" t="s">
        <v>30</v>
      </c>
      <c r="B1" s="8" t="s">
        <v>31</v>
      </c>
      <c r="C1" s="8" t="s">
        <v>32</v>
      </c>
    </row>
    <row r="2" spans="1:3">
      <c r="A2" s="4">
        <v>1</v>
      </c>
      <c r="B2" s="4" t="s">
        <v>33</v>
      </c>
      <c r="C2" s="9">
        <v>150</v>
      </c>
    </row>
    <row r="3" spans="1:3">
      <c r="A3" s="4">
        <v>2</v>
      </c>
      <c r="B3" s="4" t="s">
        <v>34</v>
      </c>
      <c r="C3" s="9">
        <v>180</v>
      </c>
    </row>
    <row r="4" spans="1:3">
      <c r="A4" s="4">
        <v>3</v>
      </c>
      <c r="B4" s="4" t="s">
        <v>35</v>
      </c>
      <c r="C4" s="9">
        <v>270</v>
      </c>
    </row>
    <row r="5" spans="1:3">
      <c r="A5" s="4">
        <v>4</v>
      </c>
      <c r="B5" s="4" t="s">
        <v>36</v>
      </c>
      <c r="C5" s="9">
        <v>200</v>
      </c>
    </row>
    <row r="6" spans="1:3">
      <c r="A6" s="4">
        <v>5</v>
      </c>
      <c r="B6" s="4" t="s">
        <v>37</v>
      </c>
      <c r="C6" s="9">
        <v>250</v>
      </c>
    </row>
    <row r="7" spans="1:3">
      <c r="A7" s="4">
        <v>6</v>
      </c>
      <c r="B7" s="4" t="s">
        <v>38</v>
      </c>
      <c r="C7" s="9">
        <v>120</v>
      </c>
    </row>
    <row r="8" spans="1:3">
      <c r="A8" s="4">
        <v>7</v>
      </c>
      <c r="B8" s="4" t="s">
        <v>39</v>
      </c>
      <c r="C8" s="9">
        <v>170</v>
      </c>
    </row>
    <row r="9" spans="1:3">
      <c r="A9" s="4">
        <v>8</v>
      </c>
      <c r="B9" s="4" t="s">
        <v>40</v>
      </c>
      <c r="C9" s="9">
        <v>270</v>
      </c>
    </row>
    <row r="10" spans="1:3">
      <c r="A10" s="4">
        <v>9</v>
      </c>
      <c r="B10" s="4" t="s">
        <v>41</v>
      </c>
      <c r="C10" s="9">
        <v>320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B5378-AFCE-402D-B3CC-AAF2DE428857}">
  <dimension ref="A1:N20"/>
  <sheetViews>
    <sheetView workbookViewId="0">
      <selection activeCell="H20" sqref="H20"/>
    </sheetView>
  </sheetViews>
  <sheetFormatPr defaultRowHeight="15"/>
  <cols>
    <col min="1" max="1" width="10.85546875" bestFit="1" customWidth="1"/>
    <col min="2" max="2" width="9.5703125" style="10" bestFit="1" customWidth="1"/>
    <col min="3" max="3" width="12.7109375" style="10" customWidth="1"/>
    <col min="4" max="4" width="11" style="10" bestFit="1" customWidth="1"/>
    <col min="5" max="5" width="11" style="10" customWidth="1"/>
    <col min="6" max="6" width="10.85546875" style="10" customWidth="1"/>
  </cols>
  <sheetData>
    <row r="1" spans="1:14" ht="26.25">
      <c r="A1" s="32" t="s">
        <v>42</v>
      </c>
      <c r="B1" s="32"/>
      <c r="C1" s="32"/>
      <c r="D1" s="32"/>
      <c r="E1" s="32"/>
      <c r="F1" s="32"/>
    </row>
    <row r="2" spans="1:14">
      <c r="I2" s="33" t="s">
        <v>43</v>
      </c>
      <c r="J2" s="33"/>
      <c r="K2" s="33"/>
      <c r="M2" s="34" t="s">
        <v>44</v>
      </c>
      <c r="N2" s="34"/>
    </row>
    <row r="3" spans="1:14" ht="30">
      <c r="A3" s="11" t="s">
        <v>45</v>
      </c>
      <c r="B3" s="12" t="s">
        <v>46</v>
      </c>
      <c r="C3" s="12" t="s">
        <v>43</v>
      </c>
      <c r="D3" s="12" t="s">
        <v>47</v>
      </c>
      <c r="E3" s="13" t="s">
        <v>48</v>
      </c>
      <c r="F3" s="13" t="s">
        <v>49</v>
      </c>
      <c r="I3" s="11" t="s">
        <v>46</v>
      </c>
      <c r="J3" s="11" t="s">
        <v>50</v>
      </c>
      <c r="K3" s="11" t="s">
        <v>51</v>
      </c>
      <c r="M3" s="11" t="s">
        <v>46</v>
      </c>
      <c r="N3" s="11" t="s">
        <v>50</v>
      </c>
    </row>
    <row r="4" spans="1:14">
      <c r="A4" s="4" t="s">
        <v>52</v>
      </c>
      <c r="B4" s="14">
        <v>1200</v>
      </c>
      <c r="C4" s="14">
        <f>VLOOKUP(B4,$I$4:$J$8,2)*B4</f>
        <v>0</v>
      </c>
      <c r="D4" s="14">
        <f>VLOOKUP(B4,$I$4:$K$8,3)</f>
        <v>0</v>
      </c>
      <c r="E4" s="15">
        <f>C4-D4</f>
        <v>0</v>
      </c>
      <c r="F4" s="15">
        <f>IF(B4&gt;5645.8,624.04,VLOOKUP(B4,$M$4:$N$6,2)*B4)</f>
        <v>96</v>
      </c>
      <c r="I4" s="16">
        <v>0</v>
      </c>
      <c r="J4" s="17">
        <v>0</v>
      </c>
      <c r="K4" s="18">
        <v>0</v>
      </c>
      <c r="M4" s="19">
        <v>0</v>
      </c>
      <c r="N4" s="17">
        <v>0.08</v>
      </c>
    </row>
    <row r="5" spans="1:14">
      <c r="A5" s="4" t="s">
        <v>53</v>
      </c>
      <c r="B5" s="14">
        <v>780</v>
      </c>
      <c r="C5" s="14">
        <f t="shared" ref="C5:C20" si="0">VLOOKUP(B5,$I$4:$J$8,2)*B5</f>
        <v>0</v>
      </c>
      <c r="D5" s="14">
        <f t="shared" ref="D5:D20" si="1">VLOOKUP(B5,$I$4:$K$8,3)</f>
        <v>0</v>
      </c>
      <c r="E5" s="15">
        <f t="shared" ref="E5:E20" si="2">C5-D5</f>
        <v>0</v>
      </c>
      <c r="F5" s="15">
        <f t="shared" ref="F5:F20" si="3">IF(B5&gt;5645.8,624.04,VLOOKUP(B5,$M$4:$N$6,2)*B5)</f>
        <v>62.4</v>
      </c>
      <c r="I5" s="20">
        <v>1903.99</v>
      </c>
      <c r="J5" s="21">
        <v>7.4999999999999997E-2</v>
      </c>
      <c r="K5" s="18">
        <v>142.80000000000001</v>
      </c>
      <c r="M5" s="20">
        <v>1693.73</v>
      </c>
      <c r="N5" s="17">
        <v>0.09</v>
      </c>
    </row>
    <row r="6" spans="1:14">
      <c r="A6" s="4" t="s">
        <v>54</v>
      </c>
      <c r="B6" s="14">
        <v>1378</v>
      </c>
      <c r="C6" s="14">
        <f t="shared" si="0"/>
        <v>0</v>
      </c>
      <c r="D6" s="14">
        <f t="shared" si="1"/>
        <v>0</v>
      </c>
      <c r="E6" s="15">
        <f t="shared" si="2"/>
        <v>0</v>
      </c>
      <c r="F6" s="15">
        <f t="shared" si="3"/>
        <v>110.24000000000001</v>
      </c>
      <c r="I6" s="20">
        <v>2826.66</v>
      </c>
      <c r="J6" s="22">
        <v>0.15</v>
      </c>
      <c r="K6" s="18">
        <v>354.8</v>
      </c>
      <c r="M6" s="20">
        <v>2822.91</v>
      </c>
      <c r="N6" s="17">
        <v>0.11</v>
      </c>
    </row>
    <row r="7" spans="1:14">
      <c r="A7" s="4" t="s">
        <v>55</v>
      </c>
      <c r="B7" s="14">
        <v>1780</v>
      </c>
      <c r="C7" s="14">
        <f t="shared" si="0"/>
        <v>0</v>
      </c>
      <c r="D7" s="14">
        <f t="shared" si="1"/>
        <v>0</v>
      </c>
      <c r="E7" s="15">
        <f t="shared" si="2"/>
        <v>0</v>
      </c>
      <c r="F7" s="15">
        <f t="shared" si="3"/>
        <v>160.19999999999999</v>
      </c>
      <c r="I7" s="20">
        <v>3751.06</v>
      </c>
      <c r="J7" s="22">
        <v>0.22500000000000001</v>
      </c>
      <c r="K7" s="18">
        <v>636.13</v>
      </c>
    </row>
    <row r="8" spans="1:14">
      <c r="A8" s="4" t="s">
        <v>56</v>
      </c>
      <c r="B8" s="14">
        <v>1467</v>
      </c>
      <c r="C8" s="14">
        <f t="shared" si="0"/>
        <v>0</v>
      </c>
      <c r="D8" s="14">
        <f t="shared" si="1"/>
        <v>0</v>
      </c>
      <c r="E8" s="15">
        <f t="shared" si="2"/>
        <v>0</v>
      </c>
      <c r="F8" s="15">
        <f t="shared" si="3"/>
        <v>117.36</v>
      </c>
      <c r="I8" s="20">
        <v>4664.68</v>
      </c>
      <c r="J8" s="22">
        <v>0.27500000000000002</v>
      </c>
      <c r="K8" s="18">
        <v>869.36</v>
      </c>
    </row>
    <row r="9" spans="1:14">
      <c r="A9" s="4" t="s">
        <v>57</v>
      </c>
      <c r="B9" s="14">
        <v>2800</v>
      </c>
      <c r="C9" s="14">
        <f t="shared" si="0"/>
        <v>210</v>
      </c>
      <c r="D9" s="14">
        <f t="shared" si="1"/>
        <v>142.80000000000001</v>
      </c>
      <c r="E9" s="15">
        <f t="shared" si="2"/>
        <v>67.199999999999989</v>
      </c>
      <c r="F9" s="15">
        <f t="shared" si="3"/>
        <v>252</v>
      </c>
    </row>
    <row r="10" spans="1:14">
      <c r="A10" s="4" t="s">
        <v>58</v>
      </c>
      <c r="B10" s="14">
        <v>560</v>
      </c>
      <c r="C10" s="14">
        <f t="shared" si="0"/>
        <v>0</v>
      </c>
      <c r="D10" s="14">
        <f t="shared" si="1"/>
        <v>0</v>
      </c>
      <c r="E10" s="15">
        <f t="shared" si="2"/>
        <v>0</v>
      </c>
      <c r="F10" s="15">
        <f t="shared" si="3"/>
        <v>44.800000000000004</v>
      </c>
    </row>
    <row r="11" spans="1:14">
      <c r="A11" s="4" t="s">
        <v>59</v>
      </c>
      <c r="B11" s="14">
        <v>4300</v>
      </c>
      <c r="C11" s="14">
        <f t="shared" si="0"/>
        <v>967.5</v>
      </c>
      <c r="D11" s="14">
        <f t="shared" si="1"/>
        <v>636.13</v>
      </c>
      <c r="E11" s="15">
        <f t="shared" si="2"/>
        <v>331.37</v>
      </c>
      <c r="F11" s="15">
        <f t="shared" si="3"/>
        <v>473</v>
      </c>
    </row>
    <row r="12" spans="1:14">
      <c r="A12" s="4" t="s">
        <v>60</v>
      </c>
      <c r="B12" s="14">
        <v>2789</v>
      </c>
      <c r="C12" s="14">
        <f t="shared" si="0"/>
        <v>209.17499999999998</v>
      </c>
      <c r="D12" s="14">
        <f t="shared" si="1"/>
        <v>142.80000000000001</v>
      </c>
      <c r="E12" s="15">
        <f t="shared" si="2"/>
        <v>66.374999999999972</v>
      </c>
      <c r="F12" s="15">
        <f t="shared" si="3"/>
        <v>251.01</v>
      </c>
    </row>
    <row r="13" spans="1:14">
      <c r="A13" s="4" t="s">
        <v>61</v>
      </c>
      <c r="B13" s="14">
        <v>2250</v>
      </c>
      <c r="C13" s="14">
        <f t="shared" si="0"/>
        <v>168.75</v>
      </c>
      <c r="D13" s="14">
        <f t="shared" si="1"/>
        <v>142.80000000000001</v>
      </c>
      <c r="E13" s="15">
        <f t="shared" si="2"/>
        <v>25.949999999999989</v>
      </c>
      <c r="F13" s="15">
        <f t="shared" si="3"/>
        <v>202.5</v>
      </c>
    </row>
    <row r="14" spans="1:14">
      <c r="A14" s="4" t="s">
        <v>62</v>
      </c>
      <c r="B14" s="14">
        <v>1289</v>
      </c>
      <c r="C14" s="14">
        <f t="shared" si="0"/>
        <v>0</v>
      </c>
      <c r="D14" s="14">
        <f t="shared" si="1"/>
        <v>0</v>
      </c>
      <c r="E14" s="15">
        <f t="shared" si="2"/>
        <v>0</v>
      </c>
      <c r="F14" s="15">
        <f t="shared" si="3"/>
        <v>103.12</v>
      </c>
    </row>
    <row r="15" spans="1:14">
      <c r="A15" s="4" t="s">
        <v>63</v>
      </c>
      <c r="B15" s="14">
        <v>3400</v>
      </c>
      <c r="C15" s="14">
        <f t="shared" si="0"/>
        <v>510</v>
      </c>
      <c r="D15" s="14">
        <f t="shared" si="1"/>
        <v>354.8</v>
      </c>
      <c r="E15" s="15">
        <f t="shared" si="2"/>
        <v>155.19999999999999</v>
      </c>
      <c r="F15" s="15">
        <f t="shared" si="3"/>
        <v>374</v>
      </c>
    </row>
    <row r="16" spans="1:14">
      <c r="A16" s="4" t="s">
        <v>64</v>
      </c>
      <c r="B16" s="14">
        <v>3700</v>
      </c>
      <c r="C16" s="14">
        <f t="shared" si="0"/>
        <v>555</v>
      </c>
      <c r="D16" s="14">
        <f t="shared" si="1"/>
        <v>354.8</v>
      </c>
      <c r="E16" s="15">
        <f t="shared" si="2"/>
        <v>200.2</v>
      </c>
      <c r="F16" s="15">
        <f t="shared" si="3"/>
        <v>407</v>
      </c>
    </row>
    <row r="17" spans="1:6">
      <c r="A17" s="4" t="s">
        <v>65</v>
      </c>
      <c r="B17" s="14">
        <v>6600</v>
      </c>
      <c r="C17" s="14">
        <f t="shared" si="0"/>
        <v>1815.0000000000002</v>
      </c>
      <c r="D17" s="14">
        <f t="shared" si="1"/>
        <v>869.36</v>
      </c>
      <c r="E17" s="15">
        <f t="shared" si="2"/>
        <v>945.64000000000021</v>
      </c>
      <c r="F17" s="15">
        <f t="shared" si="3"/>
        <v>624.04</v>
      </c>
    </row>
    <row r="18" spans="1:6">
      <c r="A18" s="4" t="s">
        <v>66</v>
      </c>
      <c r="B18" s="14">
        <v>2890</v>
      </c>
      <c r="C18" s="14">
        <f t="shared" si="0"/>
        <v>433.5</v>
      </c>
      <c r="D18" s="14">
        <f t="shared" si="1"/>
        <v>354.8</v>
      </c>
      <c r="E18" s="15">
        <f t="shared" si="2"/>
        <v>78.699999999999989</v>
      </c>
      <c r="F18" s="15">
        <f t="shared" si="3"/>
        <v>317.89999999999998</v>
      </c>
    </row>
    <row r="19" spans="1:6">
      <c r="A19" s="4" t="s">
        <v>67</v>
      </c>
      <c r="B19" s="14">
        <v>3200</v>
      </c>
      <c r="C19" s="14">
        <f t="shared" si="0"/>
        <v>480</v>
      </c>
      <c r="D19" s="14">
        <f t="shared" si="1"/>
        <v>354.8</v>
      </c>
      <c r="E19" s="15">
        <f t="shared" si="2"/>
        <v>125.19999999999999</v>
      </c>
      <c r="F19" s="15">
        <f t="shared" si="3"/>
        <v>352</v>
      </c>
    </row>
    <row r="20" spans="1:6">
      <c r="A20" s="4" t="s">
        <v>68</v>
      </c>
      <c r="B20" s="14">
        <v>1050</v>
      </c>
      <c r="C20" s="14">
        <f t="shared" si="0"/>
        <v>0</v>
      </c>
      <c r="D20" s="14">
        <f t="shared" si="1"/>
        <v>0</v>
      </c>
      <c r="E20" s="15">
        <f t="shared" si="2"/>
        <v>0</v>
      </c>
      <c r="F20" s="15">
        <f t="shared" si="3"/>
        <v>84</v>
      </c>
    </row>
  </sheetData>
  <mergeCells count="3">
    <mergeCell ref="A1:F1"/>
    <mergeCell ref="I2:K2"/>
    <mergeCell ref="M2:N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1AB0F-3FFF-40DD-9A99-7875D6C7E8B6}">
  <dimension ref="A1:H10"/>
  <sheetViews>
    <sheetView workbookViewId="0">
      <selection activeCell="H4" sqref="H4"/>
    </sheetView>
  </sheetViews>
  <sheetFormatPr defaultRowHeight="15"/>
  <cols>
    <col min="1" max="1" width="20.28515625" customWidth="1"/>
    <col min="2" max="2" width="16.5703125" style="7" customWidth="1"/>
    <col min="3" max="3" width="15.7109375" style="23" customWidth="1"/>
    <col min="5" max="5" width="15" customWidth="1"/>
    <col min="6" max="6" width="12.140625" bestFit="1" customWidth="1"/>
  </cols>
  <sheetData>
    <row r="1" spans="1:8">
      <c r="A1" s="23" t="s">
        <v>69</v>
      </c>
      <c r="B1" s="24" t="s">
        <v>70</v>
      </c>
      <c r="C1" s="23" t="s">
        <v>71</v>
      </c>
      <c r="E1" t="s">
        <v>70</v>
      </c>
      <c r="F1" t="s">
        <v>72</v>
      </c>
      <c r="G1" t="s">
        <v>73</v>
      </c>
      <c r="H1" t="s">
        <v>69</v>
      </c>
    </row>
    <row r="2" spans="1:8">
      <c r="A2" t="s">
        <v>74</v>
      </c>
      <c r="B2" s="7">
        <v>3500</v>
      </c>
      <c r="C2" s="25" t="str">
        <f>HLOOKUP(B2,[2]CLASSIFICAÇÃO!$B$1:$E$2,2)</f>
        <v>B</v>
      </c>
      <c r="E2" t="s">
        <v>75</v>
      </c>
      <c r="F2" s="26">
        <f>MAX(B2:B10)</f>
        <v>4500</v>
      </c>
      <c r="G2" s="27">
        <f>MATCH(F2,B2:B10,0)</f>
        <v>3</v>
      </c>
      <c r="H2" t="str">
        <f>INDEX(A2:A10,G2)</f>
        <v>Claudio</v>
      </c>
    </row>
    <row r="3" spans="1:8">
      <c r="A3" t="s">
        <v>76</v>
      </c>
      <c r="B3" s="7">
        <v>1200</v>
      </c>
      <c r="C3" s="25" t="str">
        <f>HLOOKUP(B3,[2]CLASSIFICAÇÃO!$B$1:$E$2,2)</f>
        <v>C</v>
      </c>
      <c r="E3" t="s">
        <v>77</v>
      </c>
      <c r="F3" s="26">
        <f>MIN(B2:B10)</f>
        <v>750</v>
      </c>
      <c r="G3" s="27">
        <f>MATCH(F3,B2:B10,0)</f>
        <v>4</v>
      </c>
      <c r="H3" t="str">
        <f>INDEX(A2:A10,G3)</f>
        <v>Eneida</v>
      </c>
    </row>
    <row r="4" spans="1:8">
      <c r="A4" t="s">
        <v>78</v>
      </c>
      <c r="B4" s="7">
        <v>4500</v>
      </c>
      <c r="C4" s="25" t="str">
        <f>HLOOKUP(B4,[2]CLASSIFICAÇÃO!$B$1:$E$2,2)</f>
        <v>A</v>
      </c>
    </row>
    <row r="5" spans="1:8">
      <c r="A5" t="s">
        <v>79</v>
      </c>
      <c r="B5" s="7">
        <v>750</v>
      </c>
      <c r="C5" s="25" t="str">
        <f>HLOOKUP(B5,[2]CLASSIFICAÇÃO!$B$1:$E$2,2)</f>
        <v>D</v>
      </c>
    </row>
    <row r="6" spans="1:8">
      <c r="A6" t="s">
        <v>80</v>
      </c>
      <c r="B6" s="7">
        <v>1300</v>
      </c>
      <c r="C6" s="25" t="str">
        <f>HLOOKUP(B6,[2]CLASSIFICAÇÃO!$B$1:$E$2,2)</f>
        <v>C</v>
      </c>
    </row>
    <row r="7" spans="1:8">
      <c r="A7" t="s">
        <v>52</v>
      </c>
      <c r="B7" s="7">
        <v>3000</v>
      </c>
      <c r="C7" s="25" t="str">
        <f>HLOOKUP(B7,[2]CLASSIFICAÇÃO!$B$1:$E$2,2)</f>
        <v>B</v>
      </c>
    </row>
    <row r="8" spans="1:8">
      <c r="A8" t="s">
        <v>81</v>
      </c>
      <c r="B8" s="7">
        <v>1800</v>
      </c>
      <c r="C8" s="25" t="str">
        <f>HLOOKUP(B8,[2]CLASSIFICAÇÃO!$B$1:$E$2,2)</f>
        <v>C</v>
      </c>
    </row>
    <row r="9" spans="1:8">
      <c r="A9" t="s">
        <v>82</v>
      </c>
      <c r="B9" s="7">
        <v>2600</v>
      </c>
      <c r="C9" s="25" t="str">
        <f>HLOOKUP(B9,[2]CLASSIFICAÇÃO!$B$1:$E$2,2)</f>
        <v>B</v>
      </c>
    </row>
    <row r="10" spans="1:8">
      <c r="A10" t="s">
        <v>67</v>
      </c>
      <c r="B10" s="7">
        <v>3500</v>
      </c>
      <c r="C10" s="25" t="str">
        <f>HLOOKUP(B10,[2]CLASSIFICAÇÃO!$B$1:$E$2,2)</f>
        <v>B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100E4-425A-4095-9B44-52712C24E3A8}">
  <dimension ref="A1:E2"/>
  <sheetViews>
    <sheetView workbookViewId="0">
      <selection activeCell="H4" sqref="H4"/>
    </sheetView>
  </sheetViews>
  <sheetFormatPr defaultRowHeight="15"/>
  <cols>
    <col min="1" max="1" width="15.140625" bestFit="1" customWidth="1"/>
    <col min="2" max="2" width="9.28515625" bestFit="1" customWidth="1"/>
    <col min="3" max="3" width="10.5703125" bestFit="1" customWidth="1"/>
    <col min="4" max="5" width="12.140625" bestFit="1" customWidth="1"/>
  </cols>
  <sheetData>
    <row r="1" spans="1:5">
      <c r="A1" s="28" t="s">
        <v>70</v>
      </c>
      <c r="B1" s="29">
        <v>0</v>
      </c>
      <c r="C1" s="29">
        <v>801</v>
      </c>
      <c r="D1" s="29">
        <v>2000</v>
      </c>
      <c r="E1" s="29">
        <v>4000</v>
      </c>
    </row>
    <row r="2" spans="1:5">
      <c r="A2" s="28" t="s">
        <v>71</v>
      </c>
      <c r="B2" s="30" t="s">
        <v>83</v>
      </c>
      <c r="C2" s="30" t="s">
        <v>84</v>
      </c>
      <c r="D2" s="30" t="s">
        <v>85</v>
      </c>
      <c r="E2" s="30" t="s">
        <v>86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EB2B541769F8A4991DE642272C524BB" ma:contentTypeVersion="3" ma:contentTypeDescription="Crie um novo documento." ma:contentTypeScope="" ma:versionID="307d38ce9ce8635fb6cf95ff4b99253b">
  <xsd:schema xmlns:xsd="http://www.w3.org/2001/XMLSchema" xmlns:xs="http://www.w3.org/2001/XMLSchema" xmlns:p="http://schemas.microsoft.com/office/2006/metadata/properties" xmlns:ns2="d58e37f0-3db7-43ea-ab18-a22345a6218a" targetNamespace="http://schemas.microsoft.com/office/2006/metadata/properties" ma:root="true" ma:fieldsID="5fca459ca20cb70909b07a4f99e74eb6" ns2:_="">
    <xsd:import namespace="d58e37f0-3db7-43ea-ab18-a22345a621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8e37f0-3db7-43ea-ab18-a22345a62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E52345-58C7-4B87-BADA-3365FB6F3987}"/>
</file>

<file path=customXml/itemProps2.xml><?xml version="1.0" encoding="utf-8"?>
<ds:datastoreItem xmlns:ds="http://schemas.openxmlformats.org/officeDocument/2006/customXml" ds:itemID="{F69D3072-DC2C-41CC-B7AC-45D0A5D6D917}"/>
</file>

<file path=customXml/itemProps3.xml><?xml version="1.0" encoding="utf-8"?>
<ds:datastoreItem xmlns:ds="http://schemas.openxmlformats.org/officeDocument/2006/customXml" ds:itemID="{9CA9B184-F80D-45DE-B1B3-E654BDB685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Silvia Mendonça</dc:creator>
  <cp:keywords/>
  <dc:description/>
  <cp:lastModifiedBy>RAUL EMANUEL SCANAVINO</cp:lastModifiedBy>
  <cp:revision/>
  <dcterms:created xsi:type="dcterms:W3CDTF">2019-02-18T13:56:56Z</dcterms:created>
  <dcterms:modified xsi:type="dcterms:W3CDTF">2026-09-23T23:02:03Z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0x010100CEB2B541769F8A4991DE642272C524BB</vt:lpwstr>
  </property>
</Properties>
</file>