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3/"/>
    </mc:Choice>
  </mc:AlternateContent>
  <xr:revisionPtr revIDLastSave="48" documentId="8_{C64533A8-D47D-4974-9767-CBF4AAA901D5}" xr6:coauthVersionLast="47" xr6:coauthVersionMax="47" xr10:uidLastSave="{2E4E9EBF-634A-4EAC-A038-B1421F9D9244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D4" i="1"/>
  <c r="C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</calcChain>
</file>

<file path=xl/sharedStrings.xml><?xml version="1.0" encoding="utf-8"?>
<sst xmlns="http://schemas.openxmlformats.org/spreadsheetml/2006/main" count="37" uniqueCount="33">
  <si>
    <t>Nome</t>
  </si>
  <si>
    <t>Salário</t>
  </si>
  <si>
    <t>IR</t>
  </si>
  <si>
    <t>IR a pagar</t>
  </si>
  <si>
    <t>Parcela IR a deduzir</t>
  </si>
  <si>
    <t>INSS a pagar</t>
  </si>
  <si>
    <t>Alíquota</t>
  </si>
  <si>
    <t>Parcela a deduzir</t>
  </si>
  <si>
    <t>INSS</t>
  </si>
  <si>
    <t>Roseli</t>
  </si>
  <si>
    <t>Mariana</t>
  </si>
  <si>
    <t>Geraldo</t>
  </si>
  <si>
    <t>Maria Inês</t>
  </si>
  <si>
    <t>Sabrina</t>
  </si>
  <si>
    <t>Mercia</t>
  </si>
  <si>
    <t>Benedito</t>
  </si>
  <si>
    <t>Henrique</t>
  </si>
  <si>
    <t>Fabia</t>
  </si>
  <si>
    <t>Marina</t>
  </si>
  <si>
    <t>Eunice</t>
  </si>
  <si>
    <t>Vania</t>
  </si>
  <si>
    <t>Leonardo</t>
  </si>
  <si>
    <t>Roberto</t>
  </si>
  <si>
    <t>Felipe</t>
  </si>
  <si>
    <t>Hilda</t>
  </si>
  <si>
    <t>Katarina</t>
  </si>
  <si>
    <t>BRINQUEDOS &amp; BRINCADEIRAS</t>
  </si>
  <si>
    <t>FUNÇÕES</t>
  </si>
  <si>
    <t>#=PROCV(B4;$I$4:$K$8;2)*B4</t>
  </si>
  <si>
    <t>#=PROCV(B4;$I$4:$K$8;3)</t>
  </si>
  <si>
    <t>salário</t>
  </si>
  <si>
    <t>teto inss</t>
  </si>
  <si>
    <t>#=SE(B4&gt;$M$11;$N$11;PROCV(B4;$M$4:$N$6;2)*B4)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</si>
</sst>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0" fillId="0" borderId="1" xfId="1" applyFont="1" applyBorder="1"/>
    <xf numFmtId="43" fontId="4" fillId="0" borderId="1" xfId="1" applyFont="1" applyBorder="1"/>
    <xf numFmtId="0" fontId="0" fillId="0" borderId="1" xfId="0" applyBorder="1"/>
    <xf numFmtId="3" fontId="0" fillId="0" borderId="1" xfId="0" applyNumberFormat="1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0" fontId="0" fillId="0" borderId="1" xfId="0" applyNumberFormat="1" applyBorder="1" applyAlignment="1">
      <alignment horizontal="center" vertical="top" wrapText="1"/>
    </xf>
    <xf numFmtId="43" fontId="0" fillId="0" borderId="1" xfId="1" applyFont="1" applyBorder="1" applyAlignment="1">
      <alignment horizontal="center" vertical="top" wrapText="1"/>
    </xf>
    <xf numFmtId="43" fontId="5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0" fillId="4" borderId="1" xfId="1" applyFont="1" applyFill="1" applyBorder="1"/>
    <xf numFmtId="43" fontId="0" fillId="5" borderId="1" xfId="1" applyFont="1" applyFill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/>
    <xf numFmtId="43" fontId="4" fillId="6" borderId="1" xfId="1" applyFont="1" applyFill="1" applyBorder="1"/>
    <xf numFmtId="0" fontId="0" fillId="6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I12" sqref="I12"/>
    </sheetView>
  </sheetViews>
  <sheetFormatPr defaultRowHeight="15" x14ac:dyDescent="0.25"/>
  <cols>
    <col min="1" max="1" width="10.85546875" bestFit="1" customWidth="1"/>
    <col min="2" max="2" width="9.5703125" style="1" bestFit="1" customWidth="1"/>
    <col min="3" max="3" width="12.7109375" style="1" customWidth="1"/>
    <col min="4" max="4" width="11" style="1" bestFit="1" customWidth="1"/>
    <col min="5" max="5" width="11" style="1" customWidth="1"/>
    <col min="6" max="6" width="10.85546875" style="1" customWidth="1"/>
    <col min="18" max="18" width="47.85546875" bestFit="1" customWidth="1"/>
  </cols>
  <sheetData>
    <row r="1" spans="1:18" ht="26.25" x14ac:dyDescent="0.4">
      <c r="A1" s="15" t="s">
        <v>26</v>
      </c>
      <c r="B1" s="15"/>
      <c r="C1" s="15"/>
      <c r="D1" s="15"/>
      <c r="E1" s="15"/>
      <c r="F1" s="15"/>
    </row>
    <row r="2" spans="1:18" x14ac:dyDescent="0.25">
      <c r="I2" s="16" t="s">
        <v>2</v>
      </c>
      <c r="J2" s="16"/>
      <c r="K2" s="16"/>
      <c r="M2" s="17" t="s">
        <v>8</v>
      </c>
      <c r="N2" s="17"/>
    </row>
    <row r="3" spans="1:18" ht="30" x14ac:dyDescent="0.25">
      <c r="A3" s="2" t="s">
        <v>0</v>
      </c>
      <c r="B3" s="3" t="s">
        <v>1</v>
      </c>
      <c r="C3" s="3" t="s">
        <v>2</v>
      </c>
      <c r="D3" s="3" t="s">
        <v>4</v>
      </c>
      <c r="E3" s="14" t="s">
        <v>3</v>
      </c>
      <c r="F3" s="14" t="s">
        <v>5</v>
      </c>
      <c r="I3" s="2" t="s">
        <v>1</v>
      </c>
      <c r="J3" s="2" t="s">
        <v>6</v>
      </c>
      <c r="K3" s="2" t="s">
        <v>7</v>
      </c>
      <c r="M3" s="2" t="s">
        <v>1</v>
      </c>
      <c r="N3" s="2" t="s">
        <v>6</v>
      </c>
    </row>
    <row r="4" spans="1:18" x14ac:dyDescent="0.25">
      <c r="A4" s="6" t="s">
        <v>9</v>
      </c>
      <c r="B4" s="4">
        <v>1200</v>
      </c>
      <c r="C4" s="18">
        <f>VLOOKUP(B4,$I$4:$K$8,2)*B4</f>
        <v>0</v>
      </c>
      <c r="D4" s="19">
        <f>VLOOKUP(B4,$I$4:$K$8,3)</f>
        <v>0</v>
      </c>
      <c r="E4" s="5">
        <f>C4-D4</f>
        <v>0</v>
      </c>
      <c r="F4" s="23">
        <f>IF(B4&gt;$M$11,$N$11,VLOOKUP(B4,$M$4:$N$6,2)*B4)</f>
        <v>96</v>
      </c>
      <c r="I4" s="7">
        <v>0</v>
      </c>
      <c r="J4" s="8">
        <v>0</v>
      </c>
      <c r="K4" s="13">
        <v>0</v>
      </c>
      <c r="M4" s="9">
        <v>0</v>
      </c>
      <c r="N4" s="8">
        <v>0.08</v>
      </c>
      <c r="R4" s="20" t="s">
        <v>27</v>
      </c>
    </row>
    <row r="5" spans="1:18" x14ac:dyDescent="0.25">
      <c r="A5" s="6" t="s">
        <v>10</v>
      </c>
      <c r="B5" s="4">
        <v>780</v>
      </c>
      <c r="C5" s="4">
        <f t="shared" ref="C5:C20" si="0">VLOOKUP(B5,$I$4:$K$8,2)*B5</f>
        <v>0</v>
      </c>
      <c r="D5" s="4">
        <f t="shared" ref="D5:D20" si="1">VLOOKUP(B5,$I$4:$K$8,3)</f>
        <v>0</v>
      </c>
      <c r="E5" s="5">
        <f t="shared" ref="E5:E20" si="2">C5-D5</f>
        <v>0</v>
      </c>
      <c r="F5" s="5">
        <f t="shared" ref="F5:F20" si="3">IF(B5&gt;$M$11,$N$11,VLOOKUP(B5,$M$4:$N$6,2)*B5)</f>
        <v>62.4</v>
      </c>
      <c r="I5" s="10">
        <v>1903.99</v>
      </c>
      <c r="J5" s="11">
        <v>7.4999999999999997E-2</v>
      </c>
      <c r="K5" s="13">
        <v>142.80000000000001</v>
      </c>
      <c r="M5" s="10">
        <v>1693.73</v>
      </c>
      <c r="N5" s="8">
        <v>0.09</v>
      </c>
      <c r="R5" s="21" t="s">
        <v>28</v>
      </c>
    </row>
    <row r="6" spans="1:18" x14ac:dyDescent="0.25">
      <c r="A6" s="6" t="s">
        <v>11</v>
      </c>
      <c r="B6" s="4">
        <v>1378</v>
      </c>
      <c r="C6" s="4">
        <f t="shared" si="0"/>
        <v>0</v>
      </c>
      <c r="D6" s="4">
        <f t="shared" si="1"/>
        <v>0</v>
      </c>
      <c r="E6" s="5">
        <f t="shared" si="2"/>
        <v>0</v>
      </c>
      <c r="F6" s="5">
        <f t="shared" si="3"/>
        <v>110.24000000000001</v>
      </c>
      <c r="I6" s="10">
        <v>2826.66</v>
      </c>
      <c r="J6" s="12">
        <v>0.15</v>
      </c>
      <c r="K6" s="13">
        <v>354.8</v>
      </c>
      <c r="M6" s="10">
        <v>2822.91</v>
      </c>
      <c r="N6" s="8">
        <v>0.11</v>
      </c>
      <c r="R6" s="22" t="s">
        <v>29</v>
      </c>
    </row>
    <row r="7" spans="1:18" x14ac:dyDescent="0.25">
      <c r="A7" s="6" t="s">
        <v>12</v>
      </c>
      <c r="B7" s="4">
        <v>1780</v>
      </c>
      <c r="C7" s="4">
        <f t="shared" si="0"/>
        <v>0</v>
      </c>
      <c r="D7" s="4">
        <f t="shared" si="1"/>
        <v>0</v>
      </c>
      <c r="E7" s="5">
        <f t="shared" si="2"/>
        <v>0</v>
      </c>
      <c r="F7" s="5">
        <f t="shared" si="3"/>
        <v>160.19999999999999</v>
      </c>
      <c r="I7" s="10">
        <v>3751.06</v>
      </c>
      <c r="J7" s="12">
        <v>0.22500000000000001</v>
      </c>
      <c r="K7" s="13">
        <v>636.13</v>
      </c>
      <c r="R7" s="24" t="s">
        <v>32</v>
      </c>
    </row>
    <row r="8" spans="1:18" x14ac:dyDescent="0.25">
      <c r="A8" s="6" t="s">
        <v>13</v>
      </c>
      <c r="B8" s="4">
        <v>1467</v>
      </c>
      <c r="C8" s="4">
        <f t="shared" si="0"/>
        <v>0</v>
      </c>
      <c r="D8" s="4">
        <f t="shared" si="1"/>
        <v>0</v>
      </c>
      <c r="E8" s="5">
        <f t="shared" si="2"/>
        <v>0</v>
      </c>
      <c r="F8" s="5">
        <f t="shared" si="3"/>
        <v>117.36</v>
      </c>
      <c r="I8" s="10">
        <v>4664.68</v>
      </c>
      <c r="J8" s="12">
        <v>0.27500000000000002</v>
      </c>
      <c r="K8" s="13">
        <v>869.36</v>
      </c>
    </row>
    <row r="9" spans="1:18" x14ac:dyDescent="0.25">
      <c r="A9" s="6" t="s">
        <v>14</v>
      </c>
      <c r="B9" s="4">
        <v>2800</v>
      </c>
      <c r="C9" s="4">
        <f t="shared" si="0"/>
        <v>210</v>
      </c>
      <c r="D9" s="4">
        <f t="shared" si="1"/>
        <v>142.80000000000001</v>
      </c>
      <c r="E9" s="5">
        <f t="shared" si="2"/>
        <v>67.199999999999989</v>
      </c>
      <c r="F9" s="5">
        <f t="shared" si="3"/>
        <v>252</v>
      </c>
    </row>
    <row r="10" spans="1:18" x14ac:dyDescent="0.25">
      <c r="A10" s="6" t="s">
        <v>15</v>
      </c>
      <c r="B10" s="4">
        <v>560</v>
      </c>
      <c r="C10" s="4">
        <f t="shared" si="0"/>
        <v>0</v>
      </c>
      <c r="D10" s="4">
        <f t="shared" si="1"/>
        <v>0</v>
      </c>
      <c r="E10" s="5">
        <f t="shared" si="2"/>
        <v>0</v>
      </c>
      <c r="F10" s="5">
        <f t="shared" si="3"/>
        <v>44.800000000000004</v>
      </c>
      <c r="M10" t="s">
        <v>30</v>
      </c>
      <c r="N10" t="s">
        <v>31</v>
      </c>
    </row>
    <row r="11" spans="1:18" x14ac:dyDescent="0.25">
      <c r="A11" s="6" t="s">
        <v>16</v>
      </c>
      <c r="B11" s="4">
        <v>4300</v>
      </c>
      <c r="C11" s="4">
        <f t="shared" si="0"/>
        <v>967.5</v>
      </c>
      <c r="D11" s="4">
        <f t="shared" si="1"/>
        <v>636.13</v>
      </c>
      <c r="E11" s="5">
        <f t="shared" si="2"/>
        <v>331.37</v>
      </c>
      <c r="F11" s="5">
        <f t="shared" si="3"/>
        <v>440</v>
      </c>
      <c r="M11">
        <v>4000</v>
      </c>
      <c r="N11">
        <v>440</v>
      </c>
    </row>
    <row r="12" spans="1:18" x14ac:dyDescent="0.25">
      <c r="A12" s="6" t="s">
        <v>17</v>
      </c>
      <c r="B12" s="4">
        <v>2789</v>
      </c>
      <c r="C12" s="4">
        <f t="shared" si="0"/>
        <v>209.17499999999998</v>
      </c>
      <c r="D12" s="4">
        <f t="shared" si="1"/>
        <v>142.80000000000001</v>
      </c>
      <c r="E12" s="5">
        <f t="shared" si="2"/>
        <v>66.374999999999972</v>
      </c>
      <c r="F12" s="5">
        <f t="shared" si="3"/>
        <v>251.01</v>
      </c>
    </row>
    <row r="13" spans="1:18" x14ac:dyDescent="0.25">
      <c r="A13" s="6" t="s">
        <v>18</v>
      </c>
      <c r="B13" s="4">
        <v>2250</v>
      </c>
      <c r="C13" s="4">
        <f t="shared" si="0"/>
        <v>168.75</v>
      </c>
      <c r="D13" s="4">
        <f t="shared" si="1"/>
        <v>142.80000000000001</v>
      </c>
      <c r="E13" s="5">
        <f t="shared" si="2"/>
        <v>25.949999999999989</v>
      </c>
      <c r="F13" s="5">
        <f t="shared" si="3"/>
        <v>202.5</v>
      </c>
    </row>
    <row r="14" spans="1:18" x14ac:dyDescent="0.25">
      <c r="A14" s="6" t="s">
        <v>19</v>
      </c>
      <c r="B14" s="4">
        <v>1289</v>
      </c>
      <c r="C14" s="4">
        <f t="shared" si="0"/>
        <v>0</v>
      </c>
      <c r="D14" s="4">
        <f t="shared" si="1"/>
        <v>0</v>
      </c>
      <c r="E14" s="5">
        <f t="shared" si="2"/>
        <v>0</v>
      </c>
      <c r="F14" s="5">
        <f t="shared" si="3"/>
        <v>103.12</v>
      </c>
    </row>
    <row r="15" spans="1:18" x14ac:dyDescent="0.25">
      <c r="A15" s="6" t="s">
        <v>20</v>
      </c>
      <c r="B15" s="4">
        <v>3400</v>
      </c>
      <c r="C15" s="4">
        <f t="shared" si="0"/>
        <v>510</v>
      </c>
      <c r="D15" s="4">
        <f t="shared" si="1"/>
        <v>354.8</v>
      </c>
      <c r="E15" s="5">
        <f t="shared" si="2"/>
        <v>155.19999999999999</v>
      </c>
      <c r="F15" s="5">
        <f t="shared" si="3"/>
        <v>374</v>
      </c>
    </row>
    <row r="16" spans="1:18" x14ac:dyDescent="0.25">
      <c r="A16" s="6" t="s">
        <v>21</v>
      </c>
      <c r="B16" s="4">
        <v>3700</v>
      </c>
      <c r="C16" s="4">
        <f t="shared" si="0"/>
        <v>555</v>
      </c>
      <c r="D16" s="4">
        <f t="shared" si="1"/>
        <v>354.8</v>
      </c>
      <c r="E16" s="5">
        <f t="shared" si="2"/>
        <v>200.2</v>
      </c>
      <c r="F16" s="5">
        <f t="shared" si="3"/>
        <v>407</v>
      </c>
    </row>
    <row r="17" spans="1:6" x14ac:dyDescent="0.25">
      <c r="A17" s="6" t="s">
        <v>22</v>
      </c>
      <c r="B17" s="4">
        <v>6600</v>
      </c>
      <c r="C17" s="4">
        <f t="shared" si="0"/>
        <v>1815.0000000000002</v>
      </c>
      <c r="D17" s="4">
        <f t="shared" si="1"/>
        <v>869.36</v>
      </c>
      <c r="E17" s="5">
        <f t="shared" si="2"/>
        <v>945.64000000000021</v>
      </c>
      <c r="F17" s="5">
        <f t="shared" si="3"/>
        <v>440</v>
      </c>
    </row>
    <row r="18" spans="1:6" x14ac:dyDescent="0.25">
      <c r="A18" s="6" t="s">
        <v>23</v>
      </c>
      <c r="B18" s="4">
        <v>2890</v>
      </c>
      <c r="C18" s="4">
        <f t="shared" si="0"/>
        <v>433.5</v>
      </c>
      <c r="D18" s="4">
        <f t="shared" si="1"/>
        <v>354.8</v>
      </c>
      <c r="E18" s="5">
        <f t="shared" si="2"/>
        <v>78.699999999999989</v>
      </c>
      <c r="F18" s="5">
        <f t="shared" si="3"/>
        <v>317.89999999999998</v>
      </c>
    </row>
    <row r="19" spans="1:6" x14ac:dyDescent="0.25">
      <c r="A19" s="6" t="s">
        <v>24</v>
      </c>
      <c r="B19" s="4">
        <v>3200</v>
      </c>
      <c r="C19" s="4">
        <f t="shared" si="0"/>
        <v>480</v>
      </c>
      <c r="D19" s="4">
        <f t="shared" si="1"/>
        <v>354.8</v>
      </c>
      <c r="E19" s="5">
        <f t="shared" si="2"/>
        <v>125.19999999999999</v>
      </c>
      <c r="F19" s="5">
        <f t="shared" si="3"/>
        <v>352</v>
      </c>
    </row>
    <row r="20" spans="1:6" x14ac:dyDescent="0.25">
      <c r="A20" s="6" t="s">
        <v>25</v>
      </c>
      <c r="B20" s="4">
        <v>1050</v>
      </c>
      <c r="C20" s="4">
        <f t="shared" si="0"/>
        <v>0</v>
      </c>
      <c r="D20" s="4">
        <f t="shared" si="1"/>
        <v>0</v>
      </c>
      <c r="E20" s="5">
        <f t="shared" si="2"/>
        <v>0</v>
      </c>
      <c r="F20" s="5">
        <f t="shared" si="3"/>
        <v>84</v>
      </c>
    </row>
  </sheetData>
  <mergeCells count="3">
    <mergeCell ref="A1:F1"/>
    <mergeCell ref="I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1B268-D968-466E-8378-94303B51CE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7660E8-0D68-4715-97F8-7F376A535B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97CC8D-7B73-4CB0-8799-D1176E2A9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2008-04-18T17:21:50Z</dcterms:created>
  <dcterms:modified xsi:type="dcterms:W3CDTF">2026-09-29T23:41:48Z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