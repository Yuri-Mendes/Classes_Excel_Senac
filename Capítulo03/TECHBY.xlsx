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3/"/>
    </mc:Choice>
  </mc:AlternateContent>
  <xr:revisionPtr revIDLastSave="77" documentId="13_ncr:1_{5D63FEF3-A9FF-4D2C-A4BF-50FCCAE8BBFD}" xr6:coauthVersionLast="47" xr6:coauthVersionMax="47" xr10:uidLastSave="{8350D354-1535-4FB9-AF14-0CE18B8374FB}"/>
  <bookViews>
    <workbookView xWindow="-120" yWindow="-120" windowWidth="29040" windowHeight="15720" xr2:uid="{00000000-000D-0000-FFFF-FFFF00000000}"/>
  </bookViews>
  <sheets>
    <sheet name="CADASTRO" sheetId="1" r:id="rId1"/>
    <sheet name="TABELA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E4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<sst xmlns="http://schemas.openxmlformats.org/spreadsheetml/2006/main" count="73" uniqueCount="53">
  <si>
    <t>CURSOS DE INFORMÁTICA TECHBY</t>
  </si>
  <si>
    <t>NOME DO ALUNO</t>
  </si>
  <si>
    <t>FILIAL</t>
  </si>
  <si>
    <t>CÓDIGO CURSO</t>
  </si>
  <si>
    <t>NOME CURSO</t>
  </si>
  <si>
    <t>VALOR MENSALIDADE</t>
  </si>
  <si>
    <t>Ana Maria Bernardes</t>
  </si>
  <si>
    <t>Beatriz Saracena</t>
  </si>
  <si>
    <t>Diógenes Duarte Lima</t>
  </si>
  <si>
    <t>Fernando Coriolano</t>
  </si>
  <si>
    <t>Maria Carolina Braga</t>
  </si>
  <si>
    <t>Felipe dos Santos</t>
  </si>
  <si>
    <t>Vanderlei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</si>
  <si>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</si>
  <si>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</si>
  <si>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</si>
  <si>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</si>
  <si>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</si>
  <si>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</si>
  <si>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</si>
  <si>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</si>
  <si>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</si>
  <si>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</si>
  <si>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</si>
  <si>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</si>
  <si>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</si>
  <si>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</si>
  <si>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Vila Mariana</t>
  </si>
  <si>
    <t>Aclimação</t>
  </si>
  <si>
    <t>Itaim Bibi</t>
  </si>
  <si>
    <t>CÓDIGO</t>
  </si>
  <si>
    <t>CURSO</t>
  </si>
  <si>
    <t>MENSALIDADE</t>
  </si>
  <si>
    <t>Internet</t>
  </si>
  <si>
    <t>Word - Básico</t>
  </si>
  <si>
    <t>Word - Avançado</t>
  </si>
  <si>
    <t>Excel - Básico</t>
  </si>
  <si>
    <t>Excel - Avançado</t>
  </si>
  <si>
    <t>Power Point - Básico</t>
  </si>
  <si>
    <t>Power Point - Avançado</t>
  </si>
  <si>
    <t xml:space="preserve">Access </t>
  </si>
  <si>
    <t>Access com VBA</t>
  </si>
  <si>
    <t>Unidade</t>
  </si>
  <si>
    <t>Aluno</t>
  </si>
  <si>
    <t>FUNÇÕES</t>
  </si>
  <si>
    <t>#=PROCV(C4;TABELA!$A$2:$C$10;2;FALSO)</t>
  </si>
  <si>
    <t>núm_indice_coluna - número da coluna onde quer pegar o dado</t>
  </si>
  <si>
    <t>matriz_tabela - tabela de onde pegará o dado</t>
  </si>
  <si>
    <t>0 - falso</t>
  </si>
  <si>
    <t>1 - verdadeiro</t>
  </si>
  <si>
    <t>#=PROCX(C4;TABELA!$A$2:$A$10;TABELA!$C$2:$C$10;"Não encontrado")</t>
  </si>
  <si>
    <t>COM PROCV</t>
  </si>
  <si>
    <t>COM PROCX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</si>
</sst>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/>
    <xf numFmtId="44" fontId="0" fillId="0" borderId="1" xfId="1" applyFont="1" applyBorder="1"/>
    <xf numFmtId="44" fontId="0" fillId="0" borderId="0" xfId="1" applyFont="1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1" fillId="3" borderId="1" xfId="2" applyBorder="1"/>
    <xf numFmtId="0" fontId="1" fillId="3" borderId="1" xfId="2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2" fillId="6" borderId="2" xfId="0" applyFont="1" applyFill="1" applyBorder="1"/>
    <xf numFmtId="0" fontId="2" fillId="6" borderId="3" xfId="0" applyFont="1" applyFill="1" applyBorder="1"/>
    <xf numFmtId="0" fontId="0" fillId="5" borderId="2" xfId="0" applyFill="1" applyBorder="1"/>
    <xf numFmtId="0" fontId="0" fillId="6" borderId="0" xfId="0" applyFill="1"/>
    <xf numFmtId="44" fontId="0" fillId="6" borderId="1" xfId="1" applyFont="1" applyFill="1" applyBorder="1"/>
    <xf numFmtId="0" fontId="0" fillId="0" borderId="1" xfId="0" applyFill="1" applyBorder="1"/>
  </cellXfs>
  <cellStyles count="3">
    <cellStyle name="40% - Ênfase1" xfId="2" builtinId="31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107674</xdr:colOff>
      <xdr:row>4</xdr:row>
      <xdr:rowOff>99391</xdr:rowOff>
    </xdr:from>
    <xdr:to>
      <xdr:col>9</xdr:col>
      <xdr:colOff>4423101</xdr:colOff>
      <xdr:row>6</xdr:row>
      <xdr:rowOff>70865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6BFECE-1429-08CD-879F-5C33F9C8E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870" y="1159565"/>
          <a:ext cx="4315427" cy="352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914FAA-3850-4754-9A6D-66AAC9BB3A4F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baX23Wc3dO3rBN3UM-a_U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15" zoomScaleNormal="115" workbookViewId="0">
      <selection activeCell="F29" sqref="F29"/>
    </sheetView>
  </sheetViews>
  <sheetFormatPr defaultRowHeight="15" x14ac:dyDescent="0.25"/>
  <cols>
    <col min="1" max="1" width="23" bestFit="1" customWidth="1"/>
    <col min="2" max="2" width="15.7109375" customWidth="1"/>
    <col min="3" max="3" width="12" bestFit="1" customWidth="1"/>
    <col min="4" max="4" width="22.85546875" customWidth="1"/>
    <col min="5" max="5" width="14.42578125" style="7" customWidth="1"/>
    <col min="10" max="10" width="67.42578125" bestFit="1" customWidth="1"/>
  </cols>
  <sheetData>
    <row r="1" spans="1:10" ht="23.25" x14ac:dyDescent="0.35">
      <c r="A1" s="12" t="s">
        <v>0</v>
      </c>
      <c r="B1" s="12"/>
      <c r="C1" s="12"/>
      <c r="D1" s="12"/>
      <c r="E1" s="12"/>
    </row>
    <row r="3" spans="1:10" ht="30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1"/>
      <c r="J3" s="13" t="s">
        <v>44</v>
      </c>
    </row>
    <row r="4" spans="1:10" x14ac:dyDescent="0.25">
      <c r="A4" s="2" t="s">
        <v>6</v>
      </c>
      <c r="B4" s="3" t="s">
        <v>27</v>
      </c>
      <c r="C4" s="3">
        <v>2</v>
      </c>
      <c r="D4" s="14" t="str">
        <f>VLOOKUP(C4,TABELA!$A$2:$C$10,2,FALSE)</f>
        <v>Word - Básico</v>
      </c>
      <c r="E4" s="20">
        <f>_xlfn.XLOOKUP(C4,TABELA!$A$2:$A$10,TABELA!$C$2:$C$10,"Não encontrado")</f>
        <v>180</v>
      </c>
      <c r="J4" s="18" t="s">
        <v>45</v>
      </c>
    </row>
    <row r="5" spans="1:10" x14ac:dyDescent="0.25">
      <c r="A5" s="2" t="s">
        <v>7</v>
      </c>
      <c r="B5" s="3" t="s">
        <v>28</v>
      </c>
      <c r="C5" s="3">
        <v>3</v>
      </c>
      <c r="D5" s="3" t="str">
        <f>VLOOKUP(C5,TABELA!$A$2:$C$10,2,FALSE)</f>
        <v>Word - Avançado</v>
      </c>
      <c r="E5" s="6">
        <f>_xlfn.XLOOKUP(C5,TABELA!$A$2:$A$10,TABELA!$C$2:$C$10,"Não encontrado")</f>
        <v>270</v>
      </c>
    </row>
    <row r="6" spans="1:10" x14ac:dyDescent="0.25">
      <c r="A6" s="2" t="s">
        <v>8</v>
      </c>
      <c r="B6" s="3" t="s">
        <v>27</v>
      </c>
      <c r="C6" s="3">
        <v>2</v>
      </c>
      <c r="D6" s="3" t="str">
        <f>VLOOKUP(C6,TABELA!$A$2:$C$10,2,FALSE)</f>
        <v>Word - Básico</v>
      </c>
      <c r="E6" s="6">
        <f>_xlfn.XLOOKUP(C6,TABELA!$A$2:$A$10,TABELA!$C$2:$C$10,"Não encontrado")</f>
        <v>180</v>
      </c>
    </row>
    <row r="7" spans="1:10" x14ac:dyDescent="0.25">
      <c r="A7" s="2" t="s">
        <v>9</v>
      </c>
      <c r="B7" s="3" t="s">
        <v>29</v>
      </c>
      <c r="C7" s="3">
        <v>3</v>
      </c>
      <c r="D7" s="3" t="str">
        <f>VLOOKUP(C7,TABELA!$A$2:$C$10,2,FALSE)</f>
        <v>Word - Avançado</v>
      </c>
      <c r="E7" s="6">
        <f>_xlfn.XLOOKUP(C7,TABELA!$A$2:$A$10,TABELA!$C$2:$C$10,"Não encontrado")</f>
        <v>270</v>
      </c>
    </row>
    <row r="8" spans="1:10" x14ac:dyDescent="0.25">
      <c r="A8" s="2" t="s">
        <v>10</v>
      </c>
      <c r="B8" s="3" t="s">
        <v>29</v>
      </c>
      <c r="C8" s="3">
        <v>1</v>
      </c>
      <c r="D8" s="3" t="str">
        <f>VLOOKUP(C8,TABELA!$A$2:$C$10,2,FALSE)</f>
        <v>Internet</v>
      </c>
      <c r="E8" s="6">
        <f>_xlfn.XLOOKUP(C8,TABELA!$A$2:$A$10,TABELA!$C$2:$C$10,"Não encontrado")</f>
        <v>150</v>
      </c>
      <c r="J8" s="16" t="s">
        <v>46</v>
      </c>
    </row>
    <row r="9" spans="1:10" x14ac:dyDescent="0.25">
      <c r="A9" s="2" t="s">
        <v>11</v>
      </c>
      <c r="B9" s="3" t="s">
        <v>28</v>
      </c>
      <c r="C9" s="3">
        <v>4</v>
      </c>
      <c r="D9" s="3" t="str">
        <f>VLOOKUP(C9,TABELA!$A$2:$C$10,2,FALSE)</f>
        <v>Excel - Básico</v>
      </c>
      <c r="E9" s="6">
        <f>_xlfn.XLOOKUP(C9,TABELA!$A$2:$A$10,TABELA!$C$2:$C$10,"Não encontrado")</f>
        <v>200</v>
      </c>
      <c r="J9" s="17" t="s">
        <v>47</v>
      </c>
    </row>
    <row r="10" spans="1:10" x14ac:dyDescent="0.25">
      <c r="A10" s="2" t="s">
        <v>12</v>
      </c>
      <c r="B10" s="3" t="s">
        <v>28</v>
      </c>
      <c r="C10" s="3">
        <v>1</v>
      </c>
      <c r="D10" s="3" t="str">
        <f>VLOOKUP(C10,TABELA!$A$2:$C$10,2,FALSE)</f>
        <v>Internet</v>
      </c>
      <c r="E10" s="6">
        <f>_xlfn.XLOOKUP(C10,TABELA!$A$2:$A$10,TABELA!$C$2:$C$10,"Não encontrado")</f>
        <v>150</v>
      </c>
      <c r="J10" t="s">
        <v>48</v>
      </c>
    </row>
    <row r="11" spans="1:10" x14ac:dyDescent="0.25">
      <c r="A11" s="2" t="s">
        <v>13</v>
      </c>
      <c r="B11" s="3" t="s">
        <v>28</v>
      </c>
      <c r="C11" s="3">
        <v>4</v>
      </c>
      <c r="D11" s="3" t="str">
        <f>VLOOKUP(C11,TABELA!$A$2:$C$10,2,FALSE)</f>
        <v>Excel - Básico</v>
      </c>
      <c r="E11" s="6">
        <f>_xlfn.XLOOKUP(C11,TABELA!$A$2:$A$10,TABELA!$C$2:$C$10,"Não encontrado")</f>
        <v>200</v>
      </c>
      <c r="J11" t="s">
        <v>49</v>
      </c>
    </row>
    <row r="12" spans="1:10" x14ac:dyDescent="0.25">
      <c r="A12" s="2" t="s">
        <v>14</v>
      </c>
      <c r="B12" s="3" t="s">
        <v>27</v>
      </c>
      <c r="C12" s="3">
        <v>6</v>
      </c>
      <c r="D12" s="3" t="str">
        <f>VLOOKUP(C12,TABELA!$A$2:$C$10,2,FALSE)</f>
        <v>Power Point - Básico</v>
      </c>
      <c r="E12" s="6">
        <f>_xlfn.XLOOKUP(C12,TABELA!$A$2:$A$10,TABELA!$C$2:$C$10,"Não encontrado")</f>
        <v>120</v>
      </c>
    </row>
    <row r="13" spans="1:10" x14ac:dyDescent="0.25">
      <c r="A13" s="2" t="s">
        <v>15</v>
      </c>
      <c r="B13" s="3" t="s">
        <v>29</v>
      </c>
      <c r="C13" s="3">
        <v>6</v>
      </c>
      <c r="D13" s="3" t="str">
        <f>VLOOKUP(C13,TABELA!$A$2:$C$10,2,FALSE)</f>
        <v>Power Point - Básico</v>
      </c>
      <c r="E13" s="6">
        <f>_xlfn.XLOOKUP(C13,TABELA!$A$2:$A$10,TABELA!$C$2:$C$10,"Não encontrado")</f>
        <v>120</v>
      </c>
      <c r="J13" s="19" t="s">
        <v>50</v>
      </c>
    </row>
    <row r="14" spans="1:10" x14ac:dyDescent="0.25">
      <c r="A14" s="2" t="s">
        <v>16</v>
      </c>
      <c r="B14" s="3" t="s">
        <v>29</v>
      </c>
      <c r="C14" s="3">
        <v>3</v>
      </c>
      <c r="D14" s="3" t="str">
        <f>VLOOKUP(C14,TABELA!$A$2:$C$10,2,FALSE)</f>
        <v>Word - Avançado</v>
      </c>
      <c r="E14" s="6">
        <f>_xlfn.XLOOKUP(C14,TABELA!$A$2:$A$10,TABELA!$C$2:$C$10,"Não encontrado")</f>
        <v>270</v>
      </c>
    </row>
    <row r="15" spans="1:10" x14ac:dyDescent="0.25">
      <c r="A15" s="2" t="s">
        <v>17</v>
      </c>
      <c r="B15" s="3" t="s">
        <v>29</v>
      </c>
      <c r="C15" s="3">
        <v>8</v>
      </c>
      <c r="D15" s="3" t="str">
        <f>VLOOKUP(C15,TABELA!$A$2:$C$10,2,FALSE)</f>
        <v xml:space="preserve">Access </v>
      </c>
      <c r="E15" s="6">
        <f>_xlfn.XLOOKUP(C15,TABELA!$A$2:$A$10,TABELA!$C$2:$C$10,"Não encontrado")</f>
        <v>270</v>
      </c>
    </row>
    <row r="16" spans="1:10" x14ac:dyDescent="0.25">
      <c r="A16" s="2" t="s">
        <v>18</v>
      </c>
      <c r="B16" s="3" t="s">
        <v>29</v>
      </c>
      <c r="C16" s="3">
        <v>6</v>
      </c>
      <c r="D16" s="3" t="str">
        <f>VLOOKUP(C16,TABELA!$A$2:$C$10,2,FALSE)</f>
        <v>Power Point - Básico</v>
      </c>
      <c r="E16" s="6">
        <f>_xlfn.XLOOKUP(C16,TABELA!$A$2:$A$10,TABELA!$C$2:$C$10,"Não encontrado")</f>
        <v>120</v>
      </c>
    </row>
    <row r="17" spans="1:5" x14ac:dyDescent="0.25">
      <c r="A17" s="2" t="s">
        <v>19</v>
      </c>
      <c r="B17" s="3" t="s">
        <v>28</v>
      </c>
      <c r="C17" s="3">
        <v>2</v>
      </c>
      <c r="D17" s="3" t="str">
        <f>VLOOKUP(C17,TABELA!$A$2:$C$10,2,FALSE)</f>
        <v>Word - Básico</v>
      </c>
      <c r="E17" s="6">
        <f>_xlfn.XLOOKUP(C17,TABELA!$A$2:$A$10,TABELA!$C$2:$C$10,"Não encontrado")</f>
        <v>180</v>
      </c>
    </row>
    <row r="18" spans="1:5" x14ac:dyDescent="0.25">
      <c r="A18" s="2" t="s">
        <v>20</v>
      </c>
      <c r="B18" s="3" t="s">
        <v>28</v>
      </c>
      <c r="C18" s="3">
        <v>3</v>
      </c>
      <c r="D18" s="3" t="str">
        <f>VLOOKUP(C18,TABELA!$A$2:$C$10,2,FALSE)</f>
        <v>Word - Avançado</v>
      </c>
      <c r="E18" s="6">
        <f>_xlfn.XLOOKUP(C18,TABELA!$A$2:$A$10,TABELA!$C$2:$C$10,"Não encontrado")</f>
        <v>270</v>
      </c>
    </row>
    <row r="19" spans="1:5" x14ac:dyDescent="0.25">
      <c r="A19" s="2" t="s">
        <v>21</v>
      </c>
      <c r="B19" s="3" t="s">
        <v>27</v>
      </c>
      <c r="C19" s="3">
        <v>4</v>
      </c>
      <c r="D19" s="3" t="str">
        <f>VLOOKUP(C19,TABELA!$A$2:$C$10,2,FALSE)</f>
        <v>Excel - Básico</v>
      </c>
      <c r="E19" s="6">
        <f>_xlfn.XLOOKUP(C19,TABELA!$A$2:$A$10,TABELA!$C$2:$C$10,"Não encontrado")</f>
        <v>200</v>
      </c>
    </row>
    <row r="20" spans="1:5" x14ac:dyDescent="0.25">
      <c r="A20" s="2" t="s">
        <v>22</v>
      </c>
      <c r="B20" s="3" t="s">
        <v>28</v>
      </c>
      <c r="C20" s="3">
        <v>9</v>
      </c>
      <c r="D20" s="3" t="str">
        <f>VLOOKUP(C20,TABELA!$A$2:$C$10,2,FALSE)</f>
        <v>Access com VBA</v>
      </c>
      <c r="E20" s="6">
        <f>_xlfn.XLOOKUP(C20,TABELA!$A$2:$A$10,TABELA!$C$2:$C$10,"Não encontrado")</f>
        <v>320</v>
      </c>
    </row>
    <row r="21" spans="1:5" x14ac:dyDescent="0.25">
      <c r="A21" s="2" t="s">
        <v>23</v>
      </c>
      <c r="B21" s="3" t="s">
        <v>28</v>
      </c>
      <c r="C21" s="3">
        <v>1</v>
      </c>
      <c r="D21" s="3" t="str">
        <f>VLOOKUP(C21,TABELA!$A$2:$C$10,2,FALSE)</f>
        <v>Internet</v>
      </c>
      <c r="E21" s="6">
        <f>_xlfn.XLOOKUP(C21,TABELA!$A$2:$A$10,TABELA!$C$2:$C$10,"Não encontrado")</f>
        <v>150</v>
      </c>
    </row>
    <row r="22" spans="1:5" x14ac:dyDescent="0.25">
      <c r="A22" s="2" t="s">
        <v>24</v>
      </c>
      <c r="B22" s="3" t="s">
        <v>27</v>
      </c>
      <c r="C22" s="3">
        <v>8</v>
      </c>
      <c r="D22" s="3" t="str">
        <f>VLOOKUP(C22,TABELA!$A$2:$C$10,2,FALSE)</f>
        <v xml:space="preserve">Access </v>
      </c>
      <c r="E22" s="6">
        <f>_xlfn.XLOOKUP(C22,TABELA!$A$2:$A$10,TABELA!$C$2:$C$10,"Não encontrado")</f>
        <v>270</v>
      </c>
    </row>
    <row r="23" spans="1:5" x14ac:dyDescent="0.25">
      <c r="A23" s="2" t="s">
        <v>25</v>
      </c>
      <c r="B23" s="3" t="s">
        <v>28</v>
      </c>
      <c r="C23" s="3">
        <v>5</v>
      </c>
      <c r="D23" s="3" t="str">
        <f>VLOOKUP(C23,TABELA!$A$2:$C$10,2,FALSE)</f>
        <v>Excel - Avançado</v>
      </c>
      <c r="E23" s="6">
        <f>_xlfn.XLOOKUP(C23,TABELA!$A$2:$A$10,TABELA!$C$2:$C$10,"Não encontrado")</f>
        <v>250</v>
      </c>
    </row>
    <row r="24" spans="1:5" x14ac:dyDescent="0.25">
      <c r="A24" s="2" t="s">
        <v>26</v>
      </c>
      <c r="B24" s="3" t="s">
        <v>28</v>
      </c>
      <c r="C24" s="3">
        <v>7</v>
      </c>
      <c r="D24" s="3" t="str">
        <f>VLOOKUP(C24,TABELA!$A$2:$C$10,2,FALSE)</f>
        <v>Power Point - Avançado</v>
      </c>
      <c r="E24" s="6">
        <f>_xlfn.XLOOKUP(C24,TABELA!$A$2:$A$10,TABELA!$C$2:$C$10,"Não encontrado")</f>
        <v>170</v>
      </c>
    </row>
    <row r="27" spans="1:5" x14ac:dyDescent="0.25">
      <c r="A27" s="10" t="s">
        <v>43</v>
      </c>
      <c r="B27" s="11" t="s">
        <v>42</v>
      </c>
    </row>
    <row r="28" spans="1:5" x14ac:dyDescent="0.25">
      <c r="A28" s="2" t="s">
        <v>16</v>
      </c>
      <c r="B28" s="3" t="str">
        <f>VLOOKUP(A28,A4:E24,2,0)</f>
        <v>Itaim Bibi</v>
      </c>
      <c r="C28" s="15" t="s">
        <v>51</v>
      </c>
    </row>
    <row r="29" spans="1:5" x14ac:dyDescent="0.25">
      <c r="A29" s="21" t="s">
        <v>12</v>
      </c>
      <c r="B29" s="3" t="str">
        <f>_xlfn.XLOOKUP(A29,A4:A24,B4:B24,"Não encontrado")</f>
        <v>Aclimação</v>
      </c>
      <c r="C29" s="15" t="s">
        <v>52</v>
      </c>
    </row>
  </sheetData>
  <mergeCells count="1">
    <mergeCell ref="A1:E1"/>
  </mergeCells>
  <dataValidations count="1">
    <dataValidation type="list" allowBlank="1" showInputMessage="1" showErrorMessage="1" sqref="A28 A29" xr:uid="{D86CF650-7ECA-4206-8F98-44A7E75FBCC4}">
      <formula1>$A$4:$A$24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50" zoomScaleNormal="150" workbookViewId="0">
      <selection activeCell="E9" sqref="E9"/>
    </sheetView>
  </sheetViews>
  <sheetFormatPr defaultRowHeight="15" x14ac:dyDescent="0.25"/>
  <cols>
    <col min="1" max="1" width="9.85546875" customWidth="1"/>
    <col min="2" max="2" width="24.140625" customWidth="1"/>
    <col min="3" max="3" width="21" customWidth="1"/>
    <col min="4" max="4" width="7.7109375" customWidth="1"/>
  </cols>
  <sheetData>
    <row r="1" spans="1:3" x14ac:dyDescent="0.25">
      <c r="A1" s="4" t="s">
        <v>30</v>
      </c>
      <c r="B1" s="4" t="s">
        <v>31</v>
      </c>
      <c r="C1" s="4" t="s">
        <v>32</v>
      </c>
    </row>
    <row r="2" spans="1:3" x14ac:dyDescent="0.25">
      <c r="A2" s="3">
        <v>1</v>
      </c>
      <c r="B2" s="2" t="s">
        <v>33</v>
      </c>
      <c r="C2" s="5">
        <v>150</v>
      </c>
    </row>
    <row r="3" spans="1:3" x14ac:dyDescent="0.25">
      <c r="A3" s="3">
        <v>2</v>
      </c>
      <c r="B3" s="2" t="s">
        <v>34</v>
      </c>
      <c r="C3" s="5">
        <v>180</v>
      </c>
    </row>
    <row r="4" spans="1:3" x14ac:dyDescent="0.25">
      <c r="A4" s="3">
        <v>3</v>
      </c>
      <c r="B4" s="2" t="s">
        <v>35</v>
      </c>
      <c r="C4" s="5">
        <v>270</v>
      </c>
    </row>
    <row r="5" spans="1:3" x14ac:dyDescent="0.25">
      <c r="A5" s="3">
        <v>4</v>
      </c>
      <c r="B5" s="2" t="s">
        <v>36</v>
      </c>
      <c r="C5" s="5">
        <v>200</v>
      </c>
    </row>
    <row r="6" spans="1:3" x14ac:dyDescent="0.25">
      <c r="A6" s="3">
        <v>5</v>
      </c>
      <c r="B6" s="2" t="s">
        <v>37</v>
      </c>
      <c r="C6" s="5">
        <v>250</v>
      </c>
    </row>
    <row r="7" spans="1:3" x14ac:dyDescent="0.25">
      <c r="A7" s="3">
        <v>6</v>
      </c>
      <c r="B7" s="2" t="s">
        <v>38</v>
      </c>
      <c r="C7" s="5">
        <v>120</v>
      </c>
    </row>
    <row r="8" spans="1:3" x14ac:dyDescent="0.25">
      <c r="A8" s="3">
        <v>7</v>
      </c>
      <c r="B8" s="2" t="s">
        <v>39</v>
      </c>
      <c r="C8" s="5">
        <v>170</v>
      </c>
    </row>
    <row r="9" spans="1:3" x14ac:dyDescent="0.25">
      <c r="A9" s="3">
        <v>8</v>
      </c>
      <c r="B9" s="2" t="s">
        <v>40</v>
      </c>
      <c r="C9" s="5">
        <v>270</v>
      </c>
    </row>
    <row r="10" spans="1:3" x14ac:dyDescent="0.25">
      <c r="A10" s="3">
        <v>9</v>
      </c>
      <c r="B10" s="2" t="s">
        <v>41</v>
      </c>
      <c r="C10" s="5">
        <v>320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600E40-FD4A-4C23-A4A2-4DF32EB61D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D6871C-C964-44D2-B069-53DE7971D8F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B22EBD0-8750-4046-AC07-3EE2EDFDF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</vt:lpstr>
      <vt:lpstr>TABELA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2011-06-28T18:43:47Z</dcterms:created>
  <dcterms:modified xsi:type="dcterms:W3CDTF">2026-09-29T23:14:04Z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