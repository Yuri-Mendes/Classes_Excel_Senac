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senacspedu-my.sharepoint.com/personal/yuri_smendes_senacsp_edu_br/Documents/Capítulo04/"/>
    </mc:Choice>
  </mc:AlternateContent>
  <xr:revisionPtr revIDLastSave="4" documentId="13_ncr:1_{8F29B719-0D6C-4566-8F47-A74D6517DD95}" xr6:coauthVersionLast="47" xr6:coauthVersionMax="47" xr10:uidLastSave="{C26B7E44-799A-4FB0-9D01-B823F2F32C1F}"/>
  <bookViews>
    <workbookView xWindow="-120" yWindow="-120" windowWidth="29040" windowHeight="15720" activeTab="1" xr2:uid="{00000000-000D-0000-FFFF-FFFF00000000}"/>
  </bookViews>
  <sheets>
    <sheet name="ORIGINAL" sheetId="1" r:id="rId1"/>
    <sheet name="CORRIGIDA" sheetId="2" r:id="rId2"/>
    <sheet name="ACOMODAÇÕE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" i="2" l="1"/>
  <c r="D6" i="2"/>
  <c r="D7" i="2"/>
  <c r="D8" i="2"/>
  <c r="D9" i="2"/>
  <c r="D10" i="2"/>
  <c r="D11" i="2"/>
  <c r="D12" i="2"/>
  <c r="D4" i="2"/>
  <c r="F5" i="2" l="1"/>
  <c r="F6" i="2"/>
  <c r="F7" i="2"/>
  <c r="F8" i="2"/>
  <c r="F9" i="2"/>
  <c r="F10" i="2"/>
  <c r="F11" i="2"/>
  <c r="F12" i="2"/>
  <c r="F4" i="2"/>
  <c r="E5" i="2"/>
  <c r="I5" i="2" s="1"/>
  <c r="E6" i="2"/>
  <c r="I6" i="2" s="1"/>
  <c r="E7" i="2"/>
  <c r="I7" i="2" s="1"/>
  <c r="E8" i="2"/>
  <c r="I8" i="2" s="1"/>
  <c r="E9" i="2"/>
  <c r="I9" i="2" s="1"/>
  <c r="E10" i="2"/>
  <c r="I10" i="2" s="1"/>
  <c r="E11" i="2"/>
  <c r="I11" i="2" s="1"/>
  <c r="E12" i="2"/>
  <c r="I12" i="2" s="1"/>
  <c r="E4" i="2"/>
  <c r="I4" i="2" s="1"/>
  <c r="G5" i="2"/>
  <c r="G6" i="2"/>
  <c r="G7" i="2"/>
  <c r="G8" i="2"/>
  <c r="G9" i="2"/>
  <c r="G10" i="2"/>
  <c r="G11" i="2"/>
  <c r="G12" i="2"/>
  <c r="G4" i="2"/>
  <c r="A4" i="2"/>
  <c r="A5" i="2"/>
  <c r="A6" i="2"/>
  <c r="A7" i="2"/>
  <c r="A8" i="2"/>
  <c r="A9" i="2"/>
  <c r="A10" i="2"/>
  <c r="A11" i="2"/>
  <c r="A12" i="2"/>
</calcChain>
</file>

<file path=xl/sharedStrings.xml><?xml version="1.0" encoding="utf-8"?>
<sst xmlns="http://schemas.openxmlformats.org/spreadsheetml/2006/main" count="53" uniqueCount="40">
  <si>
    <t>HOTEL SAMAMBAIA TROPICAL</t>
  </si>
  <si>
    <t>HÓSPEDE</t>
  </si>
  <si>
    <t>DATA ENTRADA</t>
  </si>
  <si>
    <t>DATA SAÍDA</t>
  </si>
  <si>
    <t>ACOMODAÇÃO</t>
  </si>
  <si>
    <t>VALOR DIÁRIA</t>
  </si>
  <si>
    <t>QTDE. DIÁRIAS</t>
  </si>
  <si>
    <t>VALOR TOTAL</t>
  </si>
  <si>
    <t>luciano mendes</t>
  </si>
  <si>
    <t>reginaldo ferreira</t>
  </si>
  <si>
    <t xml:space="preserve">maria helena </t>
  </si>
  <si>
    <t xml:space="preserve">    simples    </t>
  </si>
  <si>
    <t xml:space="preserve">       master  </t>
  </si>
  <si>
    <t>rosana madureira gonçalves</t>
  </si>
  <si>
    <t xml:space="preserve">       cobertura   </t>
  </si>
  <si>
    <t>leila joana marcondes nellio</t>
  </si>
  <si>
    <t>presidencial</t>
  </si>
  <si>
    <t>marcos roberto barbosa</t>
  </si>
  <si>
    <t xml:space="preserve">    sauna</t>
  </si>
  <si>
    <t>dagoberto fagundes filho</t>
  </si>
  <si>
    <t xml:space="preserve">      simples</t>
  </si>
  <si>
    <t>josé roberto soares filho</t>
  </si>
  <si>
    <t xml:space="preserve">    master</t>
  </si>
  <si>
    <t>katarina fergunson</t>
  </si>
  <si>
    <t xml:space="preserve">   cobertura</t>
  </si>
  <si>
    <t>ACOMODAÇÕES</t>
  </si>
  <si>
    <t>TIPO</t>
  </si>
  <si>
    <t>VALOR</t>
  </si>
  <si>
    <t>SIMPLES</t>
  </si>
  <si>
    <t>SAUNA</t>
  </si>
  <si>
    <t>MASTER</t>
  </si>
  <si>
    <t>PRESIDENCIAL</t>
  </si>
  <si>
    <t>COBERTURA</t>
  </si>
  <si>
    <t>GASTOS EXTRAS</t>
  </si>
  <si>
    <t>VALOR GASTO EXTRA</t>
  </si>
  <si>
    <t>frigobar</t>
  </si>
  <si>
    <t>piscina</t>
  </si>
  <si>
    <t>piscina e frigobar</t>
  </si>
  <si>
    <t>cassino</t>
  </si>
  <si>
    <t>cassino e piscina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</si>
</sst>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20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8" tint="0.59999389629810485"/>
        <bgColor indexed="65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1" fillId="3" borderId="0" applyNumberFormat="0" applyBorder="0" applyAlignment="0" applyProtection="0"/>
  </cellStyleXfs>
  <cellXfs count="13">
    <xf numFmtId="0" fontId="0" fillId="0" borderId="0" xfId="0"/>
    <xf numFmtId="44" fontId="0" fillId="0" borderId="0" xfId="1" applyFont="1"/>
    <xf numFmtId="0" fontId="0" fillId="0" borderId="1" xfId="0" applyBorder="1"/>
    <xf numFmtId="14" fontId="0" fillId="0" borderId="1" xfId="0" applyNumberFormat="1" applyBorder="1"/>
    <xf numFmtId="44" fontId="0" fillId="0" borderId="1" xfId="1" applyFont="1" applyBorder="1"/>
    <xf numFmtId="0" fontId="2" fillId="2" borderId="1" xfId="0" applyFont="1" applyFill="1" applyBorder="1" applyAlignment="1">
      <alignment horizontal="center" vertical="center" wrapText="1"/>
    </xf>
    <xf numFmtId="44" fontId="2" fillId="2" borderId="1" xfId="1" applyFont="1" applyFill="1" applyBorder="1" applyAlignment="1">
      <alignment horizontal="center" vertical="center" wrapText="1"/>
    </xf>
    <xf numFmtId="0" fontId="2" fillId="2" borderId="1" xfId="0" applyFont="1" applyFill="1" applyBorder="1"/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left" vertical="top"/>
    </xf>
    <xf numFmtId="0" fontId="3" fillId="0" borderId="0" xfId="0" applyFont="1" applyAlignment="1">
      <alignment horizontal="center"/>
    </xf>
    <xf numFmtId="0" fontId="4" fillId="3" borderId="0" xfId="2" applyFont="1" applyAlignment="1">
      <alignment horizontal="center"/>
    </xf>
    <xf numFmtId="0" fontId="2" fillId="2" borderId="1" xfId="0" applyFont="1" applyFill="1" applyBorder="1" applyAlignment="1">
      <alignment horizontal="center"/>
    </xf>
  </cellXfs>
  <cellStyles count="3">
    <cellStyle name="40% - Ênfase5" xfId="2" builtinId="47"/>
    <cellStyle name="Moeda" xfId="1" builtinId="4"/>
    <cellStyle name="Normal" xfId="0" builtinId="0"/>
  </cellStyles>
  <dxfs count="0"/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2"/>
  <sheetViews>
    <sheetView workbookViewId="0">
      <selection activeCell="D4" sqref="D4"/>
    </sheetView>
  </sheetViews>
  <sheetFormatPr defaultRowHeight="15" x14ac:dyDescent="0.25"/>
  <cols>
    <col min="1" max="1" width="29.85546875" customWidth="1"/>
    <col min="2" max="2" width="11.28515625" customWidth="1"/>
    <col min="3" max="3" width="11.140625" customWidth="1"/>
    <col min="4" max="4" width="14.7109375" customWidth="1"/>
    <col min="5" max="5" width="12" style="1" customWidth="1"/>
    <col min="7" max="7" width="16.28515625" bestFit="1" customWidth="1"/>
    <col min="8" max="8" width="15.7109375" style="1" customWidth="1"/>
    <col min="9" max="9" width="13.42578125" style="1" customWidth="1"/>
  </cols>
  <sheetData>
    <row r="1" spans="1:9" ht="26.25" x14ac:dyDescent="0.4">
      <c r="A1" s="11" t="s">
        <v>0</v>
      </c>
      <c r="B1" s="11"/>
      <c r="C1" s="11"/>
      <c r="D1" s="11"/>
      <c r="E1" s="11"/>
      <c r="F1" s="11"/>
      <c r="G1" s="11"/>
      <c r="H1" s="11"/>
      <c r="I1" s="11"/>
    </row>
    <row r="3" spans="1:9" ht="30" x14ac:dyDescent="0.25">
      <c r="A3" s="5" t="s">
        <v>1</v>
      </c>
      <c r="B3" s="5" t="s">
        <v>2</v>
      </c>
      <c r="C3" s="5" t="s">
        <v>3</v>
      </c>
      <c r="D3" s="5" t="s">
        <v>4</v>
      </c>
      <c r="E3" s="6" t="s">
        <v>5</v>
      </c>
      <c r="F3" s="5" t="s">
        <v>6</v>
      </c>
      <c r="G3" s="5" t="s">
        <v>33</v>
      </c>
      <c r="H3" s="6" t="s">
        <v>34</v>
      </c>
      <c r="I3" s="6" t="s">
        <v>7</v>
      </c>
    </row>
    <row r="4" spans="1:9" x14ac:dyDescent="0.25">
      <c r="A4" s="2" t="s">
        <v>8</v>
      </c>
      <c r="B4" s="3">
        <v>41286</v>
      </c>
      <c r="C4" s="3">
        <v>41289</v>
      </c>
      <c r="D4" s="2" t="s">
        <v>11</v>
      </c>
      <c r="E4" s="4"/>
      <c r="F4" s="2"/>
      <c r="G4" s="2" t="s">
        <v>35</v>
      </c>
      <c r="H4" s="4">
        <v>45</v>
      </c>
      <c r="I4" s="4"/>
    </row>
    <row r="5" spans="1:9" x14ac:dyDescent="0.25">
      <c r="A5" s="2" t="s">
        <v>9</v>
      </c>
      <c r="B5" s="3">
        <v>41287</v>
      </c>
      <c r="C5" s="3">
        <v>41296</v>
      </c>
      <c r="D5" s="2" t="s">
        <v>12</v>
      </c>
      <c r="E5" s="4"/>
      <c r="F5" s="2"/>
      <c r="G5" s="2" t="s">
        <v>36</v>
      </c>
      <c r="H5" s="4">
        <v>60</v>
      </c>
      <c r="I5" s="4"/>
    </row>
    <row r="6" spans="1:9" x14ac:dyDescent="0.25">
      <c r="A6" s="2" t="s">
        <v>10</v>
      </c>
      <c r="B6" s="3">
        <v>41289</v>
      </c>
      <c r="C6" s="3">
        <v>41294</v>
      </c>
      <c r="D6" s="2" t="s">
        <v>11</v>
      </c>
      <c r="E6" s="4"/>
      <c r="F6" s="2"/>
      <c r="G6" s="2" t="s">
        <v>35</v>
      </c>
      <c r="H6" s="4">
        <v>123.89</v>
      </c>
      <c r="I6" s="4"/>
    </row>
    <row r="7" spans="1:9" x14ac:dyDescent="0.25">
      <c r="A7" s="2" t="s">
        <v>13</v>
      </c>
      <c r="B7" s="3">
        <v>41289</v>
      </c>
      <c r="C7" s="3">
        <v>41295</v>
      </c>
      <c r="D7" s="2" t="s">
        <v>14</v>
      </c>
      <c r="E7" s="4"/>
      <c r="F7" s="2"/>
      <c r="G7" s="2"/>
      <c r="H7" s="4"/>
      <c r="I7" s="4"/>
    </row>
    <row r="8" spans="1:9" x14ac:dyDescent="0.25">
      <c r="A8" s="2" t="s">
        <v>15</v>
      </c>
      <c r="B8" s="3">
        <v>41294</v>
      </c>
      <c r="C8" s="3">
        <v>41304</v>
      </c>
      <c r="D8" s="2" t="s">
        <v>16</v>
      </c>
      <c r="E8" s="4"/>
      <c r="F8" s="2"/>
      <c r="G8" s="2" t="s">
        <v>37</v>
      </c>
      <c r="H8" s="4">
        <v>340</v>
      </c>
      <c r="I8" s="4"/>
    </row>
    <row r="9" spans="1:9" x14ac:dyDescent="0.25">
      <c r="A9" s="2" t="s">
        <v>17</v>
      </c>
      <c r="B9" s="3">
        <v>41295</v>
      </c>
      <c r="C9" s="3">
        <v>41309</v>
      </c>
      <c r="D9" s="2" t="s">
        <v>18</v>
      </c>
      <c r="E9" s="4"/>
      <c r="F9" s="2"/>
      <c r="G9" s="2" t="s">
        <v>38</v>
      </c>
      <c r="H9" s="4">
        <v>240</v>
      </c>
      <c r="I9" s="4"/>
    </row>
    <row r="10" spans="1:9" x14ac:dyDescent="0.25">
      <c r="A10" s="2" t="s">
        <v>19</v>
      </c>
      <c r="B10" s="3">
        <v>41299</v>
      </c>
      <c r="C10" s="3">
        <v>41303</v>
      </c>
      <c r="D10" s="2" t="s">
        <v>20</v>
      </c>
      <c r="E10" s="4"/>
      <c r="F10" s="2"/>
      <c r="G10" s="2"/>
      <c r="H10" s="4"/>
      <c r="I10" s="4"/>
    </row>
    <row r="11" spans="1:9" x14ac:dyDescent="0.25">
      <c r="A11" s="2" t="s">
        <v>21</v>
      </c>
      <c r="B11" s="3">
        <v>41300</v>
      </c>
      <c r="C11" s="3">
        <v>41301</v>
      </c>
      <c r="D11" s="2" t="s">
        <v>22</v>
      </c>
      <c r="E11" s="4"/>
      <c r="F11" s="2"/>
      <c r="G11" s="2" t="s">
        <v>39</v>
      </c>
      <c r="H11" s="4">
        <v>780</v>
      </c>
      <c r="I11" s="4"/>
    </row>
    <row r="12" spans="1:9" x14ac:dyDescent="0.25">
      <c r="A12" s="2" t="s">
        <v>23</v>
      </c>
      <c r="B12" s="3">
        <v>41301</v>
      </c>
      <c r="C12" s="3">
        <v>41305</v>
      </c>
      <c r="D12" s="2" t="s">
        <v>24</v>
      </c>
      <c r="E12" s="4"/>
      <c r="F12" s="2"/>
      <c r="G12" s="2" t="s">
        <v>35</v>
      </c>
      <c r="H12" s="4">
        <v>76</v>
      </c>
      <c r="I12" s="4"/>
    </row>
  </sheetData>
  <mergeCells count="1">
    <mergeCell ref="A1:I1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2"/>
  <sheetViews>
    <sheetView tabSelected="1" workbookViewId="0">
      <selection activeCell="G22" sqref="G22"/>
    </sheetView>
  </sheetViews>
  <sheetFormatPr defaultRowHeight="15" x14ac:dyDescent="0.25"/>
  <cols>
    <col min="1" max="1" width="26.42578125" bestFit="1" customWidth="1"/>
    <col min="2" max="3" width="10.7109375" bestFit="1" customWidth="1"/>
    <col min="4" max="4" width="15" customWidth="1"/>
    <col min="5" max="5" width="13.140625" customWidth="1"/>
    <col min="6" max="6" width="11.5703125" customWidth="1"/>
    <col min="7" max="7" width="19.28515625" bestFit="1" customWidth="1"/>
    <col min="8" max="8" width="15.7109375" customWidth="1"/>
    <col min="9" max="9" width="14.85546875" customWidth="1"/>
  </cols>
  <sheetData>
    <row r="1" spans="1:9" ht="21" x14ac:dyDescent="0.35">
      <c r="A1" s="10" t="s">
        <v>0</v>
      </c>
      <c r="B1" s="10"/>
      <c r="C1" s="10"/>
      <c r="D1" s="10"/>
      <c r="E1" s="10"/>
      <c r="F1" s="10"/>
      <c r="G1" s="10"/>
      <c r="H1" s="10"/>
      <c r="I1" s="10"/>
    </row>
    <row r="2" spans="1:9" x14ac:dyDescent="0.25">
      <c r="E2" s="1"/>
      <c r="I2" s="1"/>
    </row>
    <row r="3" spans="1:9" ht="30" x14ac:dyDescent="0.25">
      <c r="A3" s="5" t="s">
        <v>1</v>
      </c>
      <c r="B3" s="5" t="s">
        <v>2</v>
      </c>
      <c r="C3" s="5" t="s">
        <v>3</v>
      </c>
      <c r="D3" s="5" t="s">
        <v>4</v>
      </c>
      <c r="E3" s="6" t="s">
        <v>5</v>
      </c>
      <c r="F3" s="5" t="s">
        <v>6</v>
      </c>
      <c r="G3" s="5" t="s">
        <v>33</v>
      </c>
      <c r="H3" s="5" t="s">
        <v>34</v>
      </c>
      <c r="I3" s="6" t="s">
        <v>7</v>
      </c>
    </row>
    <row r="4" spans="1:9" x14ac:dyDescent="0.25">
      <c r="A4" s="2" t="str">
        <f>PROPER(ORIGINAL!A4)</f>
        <v>Luciano Mendes</v>
      </c>
      <c r="B4" s="3">
        <v>41286</v>
      </c>
      <c r="C4" s="3">
        <v>41289</v>
      </c>
      <c r="D4" s="9" t="str">
        <f>PROPER(TRIM(ORIGINAL!D4))</f>
        <v>Simples</v>
      </c>
      <c r="E4" s="4">
        <f>VLOOKUP(D4,ACOMODAÇÕES!$A$3:$B$7,2,FALSE)</f>
        <v>120</v>
      </c>
      <c r="F4" s="8">
        <f>C4-B4</f>
        <v>3</v>
      </c>
      <c r="G4" s="2" t="str">
        <f>UPPER(ORIGINAL!G4)</f>
        <v>FRIGOBAR</v>
      </c>
      <c r="H4" s="4">
        <v>45</v>
      </c>
      <c r="I4" s="4">
        <f>SUM(E4*F4+H4)</f>
        <v>405</v>
      </c>
    </row>
    <row r="5" spans="1:9" x14ac:dyDescent="0.25">
      <c r="A5" s="2" t="str">
        <f>PROPER(ORIGINAL!A5)</f>
        <v>Reginaldo Ferreira</v>
      </c>
      <c r="B5" s="3">
        <v>41287</v>
      </c>
      <c r="C5" s="3">
        <v>41296</v>
      </c>
      <c r="D5" s="9" t="str">
        <f>PROPER(TRIM(ORIGINAL!D5))</f>
        <v>Master</v>
      </c>
      <c r="E5" s="4">
        <f>VLOOKUP(D5,ACOMODAÇÕES!$A$3:$B$7,2,FALSE)</f>
        <v>250</v>
      </c>
      <c r="F5" s="8">
        <f t="shared" ref="F5:F12" si="0">C5-B5</f>
        <v>9</v>
      </c>
      <c r="G5" s="2" t="str">
        <f>UPPER(ORIGINAL!G5)</f>
        <v>PISCINA</v>
      </c>
      <c r="H5" s="4">
        <v>60</v>
      </c>
      <c r="I5" s="4">
        <f t="shared" ref="I5:I12" si="1">SUM(E5*F5+H5)</f>
        <v>2310</v>
      </c>
    </row>
    <row r="6" spans="1:9" x14ac:dyDescent="0.25">
      <c r="A6" s="2" t="str">
        <f>PROPER(ORIGINAL!A6)</f>
        <v xml:space="preserve">Maria Helena </v>
      </c>
      <c r="B6" s="3">
        <v>41289</v>
      </c>
      <c r="C6" s="3">
        <v>41294</v>
      </c>
      <c r="D6" s="9" t="str">
        <f>PROPER(TRIM(ORIGINAL!D6))</f>
        <v>Simples</v>
      </c>
      <c r="E6" s="4">
        <f>VLOOKUP(D6,ACOMODAÇÕES!$A$3:$B$7,2,FALSE)</f>
        <v>120</v>
      </c>
      <c r="F6" s="8">
        <f t="shared" si="0"/>
        <v>5</v>
      </c>
      <c r="G6" s="2" t="str">
        <f>UPPER(ORIGINAL!G6)</f>
        <v>FRIGOBAR</v>
      </c>
      <c r="H6" s="4">
        <v>123.89</v>
      </c>
      <c r="I6" s="4">
        <f t="shared" si="1"/>
        <v>723.89</v>
      </c>
    </row>
    <row r="7" spans="1:9" x14ac:dyDescent="0.25">
      <c r="A7" s="2" t="str">
        <f>PROPER(ORIGINAL!A7)</f>
        <v>Rosana Madureira Gonçalves</v>
      </c>
      <c r="B7" s="3">
        <v>41289</v>
      </c>
      <c r="C7" s="3">
        <v>41295</v>
      </c>
      <c r="D7" s="9" t="str">
        <f>PROPER(TRIM(ORIGINAL!D7))</f>
        <v>Cobertura</v>
      </c>
      <c r="E7" s="4">
        <f>VLOOKUP(D7,ACOMODAÇÕES!$A$3:$B$7,2,FALSE)</f>
        <v>500</v>
      </c>
      <c r="F7" s="8">
        <f t="shared" si="0"/>
        <v>6</v>
      </c>
      <c r="G7" s="2" t="str">
        <f>UPPER(ORIGINAL!G7)</f>
        <v/>
      </c>
      <c r="H7" s="4"/>
      <c r="I7" s="4">
        <f t="shared" si="1"/>
        <v>3000</v>
      </c>
    </row>
    <row r="8" spans="1:9" x14ac:dyDescent="0.25">
      <c r="A8" s="2" t="str">
        <f>PROPER(ORIGINAL!A8)</f>
        <v>Leila Joana Marcondes Nellio</v>
      </c>
      <c r="B8" s="3">
        <v>41294</v>
      </c>
      <c r="C8" s="3">
        <v>41304</v>
      </c>
      <c r="D8" s="9" t="str">
        <f>PROPER(TRIM(ORIGINAL!D8))</f>
        <v>Presidencial</v>
      </c>
      <c r="E8" s="4">
        <f>VLOOKUP(D8,ACOMODAÇÕES!$A$3:$B$7,2,FALSE)</f>
        <v>350</v>
      </c>
      <c r="F8" s="8">
        <f t="shared" si="0"/>
        <v>10</v>
      </c>
      <c r="G8" s="2" t="str">
        <f>UPPER(ORIGINAL!G8)</f>
        <v>PISCINA E FRIGOBAR</v>
      </c>
      <c r="H8" s="4">
        <v>340</v>
      </c>
      <c r="I8" s="4">
        <f t="shared" si="1"/>
        <v>3840</v>
      </c>
    </row>
    <row r="9" spans="1:9" x14ac:dyDescent="0.25">
      <c r="A9" s="2" t="str">
        <f>PROPER(ORIGINAL!A9)</f>
        <v>Marcos Roberto Barbosa</v>
      </c>
      <c r="B9" s="3">
        <v>41295</v>
      </c>
      <c r="C9" s="3">
        <v>41309</v>
      </c>
      <c r="D9" s="9" t="str">
        <f>PROPER(TRIM(ORIGINAL!D9))</f>
        <v>Sauna</v>
      </c>
      <c r="E9" s="4">
        <f>VLOOKUP(D9,ACOMODAÇÕES!$A$3:$B$7,2,FALSE)</f>
        <v>200</v>
      </c>
      <c r="F9" s="8">
        <f t="shared" si="0"/>
        <v>14</v>
      </c>
      <c r="G9" s="2" t="str">
        <f>UPPER(ORIGINAL!G9)</f>
        <v>CASSINO</v>
      </c>
      <c r="H9" s="4">
        <v>240</v>
      </c>
      <c r="I9" s="4">
        <f t="shared" si="1"/>
        <v>3040</v>
      </c>
    </row>
    <row r="10" spans="1:9" x14ac:dyDescent="0.25">
      <c r="A10" s="2" t="str">
        <f>PROPER(ORIGINAL!A10)</f>
        <v>Dagoberto Fagundes Filho</v>
      </c>
      <c r="B10" s="3">
        <v>41299</v>
      </c>
      <c r="C10" s="3">
        <v>41303</v>
      </c>
      <c r="D10" s="9" t="str">
        <f>PROPER(TRIM(ORIGINAL!D10))</f>
        <v>Simples</v>
      </c>
      <c r="E10" s="4">
        <f>VLOOKUP(D10,ACOMODAÇÕES!$A$3:$B$7,2,FALSE)</f>
        <v>120</v>
      </c>
      <c r="F10" s="8">
        <f t="shared" si="0"/>
        <v>4</v>
      </c>
      <c r="G10" s="2" t="str">
        <f>UPPER(ORIGINAL!G10)</f>
        <v/>
      </c>
      <c r="H10" s="4"/>
      <c r="I10" s="4">
        <f t="shared" si="1"/>
        <v>480</v>
      </c>
    </row>
    <row r="11" spans="1:9" x14ac:dyDescent="0.25">
      <c r="A11" s="2" t="str">
        <f>PROPER(ORIGINAL!A11)</f>
        <v>José Roberto Soares Filho</v>
      </c>
      <c r="B11" s="3">
        <v>41300</v>
      </c>
      <c r="C11" s="3">
        <v>41301</v>
      </c>
      <c r="D11" s="9" t="str">
        <f>PROPER(TRIM(ORIGINAL!D11))</f>
        <v>Master</v>
      </c>
      <c r="E11" s="4">
        <f>VLOOKUP(D11,ACOMODAÇÕES!$A$3:$B$7,2,FALSE)</f>
        <v>250</v>
      </c>
      <c r="F11" s="8">
        <f t="shared" si="0"/>
        <v>1</v>
      </c>
      <c r="G11" s="2" t="str">
        <f>UPPER(ORIGINAL!G11)</f>
        <v>CASSINO E PISCINA</v>
      </c>
      <c r="H11" s="4">
        <v>780</v>
      </c>
      <c r="I11" s="4">
        <f t="shared" si="1"/>
        <v>1030</v>
      </c>
    </row>
    <row r="12" spans="1:9" x14ac:dyDescent="0.25">
      <c r="A12" s="2" t="str">
        <f>PROPER(ORIGINAL!A12)</f>
        <v>Katarina Fergunson</v>
      </c>
      <c r="B12" s="3">
        <v>41301</v>
      </c>
      <c r="C12" s="3">
        <v>41305</v>
      </c>
      <c r="D12" s="9" t="str">
        <f>PROPER(TRIM(ORIGINAL!D12))</f>
        <v>Cobertura</v>
      </c>
      <c r="E12" s="4">
        <f>VLOOKUP(D12,ACOMODAÇÕES!$A$3:$B$7,2,FALSE)</f>
        <v>500</v>
      </c>
      <c r="F12" s="8">
        <f t="shared" si="0"/>
        <v>4</v>
      </c>
      <c r="G12" s="2" t="str">
        <f>UPPER(ORIGINAL!G12)</f>
        <v>FRIGOBAR</v>
      </c>
      <c r="H12" s="4">
        <v>76</v>
      </c>
      <c r="I12" s="4">
        <f t="shared" si="1"/>
        <v>2076</v>
      </c>
    </row>
  </sheetData>
  <mergeCells count="1">
    <mergeCell ref="A1:I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7"/>
  <sheetViews>
    <sheetView workbookViewId="0">
      <selection activeCell="D17" sqref="D17"/>
    </sheetView>
  </sheetViews>
  <sheetFormatPr defaultRowHeight="15" x14ac:dyDescent="0.25"/>
  <cols>
    <col min="1" max="1" width="17.7109375" customWidth="1"/>
    <col min="2" max="2" width="10.5703125" bestFit="1" customWidth="1"/>
  </cols>
  <sheetData>
    <row r="1" spans="1:2" x14ac:dyDescent="0.25">
      <c r="A1" s="12" t="s">
        <v>25</v>
      </c>
      <c r="B1" s="12"/>
    </row>
    <row r="2" spans="1:2" x14ac:dyDescent="0.25">
      <c r="A2" s="7" t="s">
        <v>26</v>
      </c>
      <c r="B2" s="7" t="s">
        <v>27</v>
      </c>
    </row>
    <row r="3" spans="1:2" x14ac:dyDescent="0.25">
      <c r="A3" s="2" t="s">
        <v>28</v>
      </c>
      <c r="B3" s="4">
        <v>120</v>
      </c>
    </row>
    <row r="4" spans="1:2" x14ac:dyDescent="0.25">
      <c r="A4" s="2" t="s">
        <v>29</v>
      </c>
      <c r="B4" s="4">
        <v>200</v>
      </c>
    </row>
    <row r="5" spans="1:2" x14ac:dyDescent="0.25">
      <c r="A5" s="2" t="s">
        <v>30</v>
      </c>
      <c r="B5" s="4">
        <v>250</v>
      </c>
    </row>
    <row r="6" spans="1:2" x14ac:dyDescent="0.25">
      <c r="A6" s="2" t="s">
        <v>31</v>
      </c>
      <c r="B6" s="4">
        <v>350</v>
      </c>
    </row>
    <row r="7" spans="1:2" x14ac:dyDescent="0.25">
      <c r="A7" s="2" t="s">
        <v>32</v>
      </c>
      <c r="B7" s="4">
        <v>500</v>
      </c>
    </row>
  </sheetData>
  <mergeCells count="1">
    <mergeCell ref="A1:B1"/>
  </mergeCells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CEB2B541769F8A4991DE642272C524BB" ma:contentTypeVersion="0" ma:contentTypeDescription="Crie um novo documento." ma:contentTypeScope="" ma:versionID="7ae862ae5010eca0394e8ac9f072291e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397561fba88d9dece65508bac662637b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9DB20E4-C695-4F37-AD43-56D310C16F20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09D21F84-A1F0-435E-BDCD-7C9AA916C97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894E504-1C78-4C11-A2BC-097F0BBB735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ORIGINAL</vt:lpstr>
      <vt:lpstr>CORRIGIDA</vt:lpstr>
      <vt:lpstr>ACOMODAÇÕES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Silvia</dc:creator>
  <cp:lastModifiedBy>YURI DA SILVA MENDES</cp:lastModifiedBy>
  <dcterms:created xsi:type="dcterms:W3CDTF">2011-07-08T16:09:55Z</dcterms:created>
  <dcterms:modified xsi:type="dcterms:W3CDTF">2026-09-30T22:56:14Z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0x010100CEB2B541769F8A4991DE642272C524BB</vt:lpwstr>
  </property>
</Properties>
</file>