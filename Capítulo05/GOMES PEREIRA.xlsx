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5/"/>
    </mc:Choice>
  </mc:AlternateContent>
  <xr:revisionPtr revIDLastSave="526" documentId="13_ncr:1_{14B14226-F974-43A2-9F36-8BB23CBE65E4}" xr6:coauthVersionLast="47" xr6:coauthVersionMax="47" xr10:uidLastSave="{7244862F-DB75-4E0C-A96D-0849879F7482}"/>
  <bookViews>
    <workbookView xWindow="-120" yWindow="-120" windowWidth="29040" windowHeight="15720" activeTab="2" xr2:uid="{00000000-000D-0000-FFFF-FFFF00000000}"/>
  </bookViews>
  <sheets>
    <sheet name="Planilha2" sheetId="5" r:id="rId1"/>
    <sheet name="TABdinamica" sheetId="6" r:id="rId2"/>
    <sheet name="CADASTRO" sheetId="1" r:id="rId3"/>
    <sheet name="RELATÓRIO" sheetId="2" r:id="rId4"/>
    <sheet name="CRITÉRIOS" sheetId="3" r:id="rId5"/>
    <sheet name="Planilha1" sheetId="4" r:id="rId6"/>
  </sheets>
  <definedNames>
    <definedName name="_xlnm._FilterDatabase" localSheetId="2" hidden="1">CADASTRO!$A$2:$F$104</definedName>
    <definedName name="ADM">CRITÉRIOS!$A$1:$A$2</definedName>
    <definedName name="adm_max_idd">CRITÉRIOS!$H$1:$I$2</definedName>
    <definedName name="adm_max_sal">CRITÉRIOS!$A$1:$B$2</definedName>
    <definedName name="adm_min_idd">CRITÉRIOS!$K$1:$L$2</definedName>
    <definedName name="adm_min_sal">CRITÉRIOS!$D$1:$E$2</definedName>
    <definedName name="analista">CRITÉRIOS!$A$10:$A$11</definedName>
    <definedName name="assistente">CRITÉRIOS!$A$12:$A$13</definedName>
    <definedName name="cargo">CADASTRO!$C$2</definedName>
    <definedName name="DADOS">CADASTRO!$A$2:$F$104</definedName>
    <definedName name="FIN">CRITÉRIOS!$A$3:$A$4</definedName>
    <definedName name="fin_max_idd">CRITÉRIOS!$H$3:$I$4</definedName>
    <definedName name="fin_max_sal">CRITÉRIOS!$A$3:$B$4</definedName>
    <definedName name="fin_min_idd">CRITÉRIOS!$K$3:$L$4</definedName>
    <definedName name="fin_min_sal">CRITÉRIOS!$D$3:$E$4</definedName>
    <definedName name="funcionario">CADASTRO!$A$2</definedName>
    <definedName name="gerente">CRITÉRIOS!$A$16:$A$17</definedName>
    <definedName name="idade">CADASTRO!$F$2</definedName>
    <definedName name="INF">CRITÉRIOS!$A$5:$A$6</definedName>
    <definedName name="inf_max_idd">CRITÉRIOS!$H$5:$I$6</definedName>
    <definedName name="inf_max_sal">CRITÉRIOS!$A$5:$B$6</definedName>
    <definedName name="inf_min_idd">CRITÉRIOS!$K$5:$L$6</definedName>
    <definedName name="inf_min_sal">CRITÉRIOS!$D$5:$E$6</definedName>
    <definedName name="RH">CRITÉRIOS!$A$7:$A$8</definedName>
    <definedName name="rh_max_idd">CRITÉRIOS!$H$7:$I$8</definedName>
    <definedName name="rh_max_sal">CRITÉRIOS!$A$7:$B$8</definedName>
    <definedName name="rh_min_idd">CRITÉRIOS!$K$7:$L$8</definedName>
    <definedName name="rh_min_sal">CRITÉRIOS!$D$7:$E$8</definedName>
    <definedName name="salario">CADASTRO!$D$2</definedName>
    <definedName name="tecnico">CRITÉRIOS!$A$14:$A$15</definedName>
  </definedNames>
  <calcPr calcId="191029"/>
  <pivotCaches>
    <pivotCache cacheId="4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3" l="1"/>
  <c r="L15" i="3"/>
  <c r="L13" i="3"/>
  <c r="L11" i="3"/>
  <c r="I17" i="3"/>
  <c r="I15" i="3"/>
  <c r="I13" i="3"/>
  <c r="I11" i="3"/>
  <c r="E17" i="3"/>
  <c r="E15" i="3"/>
  <c r="E13" i="3"/>
  <c r="E11" i="3"/>
  <c r="B17" i="3"/>
  <c r="B15" i="3"/>
  <c r="B13" i="3"/>
  <c r="B11" i="3"/>
  <c r="B11" i="2"/>
  <c r="H3" i="2"/>
  <c r="F3" i="2"/>
  <c r="E2" i="3" s="1"/>
  <c r="G3" i="2" s="1"/>
  <c r="D3" i="2"/>
  <c r="B2" i="3" s="1"/>
  <c r="E3" i="2" s="1"/>
  <c r="C3" i="2"/>
  <c r="F6" i="2"/>
  <c r="E8" i="3" s="1"/>
  <c r="G6" i="2" s="1"/>
  <c r="F5" i="2"/>
  <c r="E6" i="3" s="1"/>
  <c r="G5" i="2" s="1"/>
  <c r="F4" i="2"/>
  <c r="E4" i="3" s="1"/>
  <c r="G4" i="2" s="1"/>
  <c r="H6" i="2"/>
  <c r="H5" i="2"/>
  <c r="H4" i="2"/>
  <c r="D6" i="2"/>
  <c r="B8" i="3" s="1"/>
  <c r="E6" i="2" s="1"/>
  <c r="D5" i="2"/>
  <c r="B6" i="3" s="1"/>
  <c r="E5" i="2" s="1"/>
  <c r="D4" i="2"/>
  <c r="B4" i="3" s="1"/>
  <c r="E4" i="2" s="1"/>
  <c r="C6" i="2"/>
  <c r="C5" i="2"/>
  <c r="C4" i="2"/>
  <c r="B4" i="2"/>
  <c r="B6" i="2"/>
  <c r="B5" i="2"/>
  <c r="B3" i="2"/>
  <c r="H3" i="1"/>
  <c r="F3" i="1"/>
  <c r="F45" i="1"/>
  <c r="F5" i="1"/>
  <c r="F4" i="1"/>
  <c r="F7" i="1"/>
  <c r="F8" i="1"/>
  <c r="F9" i="1"/>
  <c r="F10" i="1"/>
  <c r="F11" i="1"/>
  <c r="F12" i="1"/>
  <c r="F13" i="1"/>
  <c r="F14" i="1"/>
  <c r="F15" i="1"/>
  <c r="F16" i="1"/>
  <c r="F17" i="1"/>
  <c r="F18" i="1"/>
  <c r="F25" i="1"/>
  <c r="F20" i="1"/>
  <c r="F21" i="1"/>
  <c r="F22" i="1"/>
  <c r="F23" i="1"/>
  <c r="F24" i="1"/>
  <c r="F6" i="1"/>
  <c r="F26" i="1"/>
  <c r="F27" i="1"/>
  <c r="F28" i="1"/>
  <c r="F29" i="1"/>
  <c r="F30" i="1"/>
  <c r="F31" i="1"/>
  <c r="F32" i="1"/>
  <c r="F33" i="1"/>
  <c r="F34" i="1"/>
  <c r="F35" i="1"/>
  <c r="F36" i="1"/>
  <c r="F57" i="1"/>
  <c r="F38" i="1"/>
  <c r="F39" i="1"/>
  <c r="F40" i="1"/>
  <c r="F41" i="1"/>
  <c r="F42" i="1"/>
  <c r="F43" i="1"/>
  <c r="F44" i="1"/>
  <c r="F93" i="1"/>
  <c r="F46" i="1"/>
  <c r="F19" i="1"/>
  <c r="F48" i="1"/>
  <c r="F49" i="1"/>
  <c r="F50" i="1"/>
  <c r="F51" i="1"/>
  <c r="F52" i="1"/>
  <c r="F53" i="1"/>
  <c r="F54" i="1"/>
  <c r="F55" i="1"/>
  <c r="F56" i="1"/>
  <c r="F103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47" i="1"/>
  <c r="F94" i="1"/>
  <c r="F95" i="1"/>
  <c r="F96" i="1"/>
  <c r="F97" i="1"/>
  <c r="F98" i="1"/>
  <c r="F99" i="1"/>
  <c r="F100" i="1"/>
  <c r="F101" i="1"/>
  <c r="F102" i="1"/>
  <c r="F37" i="1"/>
  <c r="F104" i="1"/>
  <c r="I3" i="2" l="1"/>
  <c r="I2" i="3" s="1"/>
  <c r="J3" i="2" s="1"/>
  <c r="I5" i="2"/>
  <c r="I6" i="3" s="1"/>
  <c r="J5" i="2" s="1"/>
  <c r="I6" i="2"/>
  <c r="I8" i="3" s="1"/>
  <c r="J6" i="2" s="1"/>
  <c r="K6" i="2"/>
  <c r="L8" i="3" s="1"/>
  <c r="L6" i="2" s="1"/>
  <c r="K4" i="2"/>
  <c r="L4" i="3" s="1"/>
  <c r="L4" i="2" s="1"/>
  <c r="K5" i="2"/>
  <c r="L6" i="3" s="1"/>
  <c r="L5" i="2" s="1"/>
  <c r="I4" i="2"/>
  <c r="I4" i="3" s="1"/>
  <c r="J4" i="2" s="1"/>
  <c r="K3" i="2"/>
  <c r="L2" i="3" s="1"/>
  <c r="L3" i="2" s="1"/>
</calcChain>
</file>

<file path=xl/sharedStrings.xml><?xml version="1.0" encoding="utf-8"?>
<sst xmlns="http://schemas.openxmlformats.org/spreadsheetml/2006/main" count="689" uniqueCount="152">
  <si>
    <t>FUNCIONÁRIO</t>
  </si>
  <si>
    <t>DEPARTAMENTO</t>
  </si>
  <si>
    <t>CARGO</t>
  </si>
  <si>
    <t>SALÁRIO</t>
  </si>
  <si>
    <t>DATA NASCIMENTO</t>
  </si>
  <si>
    <t>IDADE</t>
  </si>
  <si>
    <t>Inês Souza</t>
  </si>
  <si>
    <t>Maria do Carmo Leal</t>
  </si>
  <si>
    <t>Sonia Ferreira</t>
  </si>
  <si>
    <t>Fernando Pas</t>
  </si>
  <si>
    <t>Aline Moreno</t>
  </si>
  <si>
    <t>Tomás Ferraz</t>
  </si>
  <si>
    <t>Angélica Bueno</t>
  </si>
  <si>
    <t>Jocelyn Camargo</t>
  </si>
  <si>
    <t>Karen Rodrigues</t>
  </si>
  <si>
    <t>Luis Gabriel Norub</t>
  </si>
  <si>
    <t>Heraldo Ferreira</t>
  </si>
  <si>
    <t>João Paulo Almeida</t>
  </si>
  <si>
    <t>Ursula Hiroshi</t>
  </si>
  <si>
    <t>Yeda Farias</t>
  </si>
  <si>
    <t>Gabriel Kresko</t>
  </si>
  <si>
    <t>Amanda Colares</t>
  </si>
  <si>
    <t>Hector Beliz</t>
  </si>
  <si>
    <t>Vanda Sueres</t>
  </si>
  <si>
    <t>Galdencio Hurita</t>
  </si>
  <si>
    <t>Bernardo Lima</t>
  </si>
  <si>
    <t>Catarina Big</t>
  </si>
  <si>
    <t>Lorival Hernandes</t>
  </si>
  <si>
    <t>Cecilia Nartolli</t>
  </si>
  <si>
    <t>Isabel Garcia</t>
  </si>
  <si>
    <t>Marcos Albuquerque</t>
  </si>
  <si>
    <t>Maria Lucia Medeiros</t>
  </si>
  <si>
    <t>Marina Santana</t>
  </si>
  <si>
    <t>Marli Farias</t>
  </si>
  <si>
    <t>Ronaldo Antunes</t>
  </si>
  <si>
    <t>Rosana Gabrielli</t>
  </si>
  <si>
    <t>Roseli Marcondes</t>
  </si>
  <si>
    <t>Stella Maris</t>
  </si>
  <si>
    <t>Vera Barroso</t>
  </si>
  <si>
    <t>Máximo Queiroz</t>
  </si>
  <si>
    <t>Maria Amélia Gouveia</t>
  </si>
  <si>
    <t>Fernando Augusto Martinez</t>
  </si>
  <si>
    <t>Solange Farias</t>
  </si>
  <si>
    <t>Luciana Meirelles</t>
  </si>
  <si>
    <t>Geraldo Maximiliano</t>
  </si>
  <si>
    <t>Stella Cruz e Souza</t>
  </si>
  <si>
    <t>Marineide Novais</t>
  </si>
  <si>
    <t>Gilda Soares</t>
  </si>
  <si>
    <t>Hector Mangiolii</t>
  </si>
  <si>
    <t xml:space="preserve">Marli Vieira 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</si>
  <si>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</si>
  <si>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</si>
  <si>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</si>
  <si>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</si>
  <si>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</si>
  <si>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</si>
  <si>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</si>
  <si>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</si>
  <si>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</si>
  <si>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Ana Cristina Paiva</t>
  </si>
  <si>
    <t>Fernanda Marioni</t>
  </si>
  <si>
    <t>Isabella Raquieri</t>
  </si>
  <si>
    <t>Marcelo Aguiar</t>
  </si>
  <si>
    <t>Marco Aurélio da Silva</t>
  </si>
  <si>
    <t>Maria Luiza Nasser</t>
  </si>
  <si>
    <t>Roseli Mariachi</t>
  </si>
  <si>
    <t>Sonia Maria Pereira</t>
  </si>
  <si>
    <t>Tabata Genovich</t>
  </si>
  <si>
    <t>João Alves</t>
  </si>
  <si>
    <t>Maria Cilene Souza</t>
  </si>
  <si>
    <t>Joaquim Nabuco</t>
  </si>
  <si>
    <t>Fernando Alencar</t>
  </si>
  <si>
    <t>Roseli Hernandes</t>
  </si>
  <si>
    <t>Maraluce Gomes</t>
  </si>
  <si>
    <t>Marcos Assunção</t>
  </si>
  <si>
    <t>Henrique Girardi</t>
  </si>
  <si>
    <t>Manoel Guimarães</t>
  </si>
  <si>
    <t>Noeli Fernandes</t>
  </si>
  <si>
    <t>Nelson Cavaleiro</t>
  </si>
  <si>
    <t>Jurandir Ricce</t>
  </si>
  <si>
    <t>Maria Inês Fagundes</t>
  </si>
  <si>
    <t>Rosa Maria Garibaldo</t>
  </si>
  <si>
    <t>Alan Golden</t>
  </si>
  <si>
    <t>Fabiana Soares</t>
  </si>
  <si>
    <t>Ricardo Araras</t>
  </si>
  <si>
    <t>Katrina Feijó</t>
  </si>
  <si>
    <t>Ana Maria Bernardes</t>
  </si>
  <si>
    <t>Beatriz Saracena</t>
  </si>
  <si>
    <t>Diógenes Duarte Lima</t>
  </si>
  <si>
    <t>Fernando Coriolano</t>
  </si>
  <si>
    <t>Maria Carolina Braga</t>
  </si>
  <si>
    <t>Felipe dos Santos</t>
  </si>
  <si>
    <t>Vanderlei Higino</t>
  </si>
  <si>
    <t>Rodrigo Maia</t>
  </si>
  <si>
    <t>Alexandre Garcia Gomes</t>
  </si>
  <si>
    <t>Jussara Medeiros</t>
  </si>
  <si>
    <t>Rogerio Dias</t>
  </si>
  <si>
    <t>Jaciara Yonh</t>
  </si>
  <si>
    <t>Melina Mercurio</t>
  </si>
  <si>
    <t>Sofia Barros Maranhão</t>
  </si>
  <si>
    <t>Vanessa Silva e Souza</t>
  </si>
  <si>
    <t>Luiz André Ferreira</t>
  </si>
  <si>
    <t>Márcia Giuliani</t>
  </si>
  <si>
    <t>Jade Vinilitti</t>
  </si>
  <si>
    <t>Georgina Nythe</t>
  </si>
  <si>
    <t>Barbara Hioli</t>
  </si>
  <si>
    <t>Recursos Humanos</t>
  </si>
  <si>
    <t>Financeiro</t>
  </si>
  <si>
    <t>Administrativo</t>
  </si>
  <si>
    <t>Informática</t>
  </si>
  <si>
    <t>Assistente</t>
  </si>
  <si>
    <t>Analista</t>
  </si>
  <si>
    <t>Gerente</t>
  </si>
  <si>
    <t>Técnico</t>
  </si>
  <si>
    <t>João Moreira</t>
  </si>
  <si>
    <t>Karina Medeiros</t>
  </si>
  <si>
    <t>Soma Salários</t>
  </si>
  <si>
    <t>Média Salários</t>
  </si>
  <si>
    <t>Maior Salário</t>
  </si>
  <si>
    <t>Funcionário</t>
  </si>
  <si>
    <t>Menor Salário</t>
  </si>
  <si>
    <t>Qtd. Funcionários</t>
  </si>
  <si>
    <t>Maior Idade</t>
  </si>
  <si>
    <t>Menor Idade</t>
  </si>
  <si>
    <t>Departamento</t>
  </si>
  <si>
    <t>Cargo</t>
  </si>
  <si>
    <t>POR DEPARTAMENTO</t>
  </si>
  <si>
    <t>POR CARGO</t>
  </si>
  <si>
    <t>GOMES PEREIRA EMPREENDIMENTOS</t>
  </si>
  <si>
    <t>FUNÇÕES</t>
  </si>
  <si>
    <t>#=DATADIF(E3;HOJE();"Y") - usando a função data dif</t>
  </si>
  <si>
    <t>#=INT((HOJE()-E3)/365,25) (EM ANOS)</t>
  </si>
  <si>
    <t>#=BDSOMA(DADOS;salario;ADM)</t>
  </si>
  <si>
    <t>"ctrl +"  =  para adicionar uma linha</t>
  </si>
  <si>
    <t>#=BDMÉDIA(DADOS;salario;ADM)</t>
  </si>
  <si>
    <t>#=BDMÁX(DADOS;salario;ADM)</t>
  </si>
  <si>
    <t>#=BDMÍN(DADOS;salario;ADM)</t>
  </si>
  <si>
    <t>#=BDCONTAR(DADOS;salario;ADM)</t>
  </si>
  <si>
    <t>Salário</t>
  </si>
  <si>
    <t>←Máx</t>
  </si>
  <si>
    <t>←Min</t>
  </si>
  <si>
    <t>#=BDEXTRAIR(DADOS;funcionario;adm_max_sal)</t>
  </si>
  <si>
    <t>#=BDEXTRAIR(DADOS;funcionario;adm_min_sal)</t>
  </si>
  <si>
    <t>Idade</t>
  </si>
  <si>
    <t>Rótulos de Linha</t>
  </si>
  <si>
    <t>Total Geral</t>
  </si>
  <si>
    <t>Soma de SALÁRIO</t>
  </si>
  <si>
    <t>Soma de IDADE</t>
  </si>
  <si>
    <t>(Tudo)</t>
  </si>
  <si>
    <t>Média de SALÁRIO2</t>
  </si>
  <si>
    <t>Máx. de SALÁRIO2</t>
  </si>
  <si>
    <t>Mín. de SALÁRIO2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</si>
</sst>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5" fillId="0" borderId="0"/>
    <xf numFmtId="164" fontId="6" fillId="0" borderId="0" applyFont="0" applyFill="0" applyBorder="0" applyAlignment="0" applyProtection="0"/>
  </cellStyleXfs>
  <cellXfs count="47">
    <xf numFmtId="0" fontId="0" fillId="0" borderId="0" xfId="0"/>
    <xf numFmtId="0" fontId="1" fillId="0" borderId="1" xfId="3" applyFont="1" applyBorder="1"/>
    <xf numFmtId="14" fontId="0" fillId="0" borderId="1" xfId="0" applyNumberFormat="1" applyBorder="1"/>
    <xf numFmtId="0" fontId="2" fillId="0" borderId="1" xfId="3" applyFont="1" applyBorder="1"/>
    <xf numFmtId="0" fontId="0" fillId="0" borderId="1" xfId="0" applyBorder="1"/>
    <xf numFmtId="44" fontId="0" fillId="0" borderId="1" xfId="2" applyFont="1" applyBorder="1"/>
    <xf numFmtId="44" fontId="0" fillId="0" borderId="0" xfId="2" applyFont="1"/>
    <xf numFmtId="1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44" fontId="4" fillId="2" borderId="1" xfId="2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1" applyNumberFormat="1" applyFont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9" fillId="4" borderId="1" xfId="1" applyNumberFormat="1" applyFont="1" applyFill="1" applyBorder="1" applyAlignment="1">
      <alignment horizontal="center"/>
    </xf>
    <xf numFmtId="1" fontId="0" fillId="5" borderId="0" xfId="0" applyNumberForma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/>
    <xf numFmtId="0" fontId="4" fillId="7" borderId="0" xfId="0" applyFont="1" applyFill="1" applyAlignment="1">
      <alignment horizontal="center" vertical="center" wrapText="1"/>
    </xf>
    <xf numFmtId="44" fontId="0" fillId="8" borderId="1" xfId="2" applyFont="1" applyFill="1" applyBorder="1"/>
    <xf numFmtId="0" fontId="10" fillId="8" borderId="0" xfId="0" applyFont="1" applyFill="1"/>
    <xf numFmtId="0" fontId="10" fillId="4" borderId="0" xfId="0" applyFont="1" applyFill="1"/>
    <xf numFmtId="0" fontId="10" fillId="5" borderId="0" xfId="0" applyFont="1" applyFill="1"/>
    <xf numFmtId="44" fontId="0" fillId="9" borderId="1" xfId="2" applyFont="1" applyFill="1" applyBorder="1"/>
    <xf numFmtId="44" fontId="0" fillId="10" borderId="1" xfId="2" applyFont="1" applyFill="1" applyBorder="1"/>
    <xf numFmtId="44" fontId="0" fillId="11" borderId="1" xfId="2" applyFont="1" applyFill="1" applyBorder="1"/>
    <xf numFmtId="0" fontId="0" fillId="12" borderId="1" xfId="0" applyFill="1" applyBorder="1" applyAlignment="1">
      <alignment horizontal="center"/>
    </xf>
    <xf numFmtId="0" fontId="10" fillId="9" borderId="0" xfId="0" applyFont="1" applyFill="1"/>
    <xf numFmtId="0" fontId="10" fillId="10" borderId="0" xfId="0" applyFont="1" applyFill="1"/>
    <xf numFmtId="0" fontId="10" fillId="11" borderId="0" xfId="0" applyFont="1" applyFill="1"/>
    <xf numFmtId="0" fontId="10" fillId="12" borderId="0" xfId="0" applyFont="1" applyFill="1"/>
    <xf numFmtId="44" fontId="0" fillId="0" borderId="1" xfId="0" applyNumberFormat="1" applyBorder="1"/>
    <xf numFmtId="0" fontId="0" fillId="4" borderId="1" xfId="0" applyFill="1" applyBorder="1"/>
    <xf numFmtId="0" fontId="0" fillId="13" borderId="1" xfId="0" applyFill="1" applyBorder="1"/>
    <xf numFmtId="0" fontId="8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0" xfId="0" applyNumberFormat="1"/>
    <xf numFmtId="0" fontId="10" fillId="1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5">
    <cellStyle name="Moeda" xfId="2" builtinId="4"/>
    <cellStyle name="Moeda 2" xfId="4" xr:uid="{00000000-0005-0000-0000-000001000000}"/>
    <cellStyle name="Normal" xfId="0" builtinId="0"/>
    <cellStyle name="Normal 2" xfId="3" xr:uid="{00000000-0005-0000-0000-000003000000}"/>
    <cellStyle name="Vírgula" xfId="1" builtinId="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DA SILVA MENDES" refreshedDate="46300.902255092595" createdVersion="8" refreshedVersion="8" minRefreshableVersion="3" recordCount="102" xr:uid="{4360A9BA-6F54-4C96-9D03-92FEC243F4C1}">
  <cacheSource type="worksheet">
    <worksheetSource ref="A2:F104" sheet="CADASTRO"/>
  </cacheSource>
  <cacheFields count="9">
    <cacheField name="FUNCIONÁRIO" numFmtId="0">
      <sharedItems count="102">
        <s v="Alan Golden"/>
        <s v="Amanda Colares"/>
        <s v="Aline Moreno"/>
        <s v="Fernando Pas"/>
        <s v="Ana Cristina Paiva"/>
        <s v="Ana Maria Bernardes"/>
        <s v="Angélica Bueno"/>
        <s v="Arlete Farias"/>
        <s v="Barbara Hioli"/>
        <s v="Beatriz Domingues"/>
        <s v="Beatriz Saracena"/>
        <s v="Bernardo Lima"/>
        <s v="Camila Gonçalves"/>
        <s v="Catarina Big"/>
        <s v="Cecilia Nartolli"/>
        <s v="Diógenes Duarte Lima"/>
        <s v="Jussara Medeiros"/>
        <s v="Felipe dos Santos"/>
        <s v="Fernanda Marioni"/>
        <s v="Fernando Alencar"/>
        <s v="Fernando Augusto Martinez"/>
        <s v="Fernando Coriolano"/>
        <s v="Fabiana Soares"/>
        <s v="Gabriel Kresko"/>
        <s v="Galdencio Hurita"/>
        <s v="Georgina Nythe"/>
        <s v="Geraldo Maximiliano"/>
        <s v="Gilda Soares"/>
        <s v="Hector Beliz"/>
        <s v="Hector Mangiolii"/>
        <s v="Henrique Girardi"/>
        <s v="Heraldo Ferreira"/>
        <s v="Homero Gamberin"/>
        <s v="Inês Souza"/>
        <s v="Vera Barroso"/>
        <s v="Isabella Raquieri"/>
        <s v="Jaciara Yonh"/>
        <s v="Jade Vinilitti"/>
        <s v="João Alves"/>
        <s v="João Moreira"/>
        <s v="João Paulo Almeida"/>
        <s v="Joaquim Nabuco"/>
        <s v="Alexandre Garcia Gomes"/>
        <s v="Jurandir Ricce"/>
        <s v="Sonia Ferreira"/>
        <s v="Karen Rodrigues"/>
        <s v="Karina Medeiros"/>
        <s v="Katia Domenica Lira"/>
        <s v="Katrina Feijó"/>
        <s v="Lorival Hernandes"/>
        <s v="Luci Pereira"/>
        <s v="Luciana Meirelles"/>
        <s v="Luis Gabriel Norub"/>
        <s v="Luiz André Ferreira"/>
        <s v="Isabel Garcia"/>
        <s v="Maraluce Gomes"/>
        <s v="Marcela Gianotti"/>
        <s v="Marcelo Aguiar"/>
        <s v="Márcia Giuliani"/>
        <s v="Marco Aurélio da Silva"/>
        <s v="Marcos Albuquerque"/>
        <s v="Marcos Assunção"/>
        <s v="Maria Amélia Gouveia"/>
        <s v="Maria Carolina Braga"/>
        <s v="Maria Cilene Souza"/>
        <s v="Maria do Carmo Leal"/>
        <s v="Maria Inês Fagundes"/>
        <s v="Maria Lucia Medeiros"/>
        <s v="Maria Luiza Nasser"/>
        <s v="Marina Santana"/>
        <s v="Marineide Novais"/>
        <s v="Marli Farias"/>
        <s v="Marli Vieira "/>
        <s v="Máximo Queiroz"/>
        <s v="Melina Mercurio"/>
        <s v="Miriam Hashimoto"/>
        <s v="Nelson Cavaleiro"/>
        <s v="Noeli Fernandes"/>
        <s v="Ricardo Araras"/>
        <s v="Rodrigo Maia"/>
        <s v="Rogerio Dias"/>
        <s v="Rogério Hanibal Junior"/>
        <s v="Ronaldo Antunes"/>
        <s v="Rosa Maria Garibaldo"/>
        <s v="Rosana Gabrielli"/>
        <s v="Roseli Hernandes"/>
        <s v="Roseli Marcondes"/>
        <s v="Roseli Mariachi"/>
        <s v="Sofia Barros Maranhão"/>
        <s v="Solange Farias"/>
        <s v="Jocelyn Camargo"/>
        <s v="Sonia Maria Pereira"/>
        <s v="Stella Cruz e Souza"/>
        <s v="Stella Maris"/>
        <s v="Tabata Genovich"/>
        <s v="Tomás Ferraz"/>
        <s v="Ursula Hiroshi"/>
        <s v="Vanda Sueres"/>
        <s v="Vanderlei Higino"/>
        <s v="Vanessa Silva e Souza"/>
        <s v="Manoel Guimarães"/>
        <s v="Yeda Farias"/>
      </sharedItems>
    </cacheField>
    <cacheField name="DEPARTAMENTO" numFmtId="0">
      <sharedItems count="4">
        <s v="Recursos Humanos"/>
        <s v="Administrativo"/>
        <s v="Financeiro"/>
        <s v="Informática"/>
      </sharedItems>
    </cacheField>
    <cacheField name="CARGO" numFmtId="0">
      <sharedItems count="4">
        <s v="Assistente"/>
        <s v="Técnico"/>
        <s v="Gerente"/>
        <s v="Analista"/>
      </sharedItems>
    </cacheField>
    <cacheField name="SALÁRIO" numFmtId="44">
      <sharedItems containsSemiMixedTypes="0" containsString="0" containsNumber="1" containsInteger="1" minValue="890" maxValue="4780"/>
    </cacheField>
    <cacheField name="DATA NASCIMENTO" numFmtId="14">
      <sharedItems containsSemiMixedTypes="0" containsNonDate="0" containsDate="1" containsString="0" minDate="1956-09-16T00:00:00" maxDate="1992-01-03T00:00:00" count="102">
        <d v="1992-01-02T00:00:00"/>
        <d v="1991-09-20T00:00:00"/>
        <d v="1978-05-13T00:00:00"/>
        <d v="1990-11-22T00:00:00"/>
        <d v="1965-10-12T00:00:00"/>
        <d v="1989-11-15T00:00:00"/>
        <d v="1977-06-26T00:00:00"/>
        <d v="1966-04-12T00:00:00"/>
        <d v="1967-02-28T00:00:00"/>
        <d v="1984-03-18T00:00:00"/>
        <d v="1990-06-29T00:00:00"/>
        <d v="1985-07-30T00:00:00"/>
        <d v="1984-08-11T00:00:00"/>
        <d v="1979-01-12T00:00:00"/>
        <d v="1980-02-14T00:00:00"/>
        <d v="1959-05-11T00:00:00"/>
        <d v="1991-09-24T00:00:00"/>
        <d v="1988-12-16T00:00:00"/>
        <d v="1960-01-21T00:00:00"/>
        <d v="1990-03-15T00:00:00"/>
        <d v="1985-01-25T00:00:00"/>
        <d v="1968-04-30T00:00:00"/>
        <d v="1987-08-17T00:00:00"/>
        <d v="1978-10-14T00:00:00"/>
        <d v="1976-09-26T00:00:00"/>
        <d v="1989-05-12T00:00:00"/>
        <d v="1979-06-16T00:00:00"/>
        <d v="1960-11-15T00:00:00"/>
        <d v="1983-03-31T00:00:00"/>
        <d v="1982-07-04T00:00:00"/>
        <d v="1985-12-31T00:00:00"/>
        <d v="1980-11-05T00:00:00"/>
        <d v="1984-04-04T00:00:00"/>
        <d v="1978-09-23T00:00:00"/>
        <d v="1986-12-07T00:00:00"/>
        <d v="1967-06-12T00:00:00"/>
        <d v="1956-09-16T00:00:00"/>
        <d v="1981-06-01T00:00:00"/>
        <d v="1967-10-17T00:00:00"/>
        <d v="1980-10-10T00:00:00"/>
        <d v="1990-05-25T00:00:00"/>
        <d v="1982-11-24T00:00:00"/>
        <d v="1987-06-12T00:00:00"/>
        <d v="1977-03-23T00:00:00"/>
        <d v="1987-05-03T00:00:00"/>
        <d v="1974-05-17T00:00:00"/>
        <d v="1990-03-16T00:00:00"/>
        <d v="1982-12-04T00:00:00"/>
        <d v="1988-10-26T00:00:00"/>
        <d v="1969-04-15T00:00:00"/>
        <d v="1988-09-05T00:00:00"/>
        <d v="1977-03-31T00:00:00"/>
        <d v="1978-08-06T00:00:00"/>
        <d v="1981-07-04T00:00:00"/>
        <d v="1986-10-22T00:00:00"/>
        <d v="1983-12-12T00:00:00"/>
        <d v="1981-07-15T00:00:00"/>
        <d v="1977-02-05T00:00:00"/>
        <d v="1984-11-08T00:00:00"/>
        <d v="1988-05-10T00:00:00"/>
        <d v="1968-02-14T00:00:00"/>
        <d v="1984-09-28T00:00:00"/>
        <d v="1973-12-19T00:00:00"/>
        <d v="1980-09-22T00:00:00"/>
        <d v="1969-07-18T00:00:00"/>
        <d v="1983-05-22T00:00:00"/>
        <d v="1980-01-01T00:00:00"/>
        <d v="1982-10-16T00:00:00"/>
        <d v="1988-08-08T00:00:00"/>
        <d v="1984-09-18T00:00:00"/>
        <d v="1974-04-25T00:00:00"/>
        <d v="1968-09-05T00:00:00"/>
        <d v="1989-11-20T00:00:00"/>
        <d v="1979-06-27T00:00:00"/>
        <d v="1983-09-25T00:00:00"/>
        <d v="1970-10-16T00:00:00"/>
        <d v="1989-01-06T00:00:00"/>
        <d v="1980-11-15T00:00:00"/>
        <d v="1979-12-05T00:00:00"/>
        <d v="1983-03-03T00:00:00"/>
        <d v="1978-12-02T00:00:00"/>
        <d v="1989-07-14T00:00:00"/>
        <d v="1980-05-28T00:00:00"/>
        <d v="1989-10-02T00:00:00"/>
        <d v="1985-01-20T00:00:00"/>
        <d v="1985-03-03T00:00:00"/>
        <d v="1978-10-04T00:00:00"/>
        <d v="1989-10-22T00:00:00"/>
        <d v="1985-05-25T00:00:00"/>
        <d v="1981-07-22T00:00:00"/>
        <d v="1986-12-10T00:00:00"/>
        <d v="1982-11-12T00:00:00"/>
        <d v="1985-06-14T00:00:00"/>
        <d v="1989-08-01T00:00:00"/>
        <d v="1984-05-04T00:00:00"/>
        <d v="1968-10-06T00:00:00"/>
        <d v="1989-08-29T00:00:00"/>
        <d v="1975-04-03T00:00:00"/>
        <d v="1983-03-30T00:00:00"/>
        <d v="1979-02-28T00:00:00"/>
        <d v="1987-10-02T00:00:00"/>
        <d v="1989-11-23T00:00:00"/>
      </sharedItems>
      <fieldGroup par="8"/>
    </cacheField>
    <cacheField name="IDADE" numFmtId="0">
      <sharedItems containsSemiMixedTypes="0" containsString="0" containsNumber="1" containsInteger="1" minValue="34" maxValue="70" count="28">
        <n v="34"/>
        <n v="35"/>
        <n v="48"/>
        <n v="60"/>
        <n v="36"/>
        <n v="49"/>
        <n v="59"/>
        <n v="42"/>
        <n v="41"/>
        <n v="47"/>
        <n v="46"/>
        <n v="67"/>
        <n v="37"/>
        <n v="66"/>
        <n v="58"/>
        <n v="39"/>
        <n v="50"/>
        <n v="65"/>
        <n v="43"/>
        <n v="44"/>
        <n v="40"/>
        <n v="45"/>
        <n v="70"/>
        <n v="52"/>
        <n v="57"/>
        <n v="38"/>
        <n v="55"/>
        <n v="51"/>
      </sharedItems>
    </cacheField>
    <cacheField name="Meses (DATA NASCIMENTO)" numFmtId="0" databaseField="0">
      <fieldGroup base="4">
        <rangePr groupBy="months" startDate="1956-09-16T00:00:00" endDate="1992-01-03T00:00:00"/>
        <groupItems count="14">
          <s v="&lt;16/09/195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3/01/1992"/>
        </groupItems>
      </fieldGroup>
    </cacheField>
    <cacheField name="Trimestres (DATA NASCIMENTO)" numFmtId="0" databaseField="0">
      <fieldGroup base="4">
        <rangePr groupBy="quarters" startDate="1956-09-16T00:00:00" endDate="1992-01-03T00:00:00"/>
        <groupItems count="6">
          <s v="&lt;16/09/1956"/>
          <s v="Trim1"/>
          <s v="Trim2"/>
          <s v="Trim3"/>
          <s v="Trim4"/>
          <s v="&gt;03/01/1992"/>
        </groupItems>
      </fieldGroup>
    </cacheField>
    <cacheField name="Anos (DATA NASCIMENTO)" numFmtId="0" databaseField="0">
      <fieldGroup base="4">
        <rangePr groupBy="years" startDate="1956-09-16T00:00:00" endDate="1992-01-03T00:00:00"/>
        <groupItems count="39">
          <s v="&lt;16/09/1956"/>
          <s v="1956"/>
          <s v="1957"/>
          <s v="1958"/>
          <s v="1959"/>
          <s v="1960"/>
          <s v="1961"/>
          <s v="1962"/>
          <s v="1963"/>
          <s v="1964"/>
          <s v="1965"/>
          <s v="1966"/>
          <s v="1967"/>
          <s v="1968"/>
          <s v="1969"/>
          <s v="1970"/>
          <s v="1971"/>
          <s v="1972"/>
          <s v="1973"/>
          <s v="1974"/>
          <s v="1975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&gt;03/01/199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x v="0"/>
    <x v="0"/>
    <n v="2300"/>
    <x v="0"/>
    <x v="0"/>
  </r>
  <r>
    <x v="1"/>
    <x v="1"/>
    <x v="0"/>
    <n v="1250"/>
    <x v="1"/>
    <x v="1"/>
  </r>
  <r>
    <x v="2"/>
    <x v="0"/>
    <x v="0"/>
    <n v="2100"/>
    <x v="2"/>
    <x v="2"/>
  </r>
  <r>
    <x v="3"/>
    <x v="1"/>
    <x v="1"/>
    <n v="1560"/>
    <x v="3"/>
    <x v="1"/>
  </r>
  <r>
    <x v="4"/>
    <x v="1"/>
    <x v="2"/>
    <n v="4000"/>
    <x v="4"/>
    <x v="3"/>
  </r>
  <r>
    <x v="5"/>
    <x v="2"/>
    <x v="3"/>
    <n v="2700"/>
    <x v="5"/>
    <x v="4"/>
  </r>
  <r>
    <x v="6"/>
    <x v="3"/>
    <x v="1"/>
    <n v="1800"/>
    <x v="6"/>
    <x v="5"/>
  </r>
  <r>
    <x v="7"/>
    <x v="3"/>
    <x v="1"/>
    <n v="1750"/>
    <x v="7"/>
    <x v="3"/>
  </r>
  <r>
    <x v="8"/>
    <x v="0"/>
    <x v="0"/>
    <n v="2470"/>
    <x v="8"/>
    <x v="6"/>
  </r>
  <r>
    <x v="9"/>
    <x v="1"/>
    <x v="3"/>
    <n v="1678"/>
    <x v="9"/>
    <x v="7"/>
  </r>
  <r>
    <x v="10"/>
    <x v="2"/>
    <x v="3"/>
    <n v="2790"/>
    <x v="10"/>
    <x v="4"/>
  </r>
  <r>
    <x v="11"/>
    <x v="3"/>
    <x v="1"/>
    <n v="2000"/>
    <x v="11"/>
    <x v="8"/>
  </r>
  <r>
    <x v="12"/>
    <x v="3"/>
    <x v="3"/>
    <n v="3500"/>
    <x v="12"/>
    <x v="7"/>
  </r>
  <r>
    <x v="13"/>
    <x v="0"/>
    <x v="0"/>
    <n v="2700"/>
    <x v="13"/>
    <x v="9"/>
  </r>
  <r>
    <x v="14"/>
    <x v="0"/>
    <x v="3"/>
    <n v="2780"/>
    <x v="14"/>
    <x v="10"/>
  </r>
  <r>
    <x v="15"/>
    <x v="3"/>
    <x v="2"/>
    <n v="4500"/>
    <x v="15"/>
    <x v="11"/>
  </r>
  <r>
    <x v="16"/>
    <x v="2"/>
    <x v="3"/>
    <n v="2640"/>
    <x v="16"/>
    <x v="1"/>
  </r>
  <r>
    <x v="17"/>
    <x v="1"/>
    <x v="1"/>
    <n v="1207"/>
    <x v="17"/>
    <x v="12"/>
  </r>
  <r>
    <x v="18"/>
    <x v="2"/>
    <x v="2"/>
    <n v="4780"/>
    <x v="18"/>
    <x v="13"/>
  </r>
  <r>
    <x v="19"/>
    <x v="0"/>
    <x v="3"/>
    <n v="3200"/>
    <x v="19"/>
    <x v="4"/>
  </r>
  <r>
    <x v="20"/>
    <x v="3"/>
    <x v="0"/>
    <n v="1450"/>
    <x v="20"/>
    <x v="8"/>
  </r>
  <r>
    <x v="21"/>
    <x v="2"/>
    <x v="3"/>
    <n v="2769"/>
    <x v="21"/>
    <x v="14"/>
  </r>
  <r>
    <x v="22"/>
    <x v="1"/>
    <x v="1"/>
    <n v="1200"/>
    <x v="22"/>
    <x v="15"/>
  </r>
  <r>
    <x v="23"/>
    <x v="1"/>
    <x v="1"/>
    <n v="1564"/>
    <x v="23"/>
    <x v="9"/>
  </r>
  <r>
    <x v="24"/>
    <x v="1"/>
    <x v="0"/>
    <n v="1800"/>
    <x v="24"/>
    <x v="16"/>
  </r>
  <r>
    <x v="25"/>
    <x v="0"/>
    <x v="2"/>
    <n v="4200"/>
    <x v="25"/>
    <x v="12"/>
  </r>
  <r>
    <x v="26"/>
    <x v="0"/>
    <x v="0"/>
    <n v="1458"/>
    <x v="26"/>
    <x v="9"/>
  </r>
  <r>
    <x v="27"/>
    <x v="2"/>
    <x v="3"/>
    <n v="3200"/>
    <x v="27"/>
    <x v="17"/>
  </r>
  <r>
    <x v="28"/>
    <x v="3"/>
    <x v="3"/>
    <n v="3600"/>
    <x v="28"/>
    <x v="18"/>
  </r>
  <r>
    <x v="29"/>
    <x v="2"/>
    <x v="3"/>
    <n v="3190"/>
    <x v="29"/>
    <x v="19"/>
  </r>
  <r>
    <x v="30"/>
    <x v="0"/>
    <x v="1"/>
    <n v="1400"/>
    <x v="30"/>
    <x v="20"/>
  </r>
  <r>
    <x v="31"/>
    <x v="1"/>
    <x v="0"/>
    <n v="2180"/>
    <x v="31"/>
    <x v="21"/>
  </r>
  <r>
    <x v="32"/>
    <x v="1"/>
    <x v="3"/>
    <n v="2570"/>
    <x v="32"/>
    <x v="7"/>
  </r>
  <r>
    <x v="33"/>
    <x v="2"/>
    <x v="1"/>
    <n v="1320"/>
    <x v="33"/>
    <x v="2"/>
  </r>
  <r>
    <x v="34"/>
    <x v="1"/>
    <x v="0"/>
    <n v="2390"/>
    <x v="34"/>
    <x v="15"/>
  </r>
  <r>
    <x v="35"/>
    <x v="3"/>
    <x v="3"/>
    <n v="3200"/>
    <x v="35"/>
    <x v="6"/>
  </r>
  <r>
    <x v="36"/>
    <x v="2"/>
    <x v="0"/>
    <n v="2100"/>
    <x v="36"/>
    <x v="22"/>
  </r>
  <r>
    <x v="37"/>
    <x v="0"/>
    <x v="1"/>
    <n v="1890"/>
    <x v="37"/>
    <x v="21"/>
  </r>
  <r>
    <x v="38"/>
    <x v="1"/>
    <x v="0"/>
    <n v="2650"/>
    <x v="38"/>
    <x v="14"/>
  </r>
  <r>
    <x v="39"/>
    <x v="3"/>
    <x v="3"/>
    <n v="2850"/>
    <x v="39"/>
    <x v="21"/>
  </r>
  <r>
    <x v="40"/>
    <x v="1"/>
    <x v="0"/>
    <n v="2176"/>
    <x v="40"/>
    <x v="4"/>
  </r>
  <r>
    <x v="41"/>
    <x v="3"/>
    <x v="1"/>
    <n v="1050"/>
    <x v="41"/>
    <x v="18"/>
  </r>
  <r>
    <x v="42"/>
    <x v="2"/>
    <x v="3"/>
    <n v="2500"/>
    <x v="42"/>
    <x v="15"/>
  </r>
  <r>
    <x v="43"/>
    <x v="1"/>
    <x v="3"/>
    <n v="2100"/>
    <x v="43"/>
    <x v="5"/>
  </r>
  <r>
    <x v="44"/>
    <x v="2"/>
    <x v="3"/>
    <n v="2900"/>
    <x v="44"/>
    <x v="15"/>
  </r>
  <r>
    <x v="45"/>
    <x v="0"/>
    <x v="1"/>
    <n v="1000"/>
    <x v="45"/>
    <x v="23"/>
  </r>
  <r>
    <x v="46"/>
    <x v="0"/>
    <x v="3"/>
    <n v="2980"/>
    <x v="46"/>
    <x v="4"/>
  </r>
  <r>
    <x v="47"/>
    <x v="2"/>
    <x v="0"/>
    <n v="2000"/>
    <x v="47"/>
    <x v="18"/>
  </r>
  <r>
    <x v="48"/>
    <x v="1"/>
    <x v="0"/>
    <n v="2100"/>
    <x v="48"/>
    <x v="12"/>
  </r>
  <r>
    <x v="49"/>
    <x v="1"/>
    <x v="1"/>
    <n v="1250"/>
    <x v="49"/>
    <x v="24"/>
  </r>
  <r>
    <x v="50"/>
    <x v="0"/>
    <x v="3"/>
    <n v="3000"/>
    <x v="50"/>
    <x v="25"/>
  </r>
  <r>
    <x v="51"/>
    <x v="2"/>
    <x v="3"/>
    <n v="3010"/>
    <x v="51"/>
    <x v="5"/>
  </r>
  <r>
    <x v="52"/>
    <x v="1"/>
    <x v="1"/>
    <n v="1100"/>
    <x v="52"/>
    <x v="2"/>
  </r>
  <r>
    <x v="53"/>
    <x v="1"/>
    <x v="0"/>
    <n v="2040"/>
    <x v="53"/>
    <x v="21"/>
  </r>
  <r>
    <x v="54"/>
    <x v="3"/>
    <x v="1"/>
    <n v="1600"/>
    <x v="54"/>
    <x v="15"/>
  </r>
  <r>
    <x v="55"/>
    <x v="1"/>
    <x v="0"/>
    <n v="2100"/>
    <x v="55"/>
    <x v="7"/>
  </r>
  <r>
    <x v="56"/>
    <x v="0"/>
    <x v="0"/>
    <n v="2900"/>
    <x v="56"/>
    <x v="21"/>
  </r>
  <r>
    <x v="57"/>
    <x v="2"/>
    <x v="1"/>
    <n v="2000"/>
    <x v="57"/>
    <x v="5"/>
  </r>
  <r>
    <x v="58"/>
    <x v="1"/>
    <x v="1"/>
    <n v="1980"/>
    <x v="58"/>
    <x v="8"/>
  </r>
  <r>
    <x v="59"/>
    <x v="0"/>
    <x v="3"/>
    <n v="3100"/>
    <x v="59"/>
    <x v="25"/>
  </r>
  <r>
    <x v="60"/>
    <x v="2"/>
    <x v="3"/>
    <n v="2980"/>
    <x v="60"/>
    <x v="14"/>
  </r>
  <r>
    <x v="61"/>
    <x v="3"/>
    <x v="3"/>
    <n v="2890"/>
    <x v="61"/>
    <x v="7"/>
  </r>
  <r>
    <x v="62"/>
    <x v="1"/>
    <x v="0"/>
    <n v="1100"/>
    <x v="62"/>
    <x v="23"/>
  </r>
  <r>
    <x v="63"/>
    <x v="0"/>
    <x v="3"/>
    <n v="2950"/>
    <x v="63"/>
    <x v="10"/>
  </r>
  <r>
    <x v="64"/>
    <x v="1"/>
    <x v="0"/>
    <n v="2400"/>
    <x v="64"/>
    <x v="24"/>
  </r>
  <r>
    <x v="65"/>
    <x v="2"/>
    <x v="1"/>
    <n v="980"/>
    <x v="65"/>
    <x v="18"/>
  </r>
  <r>
    <x v="66"/>
    <x v="3"/>
    <x v="1"/>
    <n v="950"/>
    <x v="66"/>
    <x v="10"/>
  </r>
  <r>
    <x v="67"/>
    <x v="1"/>
    <x v="0"/>
    <n v="1945"/>
    <x v="67"/>
    <x v="18"/>
  </r>
  <r>
    <x v="68"/>
    <x v="2"/>
    <x v="3"/>
    <n v="3000"/>
    <x v="68"/>
    <x v="25"/>
  </r>
  <r>
    <x v="69"/>
    <x v="0"/>
    <x v="3"/>
    <n v="3050"/>
    <x v="69"/>
    <x v="7"/>
  </r>
  <r>
    <x v="70"/>
    <x v="0"/>
    <x v="1"/>
    <n v="956"/>
    <x v="70"/>
    <x v="23"/>
  </r>
  <r>
    <x v="71"/>
    <x v="3"/>
    <x v="1"/>
    <n v="990"/>
    <x v="71"/>
    <x v="14"/>
  </r>
  <r>
    <x v="72"/>
    <x v="2"/>
    <x v="3"/>
    <n v="2560"/>
    <x v="72"/>
    <x v="4"/>
  </r>
  <r>
    <x v="73"/>
    <x v="1"/>
    <x v="0"/>
    <n v="2760"/>
    <x v="73"/>
    <x v="9"/>
  </r>
  <r>
    <x v="74"/>
    <x v="1"/>
    <x v="0"/>
    <n v="2780"/>
    <x v="74"/>
    <x v="18"/>
  </r>
  <r>
    <x v="75"/>
    <x v="2"/>
    <x v="3"/>
    <n v="2850"/>
    <x v="75"/>
    <x v="26"/>
  </r>
  <r>
    <x v="76"/>
    <x v="0"/>
    <x v="1"/>
    <n v="1060"/>
    <x v="76"/>
    <x v="12"/>
  </r>
  <r>
    <x v="77"/>
    <x v="3"/>
    <x v="1"/>
    <n v="1000"/>
    <x v="77"/>
    <x v="21"/>
  </r>
  <r>
    <x v="78"/>
    <x v="1"/>
    <x v="0"/>
    <n v="2450"/>
    <x v="78"/>
    <x v="10"/>
  </r>
  <r>
    <x v="79"/>
    <x v="1"/>
    <x v="3"/>
    <n v="2900"/>
    <x v="79"/>
    <x v="18"/>
  </r>
  <r>
    <x v="80"/>
    <x v="1"/>
    <x v="1"/>
    <n v="890"/>
    <x v="80"/>
    <x v="9"/>
  </r>
  <r>
    <x v="81"/>
    <x v="2"/>
    <x v="3"/>
    <n v="2100"/>
    <x v="81"/>
    <x v="12"/>
  </r>
  <r>
    <x v="82"/>
    <x v="0"/>
    <x v="3"/>
    <n v="2764"/>
    <x v="82"/>
    <x v="10"/>
  </r>
  <r>
    <x v="83"/>
    <x v="1"/>
    <x v="0"/>
    <n v="1560"/>
    <x v="83"/>
    <x v="12"/>
  </r>
  <r>
    <x v="84"/>
    <x v="3"/>
    <x v="1"/>
    <n v="1035"/>
    <x v="84"/>
    <x v="8"/>
  </r>
  <r>
    <x v="85"/>
    <x v="1"/>
    <x v="1"/>
    <n v="1790"/>
    <x v="85"/>
    <x v="8"/>
  </r>
  <r>
    <x v="86"/>
    <x v="1"/>
    <x v="3"/>
    <n v="1945"/>
    <x v="86"/>
    <x v="2"/>
  </r>
  <r>
    <x v="87"/>
    <x v="0"/>
    <x v="3"/>
    <n v="2740"/>
    <x v="87"/>
    <x v="4"/>
  </r>
  <r>
    <x v="88"/>
    <x v="3"/>
    <x v="3"/>
    <n v="3100"/>
    <x v="88"/>
    <x v="8"/>
  </r>
  <r>
    <x v="89"/>
    <x v="2"/>
    <x v="1"/>
    <n v="2109"/>
    <x v="89"/>
    <x v="21"/>
  </r>
  <r>
    <x v="90"/>
    <x v="3"/>
    <x v="1"/>
    <n v="1320"/>
    <x v="90"/>
    <x v="15"/>
  </r>
  <r>
    <x v="91"/>
    <x v="1"/>
    <x v="0"/>
    <n v="2100"/>
    <x v="91"/>
    <x v="18"/>
  </r>
  <r>
    <x v="92"/>
    <x v="0"/>
    <x v="1"/>
    <n v="1090"/>
    <x v="92"/>
    <x v="8"/>
  </r>
  <r>
    <x v="93"/>
    <x v="0"/>
    <x v="3"/>
    <n v="3120"/>
    <x v="93"/>
    <x v="12"/>
  </r>
  <r>
    <x v="94"/>
    <x v="2"/>
    <x v="1"/>
    <n v="2100"/>
    <x v="94"/>
    <x v="7"/>
  </r>
  <r>
    <x v="95"/>
    <x v="3"/>
    <x v="3"/>
    <n v="3000"/>
    <x v="95"/>
    <x v="24"/>
  </r>
  <r>
    <x v="96"/>
    <x v="1"/>
    <x v="0"/>
    <n v="896"/>
    <x v="96"/>
    <x v="12"/>
  </r>
  <r>
    <x v="97"/>
    <x v="2"/>
    <x v="1"/>
    <n v="1000"/>
    <x v="97"/>
    <x v="27"/>
  </r>
  <r>
    <x v="98"/>
    <x v="0"/>
    <x v="1"/>
    <n v="1107"/>
    <x v="98"/>
    <x v="18"/>
  </r>
  <r>
    <x v="99"/>
    <x v="3"/>
    <x v="1"/>
    <n v="1980"/>
    <x v="99"/>
    <x v="9"/>
  </r>
  <r>
    <x v="100"/>
    <x v="3"/>
    <x v="1"/>
    <n v="1020"/>
    <x v="100"/>
    <x v="15"/>
  </r>
  <r>
    <x v="101"/>
    <x v="1"/>
    <x v="0"/>
    <n v="2480"/>
    <x v="10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4B947-5549-4CA7-8178-CD4D120B1567}" name="Tabela dinâmica1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10" firstHeaderRow="0" firstDataRow="1" firstDataCol="1"/>
  <pivotFields count="9">
    <pivotField axis="axisRow" showAll="0">
      <items count="103">
        <item x="0"/>
        <item x="42"/>
        <item x="2"/>
        <item x="1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2"/>
        <item x="17"/>
        <item x="18"/>
        <item x="19"/>
        <item x="20"/>
        <item x="21"/>
        <item x="3"/>
        <item x="23"/>
        <item x="24"/>
        <item x="25"/>
        <item x="26"/>
        <item x="27"/>
        <item x="28"/>
        <item x="29"/>
        <item x="30"/>
        <item x="31"/>
        <item x="32"/>
        <item x="33"/>
        <item x="54"/>
        <item x="35"/>
        <item x="36"/>
        <item x="37"/>
        <item x="38"/>
        <item x="39"/>
        <item x="40"/>
        <item x="41"/>
        <item x="90"/>
        <item x="43"/>
        <item x="16"/>
        <item x="45"/>
        <item x="46"/>
        <item x="47"/>
        <item x="48"/>
        <item x="49"/>
        <item x="50"/>
        <item x="51"/>
        <item x="52"/>
        <item x="53"/>
        <item x="100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44"/>
        <item x="91"/>
        <item x="92"/>
        <item x="93"/>
        <item x="94"/>
        <item x="95"/>
        <item x="96"/>
        <item x="97"/>
        <item x="98"/>
        <item x="99"/>
        <item x="34"/>
        <item x="10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numFmtId="44" showAll="0"/>
    <pivotField numFmtId="14" showAll="0">
      <items count="103">
        <item x="36"/>
        <item x="15"/>
        <item x="18"/>
        <item x="27"/>
        <item x="4"/>
        <item x="7"/>
        <item x="8"/>
        <item x="35"/>
        <item x="38"/>
        <item x="60"/>
        <item x="21"/>
        <item x="71"/>
        <item x="95"/>
        <item x="49"/>
        <item x="64"/>
        <item x="75"/>
        <item x="62"/>
        <item x="70"/>
        <item x="45"/>
        <item x="97"/>
        <item x="24"/>
        <item x="57"/>
        <item x="43"/>
        <item x="51"/>
        <item x="6"/>
        <item x="2"/>
        <item x="52"/>
        <item x="33"/>
        <item x="86"/>
        <item x="23"/>
        <item x="80"/>
        <item x="13"/>
        <item x="99"/>
        <item x="26"/>
        <item x="73"/>
        <item x="78"/>
        <item x="66"/>
        <item x="14"/>
        <item x="82"/>
        <item x="63"/>
        <item x="39"/>
        <item x="31"/>
        <item x="77"/>
        <item x="37"/>
        <item x="53"/>
        <item x="56"/>
        <item x="89"/>
        <item x="29"/>
        <item x="67"/>
        <item x="91"/>
        <item x="41"/>
        <item x="47"/>
        <item x="79"/>
        <item x="98"/>
        <item x="28"/>
        <item x="65"/>
        <item x="74"/>
        <item x="55"/>
        <item x="9"/>
        <item x="32"/>
        <item x="94"/>
        <item x="12"/>
        <item x="69"/>
        <item x="61"/>
        <item x="58"/>
        <item x="84"/>
        <item x="20"/>
        <item x="85"/>
        <item x="88"/>
        <item x="92"/>
        <item x="11"/>
        <item x="30"/>
        <item x="54"/>
        <item x="34"/>
        <item x="90"/>
        <item x="44"/>
        <item x="42"/>
        <item x="22"/>
        <item x="100"/>
        <item x="59"/>
        <item x="68"/>
        <item x="50"/>
        <item x="48"/>
        <item x="17"/>
        <item x="76"/>
        <item x="25"/>
        <item x="81"/>
        <item x="93"/>
        <item x="96"/>
        <item x="83"/>
        <item x="87"/>
        <item x="5"/>
        <item x="72"/>
        <item x="101"/>
        <item x="19"/>
        <item x="46"/>
        <item x="40"/>
        <item x="10"/>
        <item x="3"/>
        <item x="1"/>
        <item x="16"/>
        <item x="0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4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t="default"/>
      </items>
    </pivotField>
  </pivotFields>
  <rowFields count="2">
    <field x="1"/>
    <field x="0"/>
  </rowFields>
  <rowItems count="107">
    <i>
      <x/>
    </i>
    <i r="1">
      <x v="3"/>
    </i>
    <i r="1">
      <x v="4"/>
    </i>
    <i r="1">
      <x v="9"/>
    </i>
    <i r="1">
      <x v="16"/>
    </i>
    <i r="1">
      <x v="17"/>
    </i>
    <i r="1">
      <x v="22"/>
    </i>
    <i r="1">
      <x v="23"/>
    </i>
    <i r="1">
      <x v="24"/>
    </i>
    <i r="1">
      <x v="31"/>
    </i>
    <i r="1">
      <x v="32"/>
    </i>
    <i r="1">
      <x v="38"/>
    </i>
    <i r="1">
      <x v="40"/>
    </i>
    <i r="1">
      <x v="43"/>
    </i>
    <i r="1">
      <x v="48"/>
    </i>
    <i r="1">
      <x v="49"/>
    </i>
    <i r="1">
      <x v="52"/>
    </i>
    <i r="1">
      <x v="53"/>
    </i>
    <i r="1">
      <x v="55"/>
    </i>
    <i r="1">
      <x v="58"/>
    </i>
    <i r="1">
      <x v="62"/>
    </i>
    <i r="1">
      <x v="64"/>
    </i>
    <i r="1">
      <x v="67"/>
    </i>
    <i r="1">
      <x v="73"/>
    </i>
    <i r="1">
      <x v="74"/>
    </i>
    <i r="1">
      <x v="78"/>
    </i>
    <i r="1">
      <x v="79"/>
    </i>
    <i r="1">
      <x v="80"/>
    </i>
    <i r="1">
      <x v="83"/>
    </i>
    <i r="1">
      <x v="85"/>
    </i>
    <i r="1">
      <x v="86"/>
    </i>
    <i r="1">
      <x v="91"/>
    </i>
    <i r="1">
      <x v="96"/>
    </i>
    <i r="1">
      <x v="100"/>
    </i>
    <i r="1">
      <x v="101"/>
    </i>
    <i>
      <x v="1"/>
    </i>
    <i r="1">
      <x v="1"/>
    </i>
    <i r="1">
      <x v="5"/>
    </i>
    <i r="1">
      <x v="10"/>
    </i>
    <i r="1">
      <x v="18"/>
    </i>
    <i r="1">
      <x v="21"/>
    </i>
    <i r="1">
      <x v="27"/>
    </i>
    <i r="1">
      <x v="29"/>
    </i>
    <i r="1">
      <x v="33"/>
    </i>
    <i r="1">
      <x v="36"/>
    </i>
    <i r="1">
      <x v="44"/>
    </i>
    <i r="1">
      <x v="47"/>
    </i>
    <i r="1">
      <x v="51"/>
    </i>
    <i r="1">
      <x v="57"/>
    </i>
    <i r="1">
      <x v="60"/>
    </i>
    <i r="1">
      <x v="65"/>
    </i>
    <i r="1">
      <x v="68"/>
    </i>
    <i r="1">
      <x v="72"/>
    </i>
    <i r="1">
      <x v="75"/>
    </i>
    <i r="1">
      <x v="81"/>
    </i>
    <i r="1">
      <x v="89"/>
    </i>
    <i r="1">
      <x v="90"/>
    </i>
    <i r="1">
      <x v="94"/>
    </i>
    <i r="1">
      <x v="97"/>
    </i>
    <i>
      <x v="2"/>
    </i>
    <i r="1">
      <x v="6"/>
    </i>
    <i r="1">
      <x v="7"/>
    </i>
    <i r="1">
      <x v="11"/>
    </i>
    <i r="1">
      <x v="12"/>
    </i>
    <i r="1">
      <x v="15"/>
    </i>
    <i r="1">
      <x v="20"/>
    </i>
    <i r="1">
      <x v="28"/>
    </i>
    <i r="1">
      <x v="34"/>
    </i>
    <i r="1">
      <x v="35"/>
    </i>
    <i r="1">
      <x v="39"/>
    </i>
    <i r="1">
      <x v="41"/>
    </i>
    <i r="1">
      <x v="42"/>
    </i>
    <i r="1">
      <x v="54"/>
    </i>
    <i r="1">
      <x v="61"/>
    </i>
    <i r="1">
      <x v="66"/>
    </i>
    <i r="1">
      <x v="71"/>
    </i>
    <i r="1">
      <x v="77"/>
    </i>
    <i r="1">
      <x v="84"/>
    </i>
    <i r="1">
      <x v="88"/>
    </i>
    <i r="1">
      <x v="95"/>
    </i>
    <i r="1">
      <x v="99"/>
    </i>
    <i>
      <x v="3"/>
    </i>
    <i r="1">
      <x/>
    </i>
    <i r="1">
      <x v="2"/>
    </i>
    <i r="1">
      <x v="8"/>
    </i>
    <i r="1">
      <x v="13"/>
    </i>
    <i r="1">
      <x v="14"/>
    </i>
    <i r="1">
      <x v="19"/>
    </i>
    <i r="1">
      <x v="25"/>
    </i>
    <i r="1">
      <x v="26"/>
    </i>
    <i r="1">
      <x v="30"/>
    </i>
    <i r="1">
      <x v="37"/>
    </i>
    <i r="1">
      <x v="45"/>
    </i>
    <i r="1">
      <x v="46"/>
    </i>
    <i r="1">
      <x v="50"/>
    </i>
    <i r="1">
      <x v="56"/>
    </i>
    <i r="1">
      <x v="59"/>
    </i>
    <i r="1">
      <x v="63"/>
    </i>
    <i r="1">
      <x v="69"/>
    </i>
    <i r="1">
      <x v="70"/>
    </i>
    <i r="1">
      <x v="76"/>
    </i>
    <i r="1">
      <x v="82"/>
    </i>
    <i r="1">
      <x v="87"/>
    </i>
    <i r="1">
      <x v="92"/>
    </i>
    <i r="1">
      <x v="93"/>
    </i>
    <i r="1">
      <x v="9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SALÁRIO" fld="3" baseField="0" baseItem="0" numFmtId="44"/>
    <dataField name="Média de SALÁRIO2" fld="3" subtotal="average" baseField="0" baseItem="0" numFmtId="44"/>
    <dataField name="Máx. de SALÁRIO2" fld="3" subtotal="max" baseField="0" baseItem="0" numFmtId="44"/>
    <dataField name="Mín. de SALÁRIO2" fld="3" subtotal="min" baseField="0" baseItem="0" numFmtId="44"/>
    <dataField name="Soma de IDAD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7EE18-E20B-47AE-B1FA-7F0FAE4FC2C5}" name="Tabela dinâmica2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C111" firstHeaderRow="0" firstDataRow="1" firstDataCol="1" rowPageCount="1" colPageCount="1"/>
  <pivotFields count="9">
    <pivotField axis="axisRow" showAll="0">
      <items count="103">
        <item x="0"/>
        <item x="42"/>
        <item x="2"/>
        <item x="1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22"/>
        <item x="17"/>
        <item x="18"/>
        <item x="19"/>
        <item x="20"/>
        <item x="21"/>
        <item x="3"/>
        <item x="23"/>
        <item x="24"/>
        <item x="25"/>
        <item x="26"/>
        <item x="27"/>
        <item x="28"/>
        <item x="29"/>
        <item x="30"/>
        <item x="31"/>
        <item x="32"/>
        <item x="33"/>
        <item x="54"/>
        <item x="35"/>
        <item x="36"/>
        <item x="37"/>
        <item x="38"/>
        <item x="39"/>
        <item x="40"/>
        <item x="41"/>
        <item x="90"/>
        <item x="43"/>
        <item x="16"/>
        <item x="45"/>
        <item x="46"/>
        <item x="47"/>
        <item x="48"/>
        <item x="49"/>
        <item x="50"/>
        <item x="51"/>
        <item x="52"/>
        <item x="53"/>
        <item x="100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44"/>
        <item x="91"/>
        <item x="92"/>
        <item x="93"/>
        <item x="94"/>
        <item x="95"/>
        <item x="96"/>
        <item x="97"/>
        <item x="98"/>
        <item x="99"/>
        <item x="34"/>
        <item x="10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5">
        <item x="3"/>
        <item x="0"/>
        <item x="2"/>
        <item x="1"/>
        <item t="default"/>
      </items>
    </pivotField>
    <pivotField dataField="1" numFmtId="44" showAll="0"/>
    <pivotField numFmtId="14" showAll="0">
      <items count="103">
        <item x="36"/>
        <item x="15"/>
        <item x="18"/>
        <item x="27"/>
        <item x="4"/>
        <item x="7"/>
        <item x="8"/>
        <item x="35"/>
        <item x="38"/>
        <item x="60"/>
        <item x="21"/>
        <item x="71"/>
        <item x="95"/>
        <item x="49"/>
        <item x="64"/>
        <item x="75"/>
        <item x="62"/>
        <item x="70"/>
        <item x="45"/>
        <item x="97"/>
        <item x="24"/>
        <item x="57"/>
        <item x="43"/>
        <item x="51"/>
        <item x="6"/>
        <item x="2"/>
        <item x="52"/>
        <item x="33"/>
        <item x="86"/>
        <item x="23"/>
        <item x="80"/>
        <item x="13"/>
        <item x="99"/>
        <item x="26"/>
        <item x="73"/>
        <item x="78"/>
        <item x="66"/>
        <item x="14"/>
        <item x="82"/>
        <item x="63"/>
        <item x="39"/>
        <item x="31"/>
        <item x="77"/>
        <item x="37"/>
        <item x="53"/>
        <item x="56"/>
        <item x="89"/>
        <item x="29"/>
        <item x="67"/>
        <item x="91"/>
        <item x="41"/>
        <item x="47"/>
        <item x="79"/>
        <item x="98"/>
        <item x="28"/>
        <item x="65"/>
        <item x="74"/>
        <item x="55"/>
        <item x="9"/>
        <item x="32"/>
        <item x="94"/>
        <item x="12"/>
        <item x="69"/>
        <item x="61"/>
        <item x="58"/>
        <item x="84"/>
        <item x="20"/>
        <item x="85"/>
        <item x="88"/>
        <item x="92"/>
        <item x="11"/>
        <item x="30"/>
        <item x="54"/>
        <item x="34"/>
        <item x="90"/>
        <item x="44"/>
        <item x="42"/>
        <item x="22"/>
        <item x="100"/>
        <item x="59"/>
        <item x="68"/>
        <item x="50"/>
        <item x="48"/>
        <item x="17"/>
        <item x="76"/>
        <item x="25"/>
        <item x="81"/>
        <item x="93"/>
        <item x="96"/>
        <item x="83"/>
        <item x="87"/>
        <item x="5"/>
        <item x="72"/>
        <item x="101"/>
        <item x="19"/>
        <item x="46"/>
        <item x="40"/>
        <item x="10"/>
        <item x="3"/>
        <item x="1"/>
        <item x="16"/>
        <item x="0"/>
        <item t="default"/>
      </items>
    </pivotField>
    <pivotField dataField="1" showAll="0">
      <items count="29">
        <item x="0"/>
        <item x="1"/>
        <item x="4"/>
        <item x="12"/>
        <item x="25"/>
        <item x="15"/>
        <item x="20"/>
        <item x="8"/>
        <item x="7"/>
        <item x="18"/>
        <item x="19"/>
        <item x="21"/>
        <item x="10"/>
        <item x="9"/>
        <item x="2"/>
        <item x="5"/>
        <item x="16"/>
        <item x="27"/>
        <item x="23"/>
        <item x="26"/>
        <item x="24"/>
        <item x="14"/>
        <item x="6"/>
        <item x="3"/>
        <item x="17"/>
        <item x="13"/>
        <item x="11"/>
        <item x="22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3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</items>
    </pivotField>
  </pivotFields>
  <rowFields count="2">
    <field x="1"/>
    <field x="0"/>
  </rowFields>
  <rowItems count="107">
    <i>
      <x/>
    </i>
    <i r="1">
      <x v="3"/>
    </i>
    <i r="1">
      <x v="4"/>
    </i>
    <i r="1">
      <x v="9"/>
    </i>
    <i r="1">
      <x v="16"/>
    </i>
    <i r="1">
      <x v="17"/>
    </i>
    <i r="1">
      <x v="22"/>
    </i>
    <i r="1">
      <x v="23"/>
    </i>
    <i r="1">
      <x v="24"/>
    </i>
    <i r="1">
      <x v="31"/>
    </i>
    <i r="1">
      <x v="32"/>
    </i>
    <i r="1">
      <x v="38"/>
    </i>
    <i r="1">
      <x v="40"/>
    </i>
    <i r="1">
      <x v="43"/>
    </i>
    <i r="1">
      <x v="48"/>
    </i>
    <i r="1">
      <x v="49"/>
    </i>
    <i r="1">
      <x v="52"/>
    </i>
    <i r="1">
      <x v="53"/>
    </i>
    <i r="1">
      <x v="55"/>
    </i>
    <i r="1">
      <x v="58"/>
    </i>
    <i r="1">
      <x v="62"/>
    </i>
    <i r="1">
      <x v="64"/>
    </i>
    <i r="1">
      <x v="67"/>
    </i>
    <i r="1">
      <x v="73"/>
    </i>
    <i r="1">
      <x v="74"/>
    </i>
    <i r="1">
      <x v="78"/>
    </i>
    <i r="1">
      <x v="79"/>
    </i>
    <i r="1">
      <x v="80"/>
    </i>
    <i r="1">
      <x v="83"/>
    </i>
    <i r="1">
      <x v="85"/>
    </i>
    <i r="1">
      <x v="86"/>
    </i>
    <i r="1">
      <x v="91"/>
    </i>
    <i r="1">
      <x v="96"/>
    </i>
    <i r="1">
      <x v="100"/>
    </i>
    <i r="1">
      <x v="101"/>
    </i>
    <i>
      <x v="1"/>
    </i>
    <i r="1">
      <x v="1"/>
    </i>
    <i r="1">
      <x v="5"/>
    </i>
    <i r="1">
      <x v="10"/>
    </i>
    <i r="1">
      <x v="18"/>
    </i>
    <i r="1">
      <x v="21"/>
    </i>
    <i r="1">
      <x v="27"/>
    </i>
    <i r="1">
      <x v="29"/>
    </i>
    <i r="1">
      <x v="33"/>
    </i>
    <i r="1">
      <x v="36"/>
    </i>
    <i r="1">
      <x v="44"/>
    </i>
    <i r="1">
      <x v="47"/>
    </i>
    <i r="1">
      <x v="51"/>
    </i>
    <i r="1">
      <x v="57"/>
    </i>
    <i r="1">
      <x v="60"/>
    </i>
    <i r="1">
      <x v="65"/>
    </i>
    <i r="1">
      <x v="68"/>
    </i>
    <i r="1">
      <x v="72"/>
    </i>
    <i r="1">
      <x v="75"/>
    </i>
    <i r="1">
      <x v="81"/>
    </i>
    <i r="1">
      <x v="89"/>
    </i>
    <i r="1">
      <x v="90"/>
    </i>
    <i r="1">
      <x v="94"/>
    </i>
    <i r="1">
      <x v="97"/>
    </i>
    <i>
      <x v="2"/>
    </i>
    <i r="1">
      <x v="6"/>
    </i>
    <i r="1">
      <x v="7"/>
    </i>
    <i r="1">
      <x v="11"/>
    </i>
    <i r="1">
      <x v="12"/>
    </i>
    <i r="1">
      <x v="15"/>
    </i>
    <i r="1">
      <x v="20"/>
    </i>
    <i r="1">
      <x v="28"/>
    </i>
    <i r="1">
      <x v="34"/>
    </i>
    <i r="1">
      <x v="35"/>
    </i>
    <i r="1">
      <x v="39"/>
    </i>
    <i r="1">
      <x v="41"/>
    </i>
    <i r="1">
      <x v="42"/>
    </i>
    <i r="1">
      <x v="54"/>
    </i>
    <i r="1">
      <x v="61"/>
    </i>
    <i r="1">
      <x v="66"/>
    </i>
    <i r="1">
      <x v="71"/>
    </i>
    <i r="1">
      <x v="77"/>
    </i>
    <i r="1">
      <x v="84"/>
    </i>
    <i r="1">
      <x v="88"/>
    </i>
    <i r="1">
      <x v="95"/>
    </i>
    <i r="1">
      <x v="99"/>
    </i>
    <i>
      <x v="3"/>
    </i>
    <i r="1">
      <x/>
    </i>
    <i r="1">
      <x v="2"/>
    </i>
    <i r="1">
      <x v="8"/>
    </i>
    <i r="1">
      <x v="13"/>
    </i>
    <i r="1">
      <x v="14"/>
    </i>
    <i r="1">
      <x v="19"/>
    </i>
    <i r="1">
      <x v="25"/>
    </i>
    <i r="1">
      <x v="26"/>
    </i>
    <i r="1">
      <x v="30"/>
    </i>
    <i r="1">
      <x v="37"/>
    </i>
    <i r="1">
      <x v="45"/>
    </i>
    <i r="1">
      <x v="46"/>
    </i>
    <i r="1">
      <x v="50"/>
    </i>
    <i r="1">
      <x v="56"/>
    </i>
    <i r="1">
      <x v="59"/>
    </i>
    <i r="1">
      <x v="63"/>
    </i>
    <i r="1">
      <x v="69"/>
    </i>
    <i r="1">
      <x v="70"/>
    </i>
    <i r="1">
      <x v="76"/>
    </i>
    <i r="1">
      <x v="82"/>
    </i>
    <i r="1">
      <x v="87"/>
    </i>
    <i r="1">
      <x v="92"/>
    </i>
    <i r="1">
      <x v="93"/>
    </i>
    <i r="1">
      <x v="98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ma de SALÁRIO" fld="3" baseField="0" baseItem="0" numFmtId="44"/>
    <dataField name="Soma de IDADE" fld="5" baseField="0" baseItem="0"/>
  </dataFields>
  <pivotTableStyleInfo name="PivotStyleDark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B4C4-BA9D-4E26-ABC8-72265E64F55E}">
  <dimension ref="A3:F110"/>
  <sheetViews>
    <sheetView workbookViewId="0">
      <selection activeCell="A3" sqref="A3"/>
    </sheetView>
  </sheetViews>
  <sheetFormatPr defaultRowHeight="15" x14ac:dyDescent="0.25"/>
  <cols>
    <col min="1" max="1" width="29.7109375" bestFit="1" customWidth="1"/>
    <col min="2" max="2" width="16.7109375" bestFit="1" customWidth="1"/>
    <col min="3" max="3" width="18.7109375" bestFit="1" customWidth="1"/>
    <col min="4" max="4" width="17.42578125" bestFit="1" customWidth="1"/>
    <col min="5" max="5" width="17" bestFit="1" customWidth="1"/>
    <col min="6" max="6" width="14.5703125" bestFit="1" customWidth="1"/>
    <col min="7" max="7" width="13.28515625" bestFit="1" customWidth="1"/>
    <col min="8" max="8" width="12.140625" bestFit="1" customWidth="1"/>
    <col min="9" max="11" width="13.28515625" bestFit="1" customWidth="1"/>
    <col min="12" max="12" width="12.140625" bestFit="1" customWidth="1"/>
    <col min="13" max="15" width="13.28515625" bestFit="1" customWidth="1"/>
    <col min="16" max="29" width="12.140625" bestFit="1" customWidth="1"/>
    <col min="30" max="30" width="18.7109375" bestFit="1" customWidth="1"/>
    <col min="31" max="57" width="12.140625" bestFit="1" customWidth="1"/>
    <col min="58" max="58" width="17.42578125" bestFit="1" customWidth="1"/>
    <col min="59" max="85" width="12.140625" bestFit="1" customWidth="1"/>
    <col min="86" max="86" width="17" bestFit="1" customWidth="1"/>
    <col min="87" max="113" width="12.140625" bestFit="1" customWidth="1"/>
    <col min="114" max="114" width="21.85546875" bestFit="1" customWidth="1"/>
    <col min="115" max="115" width="23.7109375" bestFit="1" customWidth="1"/>
    <col min="116" max="116" width="22.42578125" bestFit="1" customWidth="1"/>
    <col min="117" max="117" width="22.140625" bestFit="1" customWidth="1"/>
  </cols>
  <sheetData>
    <row r="3" spans="1:6" x14ac:dyDescent="0.25">
      <c r="A3" s="43" t="s">
        <v>144</v>
      </c>
      <c r="B3" t="s">
        <v>146</v>
      </c>
      <c r="C3" t="s">
        <v>149</v>
      </c>
      <c r="D3" t="s">
        <v>150</v>
      </c>
      <c r="E3" t="s">
        <v>151</v>
      </c>
      <c r="F3" t="s">
        <v>147</v>
      </c>
    </row>
    <row r="4" spans="1:6" x14ac:dyDescent="0.25">
      <c r="A4" s="44" t="s">
        <v>108</v>
      </c>
      <c r="B4" s="46">
        <v>66891</v>
      </c>
      <c r="C4" s="46">
        <v>1967.3823529411766</v>
      </c>
      <c r="D4" s="46">
        <v>4000</v>
      </c>
      <c r="E4" s="46">
        <v>890</v>
      </c>
      <c r="F4" s="41">
        <v>1504</v>
      </c>
    </row>
    <row r="5" spans="1:6" x14ac:dyDescent="0.25">
      <c r="A5" s="45" t="s">
        <v>21</v>
      </c>
      <c r="B5" s="46">
        <v>1250</v>
      </c>
      <c r="C5" s="46">
        <v>1250</v>
      </c>
      <c r="D5" s="46">
        <v>1250</v>
      </c>
      <c r="E5" s="46">
        <v>1250</v>
      </c>
      <c r="F5" s="41">
        <v>35</v>
      </c>
    </row>
    <row r="6" spans="1:6" x14ac:dyDescent="0.25">
      <c r="A6" s="45" t="s">
        <v>59</v>
      </c>
      <c r="B6" s="46">
        <v>4000</v>
      </c>
      <c r="C6" s="46">
        <v>4000</v>
      </c>
      <c r="D6" s="46">
        <v>4000</v>
      </c>
      <c r="E6" s="46">
        <v>4000</v>
      </c>
      <c r="F6" s="41">
        <v>60</v>
      </c>
    </row>
    <row r="7" spans="1:6" x14ac:dyDescent="0.25">
      <c r="A7" s="45" t="s">
        <v>55</v>
      </c>
      <c r="B7" s="46">
        <v>1678</v>
      </c>
      <c r="C7" s="46">
        <v>1678</v>
      </c>
      <c r="D7" s="46">
        <v>1678</v>
      </c>
      <c r="E7" s="46">
        <v>1678</v>
      </c>
      <c r="F7" s="41">
        <v>42</v>
      </c>
    </row>
    <row r="8" spans="1:6" x14ac:dyDescent="0.25">
      <c r="A8" s="45" t="s">
        <v>83</v>
      </c>
      <c r="B8" s="46">
        <v>1200</v>
      </c>
      <c r="C8" s="46">
        <v>1200</v>
      </c>
      <c r="D8" s="46">
        <v>1200</v>
      </c>
      <c r="E8" s="46">
        <v>1200</v>
      </c>
      <c r="F8" s="41">
        <v>39</v>
      </c>
    </row>
    <row r="9" spans="1:6" x14ac:dyDescent="0.25">
      <c r="A9" s="45" t="s">
        <v>91</v>
      </c>
      <c r="B9" s="46">
        <v>1207</v>
      </c>
      <c r="C9" s="46">
        <v>1207</v>
      </c>
      <c r="D9" s="46">
        <v>1207</v>
      </c>
      <c r="E9" s="46">
        <v>1207</v>
      </c>
      <c r="F9" s="41">
        <v>37</v>
      </c>
    </row>
    <row r="10" spans="1:6" x14ac:dyDescent="0.25">
      <c r="A10" s="45" t="s">
        <v>9</v>
      </c>
      <c r="B10" s="46">
        <v>1560</v>
      </c>
      <c r="C10" s="46">
        <v>1560</v>
      </c>
      <c r="D10" s="46">
        <v>1560</v>
      </c>
      <c r="E10" s="46">
        <v>1560</v>
      </c>
      <c r="F10" s="41">
        <v>35</v>
      </c>
    </row>
    <row r="11" spans="1:6" x14ac:dyDescent="0.25">
      <c r="A11" s="45" t="s">
        <v>20</v>
      </c>
      <c r="B11" s="46">
        <v>1564</v>
      </c>
      <c r="C11" s="46">
        <v>1564</v>
      </c>
      <c r="D11" s="46">
        <v>1564</v>
      </c>
      <c r="E11" s="46">
        <v>1564</v>
      </c>
      <c r="F11" s="41">
        <v>47</v>
      </c>
    </row>
    <row r="12" spans="1:6" x14ac:dyDescent="0.25">
      <c r="A12" s="45" t="s">
        <v>24</v>
      </c>
      <c r="B12" s="46">
        <v>1800</v>
      </c>
      <c r="C12" s="46">
        <v>1800</v>
      </c>
      <c r="D12" s="46">
        <v>1800</v>
      </c>
      <c r="E12" s="46">
        <v>1800</v>
      </c>
      <c r="F12" s="41">
        <v>50</v>
      </c>
    </row>
    <row r="13" spans="1:6" x14ac:dyDescent="0.25">
      <c r="A13" s="45" t="s">
        <v>16</v>
      </c>
      <c r="B13" s="46">
        <v>2180</v>
      </c>
      <c r="C13" s="46">
        <v>2180</v>
      </c>
      <c r="D13" s="46">
        <v>2180</v>
      </c>
      <c r="E13" s="46">
        <v>2180</v>
      </c>
      <c r="F13" s="41">
        <v>45</v>
      </c>
    </row>
    <row r="14" spans="1:6" x14ac:dyDescent="0.25">
      <c r="A14" s="45" t="s">
        <v>50</v>
      </c>
      <c r="B14" s="46">
        <v>2570</v>
      </c>
      <c r="C14" s="46">
        <v>2570</v>
      </c>
      <c r="D14" s="46">
        <v>2570</v>
      </c>
      <c r="E14" s="46">
        <v>2570</v>
      </c>
      <c r="F14" s="41">
        <v>42</v>
      </c>
    </row>
    <row r="15" spans="1:6" x14ac:dyDescent="0.25">
      <c r="A15" s="45" t="s">
        <v>68</v>
      </c>
      <c r="B15" s="46">
        <v>2650</v>
      </c>
      <c r="C15" s="46">
        <v>2650</v>
      </c>
      <c r="D15" s="46">
        <v>2650</v>
      </c>
      <c r="E15" s="46">
        <v>2650</v>
      </c>
      <c r="F15" s="41">
        <v>58</v>
      </c>
    </row>
    <row r="16" spans="1:6" x14ac:dyDescent="0.25">
      <c r="A16" s="45" t="s">
        <v>17</v>
      </c>
      <c r="B16" s="46">
        <v>2176</v>
      </c>
      <c r="C16" s="46">
        <v>2176</v>
      </c>
      <c r="D16" s="46">
        <v>2176</v>
      </c>
      <c r="E16" s="46">
        <v>2176</v>
      </c>
      <c r="F16" s="41">
        <v>36</v>
      </c>
    </row>
    <row r="17" spans="1:6" x14ac:dyDescent="0.25">
      <c r="A17" s="45" t="s">
        <v>79</v>
      </c>
      <c r="B17" s="46">
        <v>2100</v>
      </c>
      <c r="C17" s="46">
        <v>2100</v>
      </c>
      <c r="D17" s="46">
        <v>2100</v>
      </c>
      <c r="E17" s="46">
        <v>2100</v>
      </c>
      <c r="F17" s="41">
        <v>49</v>
      </c>
    </row>
    <row r="18" spans="1:6" x14ac:dyDescent="0.25">
      <c r="A18" s="45" t="s">
        <v>85</v>
      </c>
      <c r="B18" s="46">
        <v>2100</v>
      </c>
      <c r="C18" s="46">
        <v>2100</v>
      </c>
      <c r="D18" s="46">
        <v>2100</v>
      </c>
      <c r="E18" s="46">
        <v>2100</v>
      </c>
      <c r="F18" s="41">
        <v>37</v>
      </c>
    </row>
    <row r="19" spans="1:6" x14ac:dyDescent="0.25">
      <c r="A19" s="45" t="s">
        <v>27</v>
      </c>
      <c r="B19" s="46">
        <v>1250</v>
      </c>
      <c r="C19" s="46">
        <v>1250</v>
      </c>
      <c r="D19" s="46">
        <v>1250</v>
      </c>
      <c r="E19" s="46">
        <v>1250</v>
      </c>
      <c r="F19" s="41">
        <v>57</v>
      </c>
    </row>
    <row r="20" spans="1:6" x14ac:dyDescent="0.25">
      <c r="A20" s="45" t="s">
        <v>15</v>
      </c>
      <c r="B20" s="46">
        <v>1100</v>
      </c>
      <c r="C20" s="46">
        <v>1100</v>
      </c>
      <c r="D20" s="46">
        <v>1100</v>
      </c>
      <c r="E20" s="46">
        <v>1100</v>
      </c>
      <c r="F20" s="41">
        <v>48</v>
      </c>
    </row>
    <row r="21" spans="1:6" x14ac:dyDescent="0.25">
      <c r="A21" s="45" t="s">
        <v>101</v>
      </c>
      <c r="B21" s="46">
        <v>2040</v>
      </c>
      <c r="C21" s="46">
        <v>2040</v>
      </c>
      <c r="D21" s="46">
        <v>2040</v>
      </c>
      <c r="E21" s="46">
        <v>2040</v>
      </c>
      <c r="F21" s="41">
        <v>45</v>
      </c>
    </row>
    <row r="22" spans="1:6" x14ac:dyDescent="0.25">
      <c r="A22" s="45" t="s">
        <v>73</v>
      </c>
      <c r="B22" s="46">
        <v>2100</v>
      </c>
      <c r="C22" s="46">
        <v>2100</v>
      </c>
      <c r="D22" s="46">
        <v>2100</v>
      </c>
      <c r="E22" s="46">
        <v>2100</v>
      </c>
      <c r="F22" s="41">
        <v>42</v>
      </c>
    </row>
    <row r="23" spans="1:6" x14ac:dyDescent="0.25">
      <c r="A23" s="45" t="s">
        <v>102</v>
      </c>
      <c r="B23" s="46">
        <v>1980</v>
      </c>
      <c r="C23" s="46">
        <v>1980</v>
      </c>
      <c r="D23" s="46">
        <v>1980</v>
      </c>
      <c r="E23" s="46">
        <v>1980</v>
      </c>
      <c r="F23" s="41">
        <v>41</v>
      </c>
    </row>
    <row r="24" spans="1:6" x14ac:dyDescent="0.25">
      <c r="A24" s="45" t="s">
        <v>40</v>
      </c>
      <c r="B24" s="46">
        <v>1100</v>
      </c>
      <c r="C24" s="46">
        <v>1100</v>
      </c>
      <c r="D24" s="46">
        <v>1100</v>
      </c>
      <c r="E24" s="46">
        <v>1100</v>
      </c>
      <c r="F24" s="41">
        <v>52</v>
      </c>
    </row>
    <row r="25" spans="1:6" x14ac:dyDescent="0.25">
      <c r="A25" s="45" t="s">
        <v>69</v>
      </c>
      <c r="B25" s="46">
        <v>2400</v>
      </c>
      <c r="C25" s="46">
        <v>2400</v>
      </c>
      <c r="D25" s="46">
        <v>2400</v>
      </c>
      <c r="E25" s="46">
        <v>2400</v>
      </c>
      <c r="F25" s="41">
        <v>57</v>
      </c>
    </row>
    <row r="26" spans="1:6" x14ac:dyDescent="0.25">
      <c r="A26" s="45" t="s">
        <v>31</v>
      </c>
      <c r="B26" s="46">
        <v>1945</v>
      </c>
      <c r="C26" s="46">
        <v>1945</v>
      </c>
      <c r="D26" s="46">
        <v>1945</v>
      </c>
      <c r="E26" s="46">
        <v>1945</v>
      </c>
      <c r="F26" s="41">
        <v>43</v>
      </c>
    </row>
    <row r="27" spans="1:6" x14ac:dyDescent="0.25">
      <c r="A27" s="45" t="s">
        <v>39</v>
      </c>
      <c r="B27" s="46">
        <v>2760</v>
      </c>
      <c r="C27" s="46">
        <v>2760</v>
      </c>
      <c r="D27" s="46">
        <v>2760</v>
      </c>
      <c r="E27" s="46">
        <v>2760</v>
      </c>
      <c r="F27" s="41">
        <v>47</v>
      </c>
    </row>
    <row r="28" spans="1:6" x14ac:dyDescent="0.25">
      <c r="A28" s="45" t="s">
        <v>98</v>
      </c>
      <c r="B28" s="46">
        <v>2780</v>
      </c>
      <c r="C28" s="46">
        <v>2780</v>
      </c>
      <c r="D28" s="46">
        <v>2780</v>
      </c>
      <c r="E28" s="46">
        <v>2780</v>
      </c>
      <c r="F28" s="41">
        <v>43</v>
      </c>
    </row>
    <row r="29" spans="1:6" x14ac:dyDescent="0.25">
      <c r="A29" s="45" t="s">
        <v>84</v>
      </c>
      <c r="B29" s="46">
        <v>2450</v>
      </c>
      <c r="C29" s="46">
        <v>2450</v>
      </c>
      <c r="D29" s="46">
        <v>2450</v>
      </c>
      <c r="E29" s="46">
        <v>2450</v>
      </c>
      <c r="F29" s="41">
        <v>46</v>
      </c>
    </row>
    <row r="30" spans="1:6" x14ac:dyDescent="0.25">
      <c r="A30" s="45" t="s">
        <v>93</v>
      </c>
      <c r="B30" s="46">
        <v>2900</v>
      </c>
      <c r="C30" s="46">
        <v>2900</v>
      </c>
      <c r="D30" s="46">
        <v>2900</v>
      </c>
      <c r="E30" s="46">
        <v>2900</v>
      </c>
      <c r="F30" s="41">
        <v>43</v>
      </c>
    </row>
    <row r="31" spans="1:6" x14ac:dyDescent="0.25">
      <c r="A31" s="45" t="s">
        <v>96</v>
      </c>
      <c r="B31" s="46">
        <v>890</v>
      </c>
      <c r="C31" s="46">
        <v>890</v>
      </c>
      <c r="D31" s="46">
        <v>890</v>
      </c>
      <c r="E31" s="46">
        <v>890</v>
      </c>
      <c r="F31" s="41">
        <v>47</v>
      </c>
    </row>
    <row r="32" spans="1:6" x14ac:dyDescent="0.25">
      <c r="A32" s="45" t="s">
        <v>81</v>
      </c>
      <c r="B32" s="46">
        <v>1560</v>
      </c>
      <c r="C32" s="46">
        <v>1560</v>
      </c>
      <c r="D32" s="46">
        <v>1560</v>
      </c>
      <c r="E32" s="46">
        <v>1560</v>
      </c>
      <c r="F32" s="41">
        <v>37</v>
      </c>
    </row>
    <row r="33" spans="1:6" x14ac:dyDescent="0.25">
      <c r="A33" s="45" t="s">
        <v>72</v>
      </c>
      <c r="B33" s="46">
        <v>1790</v>
      </c>
      <c r="C33" s="46">
        <v>1790</v>
      </c>
      <c r="D33" s="46">
        <v>1790</v>
      </c>
      <c r="E33" s="46">
        <v>1790</v>
      </c>
      <c r="F33" s="41">
        <v>41</v>
      </c>
    </row>
    <row r="34" spans="1:6" x14ac:dyDescent="0.25">
      <c r="A34" s="45" t="s">
        <v>36</v>
      </c>
      <c r="B34" s="46">
        <v>1945</v>
      </c>
      <c r="C34" s="46">
        <v>1945</v>
      </c>
      <c r="D34" s="46">
        <v>1945</v>
      </c>
      <c r="E34" s="46">
        <v>1945</v>
      </c>
      <c r="F34" s="41">
        <v>48</v>
      </c>
    </row>
    <row r="35" spans="1:6" x14ac:dyDescent="0.25">
      <c r="A35" s="45" t="s">
        <v>66</v>
      </c>
      <c r="B35" s="46">
        <v>2100</v>
      </c>
      <c r="C35" s="46">
        <v>2100</v>
      </c>
      <c r="D35" s="46">
        <v>2100</v>
      </c>
      <c r="E35" s="46">
        <v>2100</v>
      </c>
      <c r="F35" s="41">
        <v>43</v>
      </c>
    </row>
    <row r="36" spans="1:6" x14ac:dyDescent="0.25">
      <c r="A36" s="45" t="s">
        <v>18</v>
      </c>
      <c r="B36" s="46">
        <v>896</v>
      </c>
      <c r="C36" s="46">
        <v>896</v>
      </c>
      <c r="D36" s="46">
        <v>896</v>
      </c>
      <c r="E36" s="46">
        <v>896</v>
      </c>
      <c r="F36" s="41">
        <v>37</v>
      </c>
    </row>
    <row r="37" spans="1:6" x14ac:dyDescent="0.25">
      <c r="A37" s="45" t="s">
        <v>38</v>
      </c>
      <c r="B37" s="46">
        <v>2390</v>
      </c>
      <c r="C37" s="46">
        <v>2390</v>
      </c>
      <c r="D37" s="46">
        <v>2390</v>
      </c>
      <c r="E37" s="46">
        <v>2390</v>
      </c>
      <c r="F37" s="41">
        <v>39</v>
      </c>
    </row>
    <row r="38" spans="1:6" x14ac:dyDescent="0.25">
      <c r="A38" s="45" t="s">
        <v>19</v>
      </c>
      <c r="B38" s="46">
        <v>2480</v>
      </c>
      <c r="C38" s="46">
        <v>2480</v>
      </c>
      <c r="D38" s="46">
        <v>2480</v>
      </c>
      <c r="E38" s="46">
        <v>2480</v>
      </c>
      <c r="F38" s="41">
        <v>36</v>
      </c>
    </row>
    <row r="39" spans="1:6" x14ac:dyDescent="0.25">
      <c r="A39" s="44" t="s">
        <v>107</v>
      </c>
      <c r="B39" s="46">
        <v>57578</v>
      </c>
      <c r="C39" s="46">
        <v>2503.391304347826</v>
      </c>
      <c r="D39" s="46">
        <v>4780</v>
      </c>
      <c r="E39" s="46">
        <v>980</v>
      </c>
      <c r="F39" s="41">
        <v>1082</v>
      </c>
    </row>
    <row r="40" spans="1:6" x14ac:dyDescent="0.25">
      <c r="A40" s="45" t="s">
        <v>94</v>
      </c>
      <c r="B40" s="46">
        <v>2500</v>
      </c>
      <c r="C40" s="46">
        <v>2500</v>
      </c>
      <c r="D40" s="46">
        <v>2500</v>
      </c>
      <c r="E40" s="46">
        <v>2500</v>
      </c>
      <c r="F40" s="41">
        <v>39</v>
      </c>
    </row>
    <row r="41" spans="1:6" x14ac:dyDescent="0.25">
      <c r="A41" s="45" t="s">
        <v>86</v>
      </c>
      <c r="B41" s="46">
        <v>2700</v>
      </c>
      <c r="C41" s="46">
        <v>2700</v>
      </c>
      <c r="D41" s="46">
        <v>2700</v>
      </c>
      <c r="E41" s="46">
        <v>2700</v>
      </c>
      <c r="F41" s="41">
        <v>36</v>
      </c>
    </row>
    <row r="42" spans="1:6" x14ac:dyDescent="0.25">
      <c r="A42" s="45" t="s">
        <v>87</v>
      </c>
      <c r="B42" s="46">
        <v>2790</v>
      </c>
      <c r="C42" s="46">
        <v>2790</v>
      </c>
      <c r="D42" s="46">
        <v>2790</v>
      </c>
      <c r="E42" s="46">
        <v>2790</v>
      </c>
      <c r="F42" s="41">
        <v>36</v>
      </c>
    </row>
    <row r="43" spans="1:6" x14ac:dyDescent="0.25">
      <c r="A43" s="45" t="s">
        <v>60</v>
      </c>
      <c r="B43" s="46">
        <v>4780</v>
      </c>
      <c r="C43" s="46">
        <v>4780</v>
      </c>
      <c r="D43" s="46">
        <v>4780</v>
      </c>
      <c r="E43" s="46">
        <v>4780</v>
      </c>
      <c r="F43" s="41">
        <v>66</v>
      </c>
    </row>
    <row r="44" spans="1:6" x14ac:dyDescent="0.25">
      <c r="A44" s="45" t="s">
        <v>89</v>
      </c>
      <c r="B44" s="46">
        <v>2769</v>
      </c>
      <c r="C44" s="46">
        <v>2769</v>
      </c>
      <c r="D44" s="46">
        <v>2769</v>
      </c>
      <c r="E44" s="46">
        <v>2769</v>
      </c>
      <c r="F44" s="41">
        <v>58</v>
      </c>
    </row>
    <row r="45" spans="1:6" x14ac:dyDescent="0.25">
      <c r="A45" s="45" t="s">
        <v>47</v>
      </c>
      <c r="B45" s="46">
        <v>3200</v>
      </c>
      <c r="C45" s="46">
        <v>3200</v>
      </c>
      <c r="D45" s="46">
        <v>3200</v>
      </c>
      <c r="E45" s="46">
        <v>3200</v>
      </c>
      <c r="F45" s="41">
        <v>65</v>
      </c>
    </row>
    <row r="46" spans="1:6" x14ac:dyDescent="0.25">
      <c r="A46" s="45" t="s">
        <v>48</v>
      </c>
      <c r="B46" s="46">
        <v>3190</v>
      </c>
      <c r="C46" s="46">
        <v>3190</v>
      </c>
      <c r="D46" s="46">
        <v>3190</v>
      </c>
      <c r="E46" s="46">
        <v>3190</v>
      </c>
      <c r="F46" s="41">
        <v>44</v>
      </c>
    </row>
    <row r="47" spans="1:6" x14ac:dyDescent="0.25">
      <c r="A47" s="45" t="s">
        <v>6</v>
      </c>
      <c r="B47" s="46">
        <v>1320</v>
      </c>
      <c r="C47" s="46">
        <v>1320</v>
      </c>
      <c r="D47" s="46">
        <v>1320</v>
      </c>
      <c r="E47" s="46">
        <v>1320</v>
      </c>
      <c r="F47" s="41">
        <v>48</v>
      </c>
    </row>
    <row r="48" spans="1:6" x14ac:dyDescent="0.25">
      <c r="A48" s="45" t="s">
        <v>97</v>
      </c>
      <c r="B48" s="46">
        <v>2100</v>
      </c>
      <c r="C48" s="46">
        <v>2100</v>
      </c>
      <c r="D48" s="46">
        <v>2100</v>
      </c>
      <c r="E48" s="46">
        <v>2100</v>
      </c>
      <c r="F48" s="41">
        <v>70</v>
      </c>
    </row>
    <row r="49" spans="1:6" x14ac:dyDescent="0.25">
      <c r="A49" s="45" t="s">
        <v>95</v>
      </c>
      <c r="B49" s="46">
        <v>2640</v>
      </c>
      <c r="C49" s="46">
        <v>2640</v>
      </c>
      <c r="D49" s="46">
        <v>2640</v>
      </c>
      <c r="E49" s="46">
        <v>2640</v>
      </c>
      <c r="F49" s="41">
        <v>35</v>
      </c>
    </row>
    <row r="50" spans="1:6" x14ac:dyDescent="0.25">
      <c r="A50" s="45" t="s">
        <v>58</v>
      </c>
      <c r="B50" s="46">
        <v>2000</v>
      </c>
      <c r="C50" s="46">
        <v>2000</v>
      </c>
      <c r="D50" s="46">
        <v>2000</v>
      </c>
      <c r="E50" s="46">
        <v>2000</v>
      </c>
      <c r="F50" s="41">
        <v>43</v>
      </c>
    </row>
    <row r="51" spans="1:6" x14ac:dyDescent="0.25">
      <c r="A51" s="45" t="s">
        <v>43</v>
      </c>
      <c r="B51" s="46">
        <v>3010</v>
      </c>
      <c r="C51" s="46">
        <v>3010</v>
      </c>
      <c r="D51" s="46">
        <v>3010</v>
      </c>
      <c r="E51" s="46">
        <v>3010</v>
      </c>
      <c r="F51" s="41">
        <v>49</v>
      </c>
    </row>
    <row r="52" spans="1:6" x14ac:dyDescent="0.25">
      <c r="A52" s="45" t="s">
        <v>62</v>
      </c>
      <c r="B52" s="46">
        <v>2000</v>
      </c>
      <c r="C52" s="46">
        <v>2000</v>
      </c>
      <c r="D52" s="46">
        <v>2000</v>
      </c>
      <c r="E52" s="46">
        <v>2000</v>
      </c>
      <c r="F52" s="41">
        <v>49</v>
      </c>
    </row>
    <row r="53" spans="1:6" x14ac:dyDescent="0.25">
      <c r="A53" s="45" t="s">
        <v>30</v>
      </c>
      <c r="B53" s="46">
        <v>2980</v>
      </c>
      <c r="C53" s="46">
        <v>2980</v>
      </c>
      <c r="D53" s="46">
        <v>2980</v>
      </c>
      <c r="E53" s="46">
        <v>2980</v>
      </c>
      <c r="F53" s="41">
        <v>58</v>
      </c>
    </row>
    <row r="54" spans="1:6" x14ac:dyDescent="0.25">
      <c r="A54" s="45" t="s">
        <v>7</v>
      </c>
      <c r="B54" s="46">
        <v>980</v>
      </c>
      <c r="C54" s="46">
        <v>980</v>
      </c>
      <c r="D54" s="46">
        <v>980</v>
      </c>
      <c r="E54" s="46">
        <v>980</v>
      </c>
      <c r="F54" s="41">
        <v>43</v>
      </c>
    </row>
    <row r="55" spans="1:6" x14ac:dyDescent="0.25">
      <c r="A55" s="45" t="s">
        <v>64</v>
      </c>
      <c r="B55" s="46">
        <v>3000</v>
      </c>
      <c r="C55" s="46">
        <v>3000</v>
      </c>
      <c r="D55" s="46">
        <v>3000</v>
      </c>
      <c r="E55" s="46">
        <v>3000</v>
      </c>
      <c r="F55" s="41">
        <v>38</v>
      </c>
    </row>
    <row r="56" spans="1:6" x14ac:dyDescent="0.25">
      <c r="A56" s="45" t="s">
        <v>49</v>
      </c>
      <c r="B56" s="46">
        <v>2560</v>
      </c>
      <c r="C56" s="46">
        <v>2560</v>
      </c>
      <c r="D56" s="46">
        <v>2560</v>
      </c>
      <c r="E56" s="46">
        <v>2560</v>
      </c>
      <c r="F56" s="41">
        <v>36</v>
      </c>
    </row>
    <row r="57" spans="1:6" x14ac:dyDescent="0.25">
      <c r="A57" s="45" t="s">
        <v>51</v>
      </c>
      <c r="B57" s="46">
        <v>2850</v>
      </c>
      <c r="C57" s="46">
        <v>2850</v>
      </c>
      <c r="D57" s="46">
        <v>2850</v>
      </c>
      <c r="E57" s="46">
        <v>2850</v>
      </c>
      <c r="F57" s="41">
        <v>55</v>
      </c>
    </row>
    <row r="58" spans="1:6" x14ac:dyDescent="0.25">
      <c r="A58" s="45" t="s">
        <v>57</v>
      </c>
      <c r="B58" s="46">
        <v>2100</v>
      </c>
      <c r="C58" s="46">
        <v>2100</v>
      </c>
      <c r="D58" s="46">
        <v>2100</v>
      </c>
      <c r="E58" s="46">
        <v>2100</v>
      </c>
      <c r="F58" s="41">
        <v>37</v>
      </c>
    </row>
    <row r="59" spans="1:6" x14ac:dyDescent="0.25">
      <c r="A59" s="45" t="s">
        <v>42</v>
      </c>
      <c r="B59" s="46">
        <v>2109</v>
      </c>
      <c r="C59" s="46">
        <v>2109</v>
      </c>
      <c r="D59" s="46">
        <v>2109</v>
      </c>
      <c r="E59" s="46">
        <v>2109</v>
      </c>
      <c r="F59" s="41">
        <v>45</v>
      </c>
    </row>
    <row r="60" spans="1:6" x14ac:dyDescent="0.25">
      <c r="A60" s="45" t="s">
        <v>8</v>
      </c>
      <c r="B60" s="46">
        <v>2900</v>
      </c>
      <c r="C60" s="46">
        <v>2900</v>
      </c>
      <c r="D60" s="46">
        <v>2900</v>
      </c>
      <c r="E60" s="46">
        <v>2900</v>
      </c>
      <c r="F60" s="41">
        <v>39</v>
      </c>
    </row>
    <row r="61" spans="1:6" x14ac:dyDescent="0.25">
      <c r="A61" s="45" t="s">
        <v>67</v>
      </c>
      <c r="B61" s="46">
        <v>2100</v>
      </c>
      <c r="C61" s="46">
        <v>2100</v>
      </c>
      <c r="D61" s="46">
        <v>2100</v>
      </c>
      <c r="E61" s="46">
        <v>2100</v>
      </c>
      <c r="F61" s="41">
        <v>42</v>
      </c>
    </row>
    <row r="62" spans="1:6" x14ac:dyDescent="0.25">
      <c r="A62" s="45" t="s">
        <v>23</v>
      </c>
      <c r="B62" s="46">
        <v>1000</v>
      </c>
      <c r="C62" s="46">
        <v>1000</v>
      </c>
      <c r="D62" s="46">
        <v>1000</v>
      </c>
      <c r="E62" s="46">
        <v>1000</v>
      </c>
      <c r="F62" s="41">
        <v>51</v>
      </c>
    </row>
    <row r="63" spans="1:6" x14ac:dyDescent="0.25">
      <c r="A63" s="44" t="s">
        <v>109</v>
      </c>
      <c r="B63" s="46">
        <v>44585</v>
      </c>
      <c r="C63" s="46">
        <v>2123.0952380952381</v>
      </c>
      <c r="D63" s="46">
        <v>4500</v>
      </c>
      <c r="E63" s="46">
        <v>950</v>
      </c>
      <c r="F63" s="41">
        <v>984</v>
      </c>
    </row>
    <row r="64" spans="1:6" x14ac:dyDescent="0.25">
      <c r="A64" s="45" t="s">
        <v>12</v>
      </c>
      <c r="B64" s="46">
        <v>1800</v>
      </c>
      <c r="C64" s="46">
        <v>1800</v>
      </c>
      <c r="D64" s="46">
        <v>1800</v>
      </c>
      <c r="E64" s="46">
        <v>1800</v>
      </c>
      <c r="F64" s="41">
        <v>49</v>
      </c>
    </row>
    <row r="65" spans="1:6" x14ac:dyDescent="0.25">
      <c r="A65" s="45" t="s">
        <v>54</v>
      </c>
      <c r="B65" s="46">
        <v>1750</v>
      </c>
      <c r="C65" s="46">
        <v>1750</v>
      </c>
      <c r="D65" s="46">
        <v>1750</v>
      </c>
      <c r="E65" s="46">
        <v>1750</v>
      </c>
      <c r="F65" s="41">
        <v>60</v>
      </c>
    </row>
    <row r="66" spans="1:6" x14ac:dyDescent="0.25">
      <c r="A66" s="45" t="s">
        <v>25</v>
      </c>
      <c r="B66" s="46">
        <v>2000</v>
      </c>
      <c r="C66" s="46">
        <v>2000</v>
      </c>
      <c r="D66" s="46">
        <v>2000</v>
      </c>
      <c r="E66" s="46">
        <v>2000</v>
      </c>
      <c r="F66" s="41">
        <v>41</v>
      </c>
    </row>
    <row r="67" spans="1:6" x14ac:dyDescent="0.25">
      <c r="A67" s="45" t="s">
        <v>56</v>
      </c>
      <c r="B67" s="46">
        <v>3500</v>
      </c>
      <c r="C67" s="46">
        <v>3500</v>
      </c>
      <c r="D67" s="46">
        <v>3500</v>
      </c>
      <c r="E67" s="46">
        <v>3500</v>
      </c>
      <c r="F67" s="41">
        <v>42</v>
      </c>
    </row>
    <row r="68" spans="1:6" x14ac:dyDescent="0.25">
      <c r="A68" s="45" t="s">
        <v>88</v>
      </c>
      <c r="B68" s="46">
        <v>4500</v>
      </c>
      <c r="C68" s="46">
        <v>4500</v>
      </c>
      <c r="D68" s="46">
        <v>4500</v>
      </c>
      <c r="E68" s="46">
        <v>4500</v>
      </c>
      <c r="F68" s="41">
        <v>67</v>
      </c>
    </row>
    <row r="69" spans="1:6" x14ac:dyDescent="0.25">
      <c r="A69" s="45" t="s">
        <v>41</v>
      </c>
      <c r="B69" s="46">
        <v>1450</v>
      </c>
      <c r="C69" s="46">
        <v>1450</v>
      </c>
      <c r="D69" s="46">
        <v>1450</v>
      </c>
      <c r="E69" s="46">
        <v>1450</v>
      </c>
      <c r="F69" s="41">
        <v>41</v>
      </c>
    </row>
    <row r="70" spans="1:6" x14ac:dyDescent="0.25">
      <c r="A70" s="45" t="s">
        <v>22</v>
      </c>
      <c r="B70" s="46">
        <v>3600</v>
      </c>
      <c r="C70" s="46">
        <v>3600</v>
      </c>
      <c r="D70" s="46">
        <v>3600</v>
      </c>
      <c r="E70" s="46">
        <v>3600</v>
      </c>
      <c r="F70" s="41">
        <v>43</v>
      </c>
    </row>
    <row r="71" spans="1:6" x14ac:dyDescent="0.25">
      <c r="A71" s="45" t="s">
        <v>29</v>
      </c>
      <c r="B71" s="46">
        <v>1600</v>
      </c>
      <c r="C71" s="46">
        <v>1600</v>
      </c>
      <c r="D71" s="46">
        <v>1600</v>
      </c>
      <c r="E71" s="46">
        <v>1600</v>
      </c>
      <c r="F71" s="41">
        <v>39</v>
      </c>
    </row>
    <row r="72" spans="1:6" x14ac:dyDescent="0.25">
      <c r="A72" s="45" t="s">
        <v>61</v>
      </c>
      <c r="B72" s="46">
        <v>3200</v>
      </c>
      <c r="C72" s="46">
        <v>3200</v>
      </c>
      <c r="D72" s="46">
        <v>3200</v>
      </c>
      <c r="E72" s="46">
        <v>3200</v>
      </c>
      <c r="F72" s="41">
        <v>59</v>
      </c>
    </row>
    <row r="73" spans="1:6" x14ac:dyDescent="0.25">
      <c r="A73" s="45" t="s">
        <v>114</v>
      </c>
      <c r="B73" s="46">
        <v>2850</v>
      </c>
      <c r="C73" s="46">
        <v>2850</v>
      </c>
      <c r="D73" s="46">
        <v>2850</v>
      </c>
      <c r="E73" s="46">
        <v>2850</v>
      </c>
      <c r="F73" s="41">
        <v>45</v>
      </c>
    </row>
    <row r="74" spans="1:6" x14ac:dyDescent="0.25">
      <c r="A74" s="45" t="s">
        <v>70</v>
      </c>
      <c r="B74" s="46">
        <v>1050</v>
      </c>
      <c r="C74" s="46">
        <v>1050</v>
      </c>
      <c r="D74" s="46">
        <v>1050</v>
      </c>
      <c r="E74" s="46">
        <v>1050</v>
      </c>
      <c r="F74" s="41">
        <v>43</v>
      </c>
    </row>
    <row r="75" spans="1:6" x14ac:dyDescent="0.25">
      <c r="A75" s="45" t="s">
        <v>13</v>
      </c>
      <c r="B75" s="46">
        <v>1320</v>
      </c>
      <c r="C75" s="46">
        <v>1320</v>
      </c>
      <c r="D75" s="46">
        <v>1320</v>
      </c>
      <c r="E75" s="46">
        <v>1320</v>
      </c>
      <c r="F75" s="41">
        <v>39</v>
      </c>
    </row>
    <row r="76" spans="1:6" x14ac:dyDescent="0.25">
      <c r="A76" s="45" t="s">
        <v>76</v>
      </c>
      <c r="B76" s="46">
        <v>1020</v>
      </c>
      <c r="C76" s="46">
        <v>1020</v>
      </c>
      <c r="D76" s="46">
        <v>1020</v>
      </c>
      <c r="E76" s="46">
        <v>1020</v>
      </c>
      <c r="F76" s="41">
        <v>39</v>
      </c>
    </row>
    <row r="77" spans="1:6" x14ac:dyDescent="0.25">
      <c r="A77" s="45" t="s">
        <v>74</v>
      </c>
      <c r="B77" s="46">
        <v>2890</v>
      </c>
      <c r="C77" s="46">
        <v>2890</v>
      </c>
      <c r="D77" s="46">
        <v>2890</v>
      </c>
      <c r="E77" s="46">
        <v>2890</v>
      </c>
      <c r="F77" s="41">
        <v>42</v>
      </c>
    </row>
    <row r="78" spans="1:6" x14ac:dyDescent="0.25">
      <c r="A78" s="45" t="s">
        <v>80</v>
      </c>
      <c r="B78" s="46">
        <v>950</v>
      </c>
      <c r="C78" s="46">
        <v>950</v>
      </c>
      <c r="D78" s="46">
        <v>950</v>
      </c>
      <c r="E78" s="46">
        <v>950</v>
      </c>
      <c r="F78" s="41">
        <v>46</v>
      </c>
    </row>
    <row r="79" spans="1:6" x14ac:dyDescent="0.25">
      <c r="A79" s="45" t="s">
        <v>33</v>
      </c>
      <c r="B79" s="46">
        <v>990</v>
      </c>
      <c r="C79" s="46">
        <v>990</v>
      </c>
      <c r="D79" s="46">
        <v>990</v>
      </c>
      <c r="E79" s="46">
        <v>990</v>
      </c>
      <c r="F79" s="41">
        <v>58</v>
      </c>
    </row>
    <row r="80" spans="1:6" x14ac:dyDescent="0.25">
      <c r="A80" s="45" t="s">
        <v>77</v>
      </c>
      <c r="B80" s="46">
        <v>1000</v>
      </c>
      <c r="C80" s="46">
        <v>1000</v>
      </c>
      <c r="D80" s="46">
        <v>1000</v>
      </c>
      <c r="E80" s="46">
        <v>1000</v>
      </c>
      <c r="F80" s="41">
        <v>45</v>
      </c>
    </row>
    <row r="81" spans="1:6" x14ac:dyDescent="0.25">
      <c r="A81" s="45" t="s">
        <v>35</v>
      </c>
      <c r="B81" s="46">
        <v>1035</v>
      </c>
      <c r="C81" s="46">
        <v>1035</v>
      </c>
      <c r="D81" s="46">
        <v>1035</v>
      </c>
      <c r="E81" s="46">
        <v>1035</v>
      </c>
      <c r="F81" s="41">
        <v>41</v>
      </c>
    </row>
    <row r="82" spans="1:6" x14ac:dyDescent="0.25">
      <c r="A82" s="45" t="s">
        <v>99</v>
      </c>
      <c r="B82" s="46">
        <v>3100</v>
      </c>
      <c r="C82" s="46">
        <v>3100</v>
      </c>
      <c r="D82" s="46">
        <v>3100</v>
      </c>
      <c r="E82" s="46">
        <v>3100</v>
      </c>
      <c r="F82" s="41">
        <v>41</v>
      </c>
    </row>
    <row r="83" spans="1:6" x14ac:dyDescent="0.25">
      <c r="A83" s="45" t="s">
        <v>11</v>
      </c>
      <c r="B83" s="46">
        <v>3000</v>
      </c>
      <c r="C83" s="46">
        <v>3000</v>
      </c>
      <c r="D83" s="46">
        <v>3000</v>
      </c>
      <c r="E83" s="46">
        <v>3000</v>
      </c>
      <c r="F83" s="41">
        <v>57</v>
      </c>
    </row>
    <row r="84" spans="1:6" x14ac:dyDescent="0.25">
      <c r="A84" s="45" t="s">
        <v>100</v>
      </c>
      <c r="B84" s="46">
        <v>1980</v>
      </c>
      <c r="C84" s="46">
        <v>1980</v>
      </c>
      <c r="D84" s="46">
        <v>1980</v>
      </c>
      <c r="E84" s="46">
        <v>1980</v>
      </c>
      <c r="F84" s="41">
        <v>47</v>
      </c>
    </row>
    <row r="85" spans="1:6" x14ac:dyDescent="0.25">
      <c r="A85" s="44" t="s">
        <v>106</v>
      </c>
      <c r="B85" s="46">
        <v>56315</v>
      </c>
      <c r="C85" s="46">
        <v>2346.4583333333335</v>
      </c>
      <c r="D85" s="46">
        <v>4200</v>
      </c>
      <c r="E85" s="46">
        <v>956</v>
      </c>
      <c r="F85" s="41">
        <v>1028</v>
      </c>
    </row>
    <row r="86" spans="1:6" x14ac:dyDescent="0.25">
      <c r="A86" s="45" t="s">
        <v>82</v>
      </c>
      <c r="B86" s="46">
        <v>2300</v>
      </c>
      <c r="C86" s="46">
        <v>2300</v>
      </c>
      <c r="D86" s="46">
        <v>2300</v>
      </c>
      <c r="E86" s="46">
        <v>2300</v>
      </c>
      <c r="F86" s="41">
        <v>34</v>
      </c>
    </row>
    <row r="87" spans="1:6" x14ac:dyDescent="0.25">
      <c r="A87" s="45" t="s">
        <v>10</v>
      </c>
      <c r="B87" s="46">
        <v>2100</v>
      </c>
      <c r="C87" s="46">
        <v>2100</v>
      </c>
      <c r="D87" s="46">
        <v>2100</v>
      </c>
      <c r="E87" s="46">
        <v>2100</v>
      </c>
      <c r="F87" s="41">
        <v>48</v>
      </c>
    </row>
    <row r="88" spans="1:6" x14ac:dyDescent="0.25">
      <c r="A88" s="45" t="s">
        <v>105</v>
      </c>
      <c r="B88" s="46">
        <v>2470</v>
      </c>
      <c r="C88" s="46">
        <v>2470</v>
      </c>
      <c r="D88" s="46">
        <v>2470</v>
      </c>
      <c r="E88" s="46">
        <v>2470</v>
      </c>
      <c r="F88" s="41">
        <v>59</v>
      </c>
    </row>
    <row r="89" spans="1:6" x14ac:dyDescent="0.25">
      <c r="A89" s="45" t="s">
        <v>26</v>
      </c>
      <c r="B89" s="46">
        <v>2700</v>
      </c>
      <c r="C89" s="46">
        <v>2700</v>
      </c>
      <c r="D89" s="46">
        <v>2700</v>
      </c>
      <c r="E89" s="46">
        <v>2700</v>
      </c>
      <c r="F89" s="41">
        <v>47</v>
      </c>
    </row>
    <row r="90" spans="1:6" x14ac:dyDescent="0.25">
      <c r="A90" s="45" t="s">
        <v>28</v>
      </c>
      <c r="B90" s="46">
        <v>2780</v>
      </c>
      <c r="C90" s="46">
        <v>2780</v>
      </c>
      <c r="D90" s="46">
        <v>2780</v>
      </c>
      <c r="E90" s="46">
        <v>2780</v>
      </c>
      <c r="F90" s="41">
        <v>46</v>
      </c>
    </row>
    <row r="91" spans="1:6" x14ac:dyDescent="0.25">
      <c r="A91" s="45" t="s">
        <v>71</v>
      </c>
      <c r="B91" s="46">
        <v>3200</v>
      </c>
      <c r="C91" s="46">
        <v>3200</v>
      </c>
      <c r="D91" s="46">
        <v>3200</v>
      </c>
      <c r="E91" s="46">
        <v>3200</v>
      </c>
      <c r="F91" s="41">
        <v>36</v>
      </c>
    </row>
    <row r="92" spans="1:6" x14ac:dyDescent="0.25">
      <c r="A92" s="45" t="s">
        <v>104</v>
      </c>
      <c r="B92" s="46">
        <v>4200</v>
      </c>
      <c r="C92" s="46">
        <v>4200</v>
      </c>
      <c r="D92" s="46">
        <v>4200</v>
      </c>
      <c r="E92" s="46">
        <v>4200</v>
      </c>
      <c r="F92" s="41">
        <v>37</v>
      </c>
    </row>
    <row r="93" spans="1:6" x14ac:dyDescent="0.25">
      <c r="A93" s="45" t="s">
        <v>44</v>
      </c>
      <c r="B93" s="46">
        <v>1458</v>
      </c>
      <c r="C93" s="46">
        <v>1458</v>
      </c>
      <c r="D93" s="46">
        <v>1458</v>
      </c>
      <c r="E93" s="46">
        <v>1458</v>
      </c>
      <c r="F93" s="41">
        <v>47</v>
      </c>
    </row>
    <row r="94" spans="1:6" x14ac:dyDescent="0.25">
      <c r="A94" s="45" t="s">
        <v>75</v>
      </c>
      <c r="B94" s="46">
        <v>1400</v>
      </c>
      <c r="C94" s="46">
        <v>1400</v>
      </c>
      <c r="D94" s="46">
        <v>1400</v>
      </c>
      <c r="E94" s="46">
        <v>1400</v>
      </c>
      <c r="F94" s="41">
        <v>40</v>
      </c>
    </row>
    <row r="95" spans="1:6" x14ac:dyDescent="0.25">
      <c r="A95" s="45" t="s">
        <v>103</v>
      </c>
      <c r="B95" s="46">
        <v>1890</v>
      </c>
      <c r="C95" s="46">
        <v>1890</v>
      </c>
      <c r="D95" s="46">
        <v>1890</v>
      </c>
      <c r="E95" s="46">
        <v>1890</v>
      </c>
      <c r="F95" s="41">
        <v>45</v>
      </c>
    </row>
    <row r="96" spans="1:6" x14ac:dyDescent="0.25">
      <c r="A96" s="45" t="s">
        <v>14</v>
      </c>
      <c r="B96" s="46">
        <v>1000</v>
      </c>
      <c r="C96" s="46">
        <v>1000</v>
      </c>
      <c r="D96" s="46">
        <v>1000</v>
      </c>
      <c r="E96" s="46">
        <v>1000</v>
      </c>
      <c r="F96" s="41">
        <v>52</v>
      </c>
    </row>
    <row r="97" spans="1:6" x14ac:dyDescent="0.25">
      <c r="A97" s="45" t="s">
        <v>115</v>
      </c>
      <c r="B97" s="46">
        <v>2980</v>
      </c>
      <c r="C97" s="46">
        <v>2980</v>
      </c>
      <c r="D97" s="46">
        <v>2980</v>
      </c>
      <c r="E97" s="46">
        <v>2980</v>
      </c>
      <c r="F97" s="41">
        <v>36</v>
      </c>
    </row>
    <row r="98" spans="1:6" x14ac:dyDescent="0.25">
      <c r="A98" s="45" t="s">
        <v>52</v>
      </c>
      <c r="B98" s="46">
        <v>3000</v>
      </c>
      <c r="C98" s="46">
        <v>3000</v>
      </c>
      <c r="D98" s="46">
        <v>3000</v>
      </c>
      <c r="E98" s="46">
        <v>3000</v>
      </c>
      <c r="F98" s="41">
        <v>38</v>
      </c>
    </row>
    <row r="99" spans="1:6" x14ac:dyDescent="0.25">
      <c r="A99" s="45" t="s">
        <v>53</v>
      </c>
      <c r="B99" s="46">
        <v>2900</v>
      </c>
      <c r="C99" s="46">
        <v>2900</v>
      </c>
      <c r="D99" s="46">
        <v>2900</v>
      </c>
      <c r="E99" s="46">
        <v>2900</v>
      </c>
      <c r="F99" s="41">
        <v>45</v>
      </c>
    </row>
    <row r="100" spans="1:6" x14ac:dyDescent="0.25">
      <c r="A100" s="45" t="s">
        <v>63</v>
      </c>
      <c r="B100" s="46">
        <v>3100</v>
      </c>
      <c r="C100" s="46">
        <v>3100</v>
      </c>
      <c r="D100" s="46">
        <v>3100</v>
      </c>
      <c r="E100" s="46">
        <v>3100</v>
      </c>
      <c r="F100" s="41">
        <v>38</v>
      </c>
    </row>
    <row r="101" spans="1:6" x14ac:dyDescent="0.25">
      <c r="A101" s="45" t="s">
        <v>90</v>
      </c>
      <c r="B101" s="46">
        <v>2950</v>
      </c>
      <c r="C101" s="46">
        <v>2950</v>
      </c>
      <c r="D101" s="46">
        <v>2950</v>
      </c>
      <c r="E101" s="46">
        <v>2950</v>
      </c>
      <c r="F101" s="41">
        <v>46</v>
      </c>
    </row>
    <row r="102" spans="1:6" x14ac:dyDescent="0.25">
      <c r="A102" s="45" t="s">
        <v>32</v>
      </c>
      <c r="B102" s="46">
        <v>3050</v>
      </c>
      <c r="C102" s="46">
        <v>3050</v>
      </c>
      <c r="D102" s="46">
        <v>3050</v>
      </c>
      <c r="E102" s="46">
        <v>3050</v>
      </c>
      <c r="F102" s="41">
        <v>42</v>
      </c>
    </row>
    <row r="103" spans="1:6" x14ac:dyDescent="0.25">
      <c r="A103" s="45" t="s">
        <v>46</v>
      </c>
      <c r="B103" s="46">
        <v>956</v>
      </c>
      <c r="C103" s="46">
        <v>956</v>
      </c>
      <c r="D103" s="46">
        <v>956</v>
      </c>
      <c r="E103" s="46">
        <v>956</v>
      </c>
      <c r="F103" s="41">
        <v>52</v>
      </c>
    </row>
    <row r="104" spans="1:6" x14ac:dyDescent="0.25">
      <c r="A104" s="45" t="s">
        <v>78</v>
      </c>
      <c r="B104" s="46">
        <v>1060</v>
      </c>
      <c r="C104" s="46">
        <v>1060</v>
      </c>
      <c r="D104" s="46">
        <v>1060</v>
      </c>
      <c r="E104" s="46">
        <v>1060</v>
      </c>
      <c r="F104" s="41">
        <v>37</v>
      </c>
    </row>
    <row r="105" spans="1:6" x14ac:dyDescent="0.25">
      <c r="A105" s="45" t="s">
        <v>34</v>
      </c>
      <c r="B105" s="46">
        <v>2764</v>
      </c>
      <c r="C105" s="46">
        <v>2764</v>
      </c>
      <c r="D105" s="46">
        <v>2764</v>
      </c>
      <c r="E105" s="46">
        <v>2764</v>
      </c>
      <c r="F105" s="41">
        <v>46</v>
      </c>
    </row>
    <row r="106" spans="1:6" x14ac:dyDescent="0.25">
      <c r="A106" s="45" t="s">
        <v>65</v>
      </c>
      <c r="B106" s="46">
        <v>2740</v>
      </c>
      <c r="C106" s="46">
        <v>2740</v>
      </c>
      <c r="D106" s="46">
        <v>2740</v>
      </c>
      <c r="E106" s="46">
        <v>2740</v>
      </c>
      <c r="F106" s="41">
        <v>36</v>
      </c>
    </row>
    <row r="107" spans="1:6" x14ac:dyDescent="0.25">
      <c r="A107" s="45" t="s">
        <v>45</v>
      </c>
      <c r="B107" s="46">
        <v>1090</v>
      </c>
      <c r="C107" s="46">
        <v>1090</v>
      </c>
      <c r="D107" s="46">
        <v>1090</v>
      </c>
      <c r="E107" s="46">
        <v>1090</v>
      </c>
      <c r="F107" s="41">
        <v>41</v>
      </c>
    </row>
    <row r="108" spans="1:6" x14ac:dyDescent="0.25">
      <c r="A108" s="45" t="s">
        <v>37</v>
      </c>
      <c r="B108" s="46">
        <v>3120</v>
      </c>
      <c r="C108" s="46">
        <v>3120</v>
      </c>
      <c r="D108" s="46">
        <v>3120</v>
      </c>
      <c r="E108" s="46">
        <v>3120</v>
      </c>
      <c r="F108" s="41">
        <v>37</v>
      </c>
    </row>
    <row r="109" spans="1:6" x14ac:dyDescent="0.25">
      <c r="A109" s="45" t="s">
        <v>92</v>
      </c>
      <c r="B109" s="46">
        <v>1107</v>
      </c>
      <c r="C109" s="46">
        <v>1107</v>
      </c>
      <c r="D109" s="46">
        <v>1107</v>
      </c>
      <c r="E109" s="46">
        <v>1107</v>
      </c>
      <c r="F109" s="41">
        <v>43</v>
      </c>
    </row>
    <row r="110" spans="1:6" x14ac:dyDescent="0.25">
      <c r="A110" s="44" t="s">
        <v>145</v>
      </c>
      <c r="B110" s="46">
        <v>225369</v>
      </c>
      <c r="C110" s="46">
        <v>2209.5</v>
      </c>
      <c r="D110" s="46">
        <v>4780</v>
      </c>
      <c r="E110" s="46">
        <v>890</v>
      </c>
      <c r="F110" s="41">
        <v>4598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32CB-99D3-4E21-BA24-439A0890EF51}">
  <dimension ref="A2:C111"/>
  <sheetViews>
    <sheetView workbookViewId="0">
      <selection activeCell="M21" sqref="M21"/>
    </sheetView>
  </sheetViews>
  <sheetFormatPr defaultRowHeight="15" x14ac:dyDescent="0.25"/>
  <cols>
    <col min="1" max="1" width="29.7109375" bestFit="1" customWidth="1"/>
    <col min="2" max="2" width="16.7109375" bestFit="1" customWidth="1"/>
    <col min="3" max="3" width="14.5703125" bestFit="1" customWidth="1"/>
    <col min="4" max="5" width="13.28515625" bestFit="1" customWidth="1"/>
    <col min="6" max="6" width="14.28515625" bestFit="1" customWidth="1"/>
    <col min="7" max="7" width="13.28515625" bestFit="1" customWidth="1"/>
    <col min="8" max="8" width="12.140625" bestFit="1" customWidth="1"/>
    <col min="9" max="11" width="13.28515625" bestFit="1" customWidth="1"/>
    <col min="12" max="12" width="12.140625" bestFit="1" customWidth="1"/>
    <col min="13" max="15" width="13.28515625" bestFit="1" customWidth="1"/>
    <col min="16" max="29" width="12.140625" bestFit="1" customWidth="1"/>
    <col min="30" max="30" width="14.28515625" bestFit="1" customWidth="1"/>
    <col min="31" max="37" width="12.140625" bestFit="1" customWidth="1"/>
    <col min="38" max="38" width="14.28515625" bestFit="1" customWidth="1"/>
    <col min="39" max="40" width="12.140625" bestFit="1" customWidth="1"/>
    <col min="41" max="41" width="12.5703125" bestFit="1" customWidth="1"/>
    <col min="42" max="42" width="18.5703125" bestFit="1" customWidth="1"/>
    <col min="43" max="43" width="15.7109375" bestFit="1" customWidth="1"/>
    <col min="44" max="44" width="15.85546875" bestFit="1" customWidth="1"/>
    <col min="45" max="45" width="13.28515625" bestFit="1" customWidth="1"/>
    <col min="46" max="46" width="16.42578125" bestFit="1" customWidth="1"/>
    <col min="47" max="47" width="15.5703125" bestFit="1" customWidth="1"/>
    <col min="48" max="48" width="15.7109375" bestFit="1" customWidth="1"/>
    <col min="49" max="49" width="18.5703125" bestFit="1" customWidth="1"/>
    <col min="50" max="50" width="12.140625" bestFit="1" customWidth="1"/>
    <col min="51" max="51" width="17" bestFit="1" customWidth="1"/>
    <col min="52" max="52" width="12.140625" bestFit="1" customWidth="1"/>
    <col min="53" max="53" width="16.7109375" bestFit="1" customWidth="1"/>
    <col min="54" max="54" width="17.7109375" bestFit="1" customWidth="1"/>
    <col min="55" max="55" width="18" bestFit="1" customWidth="1"/>
    <col min="56" max="56" width="18.140625" bestFit="1" customWidth="1"/>
    <col min="57" max="57" width="16.140625" bestFit="1" customWidth="1"/>
    <col min="58" max="58" width="16" bestFit="1" customWidth="1"/>
    <col min="59" max="60" width="14.5703125" bestFit="1" customWidth="1"/>
    <col min="61" max="61" width="21" bestFit="1" customWidth="1"/>
    <col min="62" max="62" width="19.85546875" bestFit="1" customWidth="1"/>
    <col min="63" max="63" width="16.28515625" bestFit="1" customWidth="1"/>
    <col min="64" max="64" width="21" bestFit="1" customWidth="1"/>
    <col min="65" max="65" width="19.42578125" bestFit="1" customWidth="1"/>
    <col min="66" max="66" width="18.140625" bestFit="1" customWidth="1"/>
    <col min="67" max="67" width="19.28515625" bestFit="1" customWidth="1"/>
    <col min="68" max="68" width="19.42578125" bestFit="1" customWidth="1"/>
    <col min="69" max="69" width="20.28515625" bestFit="1" customWidth="1"/>
    <col min="70" max="70" width="17.7109375" bestFit="1" customWidth="1"/>
    <col min="71" max="71" width="14.85546875" bestFit="1" customWidth="1"/>
    <col min="72" max="72" width="16.85546875" bestFit="1" customWidth="1"/>
    <col min="73" max="73" width="11.28515625" bestFit="1" customWidth="1"/>
    <col min="74" max="74" width="12.140625" bestFit="1" customWidth="1"/>
    <col min="75" max="75" width="15.85546875" bestFit="1" customWidth="1"/>
    <col min="76" max="76" width="16" bestFit="1" customWidth="1"/>
    <col min="77" max="77" width="17.7109375" bestFit="1" customWidth="1"/>
    <col min="78" max="78" width="16.140625" bestFit="1" customWidth="1"/>
    <col min="79" max="79" width="15.7109375" bestFit="1" customWidth="1"/>
    <col min="80" max="80" width="13.7109375" bestFit="1" customWidth="1"/>
    <col min="81" max="81" width="12.7109375" bestFit="1" customWidth="1"/>
    <col min="82" max="82" width="12" bestFit="1" customWidth="1"/>
    <col min="83" max="83" width="21.140625" bestFit="1" customWidth="1"/>
    <col min="84" max="84" width="16.28515625" bestFit="1" customWidth="1"/>
    <col min="85" max="85" width="20.140625" bestFit="1" customWidth="1"/>
    <col min="86" max="86" width="15.5703125" bestFit="1" customWidth="1"/>
    <col min="87" max="87" width="16.5703125" bestFit="1" customWidth="1"/>
    <col min="88" max="88" width="16.85546875" bestFit="1" customWidth="1"/>
    <col min="89" max="89" width="14.7109375" bestFit="1" customWidth="1"/>
    <col min="90" max="90" width="21.140625" bestFit="1" customWidth="1"/>
    <col min="91" max="91" width="13.7109375" bestFit="1" customWidth="1"/>
    <col min="92" max="92" width="13.42578125" bestFit="1" customWidth="1"/>
    <col min="93" max="93" width="18.5703125" bestFit="1" customWidth="1"/>
    <col min="94" max="94" width="17.7109375" bestFit="1" customWidth="1"/>
    <col min="95" max="95" width="12.140625" bestFit="1" customWidth="1"/>
    <col min="96" max="96" width="15.85546875" bestFit="1" customWidth="1"/>
    <col min="97" max="97" width="12.5703125" bestFit="1" customWidth="1"/>
    <col min="98" max="98" width="13.5703125" bestFit="1" customWidth="1"/>
    <col min="99" max="99" width="13.140625" bestFit="1" customWidth="1"/>
    <col min="100" max="100" width="16" bestFit="1" customWidth="1"/>
    <col min="101" max="101" width="20.28515625" bestFit="1" customWidth="1"/>
    <col min="102" max="102" width="12.28515625" bestFit="1" customWidth="1"/>
    <col min="103" max="103" width="12.140625" bestFit="1" customWidth="1"/>
    <col min="104" max="104" width="14.28515625" bestFit="1" customWidth="1"/>
  </cols>
  <sheetData>
    <row r="2" spans="1:3" x14ac:dyDescent="0.25">
      <c r="A2" s="43" t="s">
        <v>2</v>
      </c>
      <c r="B2" t="s">
        <v>148</v>
      </c>
    </row>
    <row r="4" spans="1:3" x14ac:dyDescent="0.25">
      <c r="A4" s="43" t="s">
        <v>144</v>
      </c>
      <c r="B4" t="s">
        <v>146</v>
      </c>
      <c r="C4" t="s">
        <v>147</v>
      </c>
    </row>
    <row r="5" spans="1:3" x14ac:dyDescent="0.25">
      <c r="A5" s="44" t="s">
        <v>108</v>
      </c>
      <c r="B5" s="46">
        <v>66891</v>
      </c>
      <c r="C5" s="41">
        <v>1504</v>
      </c>
    </row>
    <row r="6" spans="1:3" x14ac:dyDescent="0.25">
      <c r="A6" s="45" t="s">
        <v>21</v>
      </c>
      <c r="B6" s="46">
        <v>1250</v>
      </c>
      <c r="C6" s="41">
        <v>35</v>
      </c>
    </row>
    <row r="7" spans="1:3" x14ac:dyDescent="0.25">
      <c r="A7" s="45" t="s">
        <v>59</v>
      </c>
      <c r="B7" s="46">
        <v>4000</v>
      </c>
      <c r="C7" s="41">
        <v>60</v>
      </c>
    </row>
    <row r="8" spans="1:3" x14ac:dyDescent="0.25">
      <c r="A8" s="45" t="s">
        <v>55</v>
      </c>
      <c r="B8" s="46">
        <v>1678</v>
      </c>
      <c r="C8" s="41">
        <v>42</v>
      </c>
    </row>
    <row r="9" spans="1:3" x14ac:dyDescent="0.25">
      <c r="A9" s="45" t="s">
        <v>83</v>
      </c>
      <c r="B9" s="46">
        <v>1200</v>
      </c>
      <c r="C9" s="41">
        <v>39</v>
      </c>
    </row>
    <row r="10" spans="1:3" x14ac:dyDescent="0.25">
      <c r="A10" s="45" t="s">
        <v>91</v>
      </c>
      <c r="B10" s="46">
        <v>1207</v>
      </c>
      <c r="C10" s="41">
        <v>37</v>
      </c>
    </row>
    <row r="11" spans="1:3" x14ac:dyDescent="0.25">
      <c r="A11" s="45" t="s">
        <v>9</v>
      </c>
      <c r="B11" s="46">
        <v>1560</v>
      </c>
      <c r="C11" s="41">
        <v>35</v>
      </c>
    </row>
    <row r="12" spans="1:3" x14ac:dyDescent="0.25">
      <c r="A12" s="45" t="s">
        <v>20</v>
      </c>
      <c r="B12" s="46">
        <v>1564</v>
      </c>
      <c r="C12" s="41">
        <v>47</v>
      </c>
    </row>
    <row r="13" spans="1:3" x14ac:dyDescent="0.25">
      <c r="A13" s="45" t="s">
        <v>24</v>
      </c>
      <c r="B13" s="46">
        <v>1800</v>
      </c>
      <c r="C13" s="41">
        <v>50</v>
      </c>
    </row>
    <row r="14" spans="1:3" x14ac:dyDescent="0.25">
      <c r="A14" s="45" t="s">
        <v>16</v>
      </c>
      <c r="B14" s="46">
        <v>2180</v>
      </c>
      <c r="C14" s="41">
        <v>45</v>
      </c>
    </row>
    <row r="15" spans="1:3" x14ac:dyDescent="0.25">
      <c r="A15" s="45" t="s">
        <v>50</v>
      </c>
      <c r="B15" s="46">
        <v>2570</v>
      </c>
      <c r="C15" s="41">
        <v>42</v>
      </c>
    </row>
    <row r="16" spans="1:3" x14ac:dyDescent="0.25">
      <c r="A16" s="45" t="s">
        <v>68</v>
      </c>
      <c r="B16" s="46">
        <v>2650</v>
      </c>
      <c r="C16" s="41">
        <v>58</v>
      </c>
    </row>
    <row r="17" spans="1:3" x14ac:dyDescent="0.25">
      <c r="A17" s="45" t="s">
        <v>17</v>
      </c>
      <c r="B17" s="46">
        <v>2176</v>
      </c>
      <c r="C17" s="41">
        <v>36</v>
      </c>
    </row>
    <row r="18" spans="1:3" x14ac:dyDescent="0.25">
      <c r="A18" s="45" t="s">
        <v>79</v>
      </c>
      <c r="B18" s="46">
        <v>2100</v>
      </c>
      <c r="C18" s="41">
        <v>49</v>
      </c>
    </row>
    <row r="19" spans="1:3" x14ac:dyDescent="0.25">
      <c r="A19" s="45" t="s">
        <v>85</v>
      </c>
      <c r="B19" s="46">
        <v>2100</v>
      </c>
      <c r="C19" s="41">
        <v>37</v>
      </c>
    </row>
    <row r="20" spans="1:3" x14ac:dyDescent="0.25">
      <c r="A20" s="45" t="s">
        <v>27</v>
      </c>
      <c r="B20" s="46">
        <v>1250</v>
      </c>
      <c r="C20" s="41">
        <v>57</v>
      </c>
    </row>
    <row r="21" spans="1:3" x14ac:dyDescent="0.25">
      <c r="A21" s="45" t="s">
        <v>15</v>
      </c>
      <c r="B21" s="46">
        <v>1100</v>
      </c>
      <c r="C21" s="41">
        <v>48</v>
      </c>
    </row>
    <row r="22" spans="1:3" x14ac:dyDescent="0.25">
      <c r="A22" s="45" t="s">
        <v>101</v>
      </c>
      <c r="B22" s="46">
        <v>2040</v>
      </c>
      <c r="C22" s="41">
        <v>45</v>
      </c>
    </row>
    <row r="23" spans="1:3" x14ac:dyDescent="0.25">
      <c r="A23" s="45" t="s">
        <v>73</v>
      </c>
      <c r="B23" s="46">
        <v>2100</v>
      </c>
      <c r="C23" s="41">
        <v>42</v>
      </c>
    </row>
    <row r="24" spans="1:3" x14ac:dyDescent="0.25">
      <c r="A24" s="45" t="s">
        <v>102</v>
      </c>
      <c r="B24" s="46">
        <v>1980</v>
      </c>
      <c r="C24" s="41">
        <v>41</v>
      </c>
    </row>
    <row r="25" spans="1:3" x14ac:dyDescent="0.25">
      <c r="A25" s="45" t="s">
        <v>40</v>
      </c>
      <c r="B25" s="46">
        <v>1100</v>
      </c>
      <c r="C25" s="41">
        <v>52</v>
      </c>
    </row>
    <row r="26" spans="1:3" x14ac:dyDescent="0.25">
      <c r="A26" s="45" t="s">
        <v>69</v>
      </c>
      <c r="B26" s="46">
        <v>2400</v>
      </c>
      <c r="C26" s="41">
        <v>57</v>
      </c>
    </row>
    <row r="27" spans="1:3" x14ac:dyDescent="0.25">
      <c r="A27" s="45" t="s">
        <v>31</v>
      </c>
      <c r="B27" s="46">
        <v>1945</v>
      </c>
      <c r="C27" s="41">
        <v>43</v>
      </c>
    </row>
    <row r="28" spans="1:3" x14ac:dyDescent="0.25">
      <c r="A28" s="45" t="s">
        <v>39</v>
      </c>
      <c r="B28" s="46">
        <v>2760</v>
      </c>
      <c r="C28" s="41">
        <v>47</v>
      </c>
    </row>
    <row r="29" spans="1:3" x14ac:dyDescent="0.25">
      <c r="A29" s="45" t="s">
        <v>98</v>
      </c>
      <c r="B29" s="46">
        <v>2780</v>
      </c>
      <c r="C29" s="41">
        <v>43</v>
      </c>
    </row>
    <row r="30" spans="1:3" x14ac:dyDescent="0.25">
      <c r="A30" s="45" t="s">
        <v>84</v>
      </c>
      <c r="B30" s="46">
        <v>2450</v>
      </c>
      <c r="C30" s="41">
        <v>46</v>
      </c>
    </row>
    <row r="31" spans="1:3" x14ac:dyDescent="0.25">
      <c r="A31" s="45" t="s">
        <v>93</v>
      </c>
      <c r="B31" s="46">
        <v>2900</v>
      </c>
      <c r="C31" s="41">
        <v>43</v>
      </c>
    </row>
    <row r="32" spans="1:3" x14ac:dyDescent="0.25">
      <c r="A32" s="45" t="s">
        <v>96</v>
      </c>
      <c r="B32" s="46">
        <v>890</v>
      </c>
      <c r="C32" s="41">
        <v>47</v>
      </c>
    </row>
    <row r="33" spans="1:3" x14ac:dyDescent="0.25">
      <c r="A33" s="45" t="s">
        <v>81</v>
      </c>
      <c r="B33" s="46">
        <v>1560</v>
      </c>
      <c r="C33" s="41">
        <v>37</v>
      </c>
    </row>
    <row r="34" spans="1:3" x14ac:dyDescent="0.25">
      <c r="A34" s="45" t="s">
        <v>72</v>
      </c>
      <c r="B34" s="46">
        <v>1790</v>
      </c>
      <c r="C34" s="41">
        <v>41</v>
      </c>
    </row>
    <row r="35" spans="1:3" x14ac:dyDescent="0.25">
      <c r="A35" s="45" t="s">
        <v>36</v>
      </c>
      <c r="B35" s="46">
        <v>1945</v>
      </c>
      <c r="C35" s="41">
        <v>48</v>
      </c>
    </row>
    <row r="36" spans="1:3" x14ac:dyDescent="0.25">
      <c r="A36" s="45" t="s">
        <v>66</v>
      </c>
      <c r="B36" s="46">
        <v>2100</v>
      </c>
      <c r="C36" s="41">
        <v>43</v>
      </c>
    </row>
    <row r="37" spans="1:3" x14ac:dyDescent="0.25">
      <c r="A37" s="45" t="s">
        <v>18</v>
      </c>
      <c r="B37" s="46">
        <v>896</v>
      </c>
      <c r="C37" s="41">
        <v>37</v>
      </c>
    </row>
    <row r="38" spans="1:3" x14ac:dyDescent="0.25">
      <c r="A38" s="45" t="s">
        <v>38</v>
      </c>
      <c r="B38" s="46">
        <v>2390</v>
      </c>
      <c r="C38" s="41">
        <v>39</v>
      </c>
    </row>
    <row r="39" spans="1:3" x14ac:dyDescent="0.25">
      <c r="A39" s="45" t="s">
        <v>19</v>
      </c>
      <c r="B39" s="46">
        <v>2480</v>
      </c>
      <c r="C39" s="41">
        <v>36</v>
      </c>
    </row>
    <row r="40" spans="1:3" x14ac:dyDescent="0.25">
      <c r="A40" s="44" t="s">
        <v>107</v>
      </c>
      <c r="B40" s="46">
        <v>57578</v>
      </c>
      <c r="C40" s="41">
        <v>1082</v>
      </c>
    </row>
    <row r="41" spans="1:3" x14ac:dyDescent="0.25">
      <c r="A41" s="45" t="s">
        <v>94</v>
      </c>
      <c r="B41" s="46">
        <v>2500</v>
      </c>
      <c r="C41" s="41">
        <v>39</v>
      </c>
    </row>
    <row r="42" spans="1:3" x14ac:dyDescent="0.25">
      <c r="A42" s="45" t="s">
        <v>86</v>
      </c>
      <c r="B42" s="46">
        <v>2700</v>
      </c>
      <c r="C42" s="41">
        <v>36</v>
      </c>
    </row>
    <row r="43" spans="1:3" x14ac:dyDescent="0.25">
      <c r="A43" s="45" t="s">
        <v>87</v>
      </c>
      <c r="B43" s="46">
        <v>2790</v>
      </c>
      <c r="C43" s="41">
        <v>36</v>
      </c>
    </row>
    <row r="44" spans="1:3" x14ac:dyDescent="0.25">
      <c r="A44" s="45" t="s">
        <v>60</v>
      </c>
      <c r="B44" s="46">
        <v>4780</v>
      </c>
      <c r="C44" s="41">
        <v>66</v>
      </c>
    </row>
    <row r="45" spans="1:3" x14ac:dyDescent="0.25">
      <c r="A45" s="45" t="s">
        <v>89</v>
      </c>
      <c r="B45" s="46">
        <v>2769</v>
      </c>
      <c r="C45" s="41">
        <v>58</v>
      </c>
    </row>
    <row r="46" spans="1:3" x14ac:dyDescent="0.25">
      <c r="A46" s="45" t="s">
        <v>47</v>
      </c>
      <c r="B46" s="46">
        <v>3200</v>
      </c>
      <c r="C46" s="41">
        <v>65</v>
      </c>
    </row>
    <row r="47" spans="1:3" x14ac:dyDescent="0.25">
      <c r="A47" s="45" t="s">
        <v>48</v>
      </c>
      <c r="B47" s="46">
        <v>3190</v>
      </c>
      <c r="C47" s="41">
        <v>44</v>
      </c>
    </row>
    <row r="48" spans="1:3" x14ac:dyDescent="0.25">
      <c r="A48" s="45" t="s">
        <v>6</v>
      </c>
      <c r="B48" s="46">
        <v>1320</v>
      </c>
      <c r="C48" s="41">
        <v>48</v>
      </c>
    </row>
    <row r="49" spans="1:3" x14ac:dyDescent="0.25">
      <c r="A49" s="45" t="s">
        <v>97</v>
      </c>
      <c r="B49" s="46">
        <v>2100</v>
      </c>
      <c r="C49" s="41">
        <v>70</v>
      </c>
    </row>
    <row r="50" spans="1:3" x14ac:dyDescent="0.25">
      <c r="A50" s="45" t="s">
        <v>95</v>
      </c>
      <c r="B50" s="46">
        <v>2640</v>
      </c>
      <c r="C50" s="41">
        <v>35</v>
      </c>
    </row>
    <row r="51" spans="1:3" x14ac:dyDescent="0.25">
      <c r="A51" s="45" t="s">
        <v>58</v>
      </c>
      <c r="B51" s="46">
        <v>2000</v>
      </c>
      <c r="C51" s="41">
        <v>43</v>
      </c>
    </row>
    <row r="52" spans="1:3" x14ac:dyDescent="0.25">
      <c r="A52" s="45" t="s">
        <v>43</v>
      </c>
      <c r="B52" s="46">
        <v>3010</v>
      </c>
      <c r="C52" s="41">
        <v>49</v>
      </c>
    </row>
    <row r="53" spans="1:3" x14ac:dyDescent="0.25">
      <c r="A53" s="45" t="s">
        <v>62</v>
      </c>
      <c r="B53" s="46">
        <v>2000</v>
      </c>
      <c r="C53" s="41">
        <v>49</v>
      </c>
    </row>
    <row r="54" spans="1:3" x14ac:dyDescent="0.25">
      <c r="A54" s="45" t="s">
        <v>30</v>
      </c>
      <c r="B54" s="46">
        <v>2980</v>
      </c>
      <c r="C54" s="41">
        <v>58</v>
      </c>
    </row>
    <row r="55" spans="1:3" x14ac:dyDescent="0.25">
      <c r="A55" s="45" t="s">
        <v>7</v>
      </c>
      <c r="B55" s="46">
        <v>980</v>
      </c>
      <c r="C55" s="41">
        <v>43</v>
      </c>
    </row>
    <row r="56" spans="1:3" x14ac:dyDescent="0.25">
      <c r="A56" s="45" t="s">
        <v>64</v>
      </c>
      <c r="B56" s="46">
        <v>3000</v>
      </c>
      <c r="C56" s="41">
        <v>38</v>
      </c>
    </row>
    <row r="57" spans="1:3" x14ac:dyDescent="0.25">
      <c r="A57" s="45" t="s">
        <v>49</v>
      </c>
      <c r="B57" s="46">
        <v>2560</v>
      </c>
      <c r="C57" s="41">
        <v>36</v>
      </c>
    </row>
    <row r="58" spans="1:3" x14ac:dyDescent="0.25">
      <c r="A58" s="45" t="s">
        <v>51</v>
      </c>
      <c r="B58" s="46">
        <v>2850</v>
      </c>
      <c r="C58" s="41">
        <v>55</v>
      </c>
    </row>
    <row r="59" spans="1:3" x14ac:dyDescent="0.25">
      <c r="A59" s="45" t="s">
        <v>57</v>
      </c>
      <c r="B59" s="46">
        <v>2100</v>
      </c>
      <c r="C59" s="41">
        <v>37</v>
      </c>
    </row>
    <row r="60" spans="1:3" x14ac:dyDescent="0.25">
      <c r="A60" s="45" t="s">
        <v>42</v>
      </c>
      <c r="B60" s="46">
        <v>2109</v>
      </c>
      <c r="C60" s="41">
        <v>45</v>
      </c>
    </row>
    <row r="61" spans="1:3" x14ac:dyDescent="0.25">
      <c r="A61" s="45" t="s">
        <v>8</v>
      </c>
      <c r="B61" s="46">
        <v>2900</v>
      </c>
      <c r="C61" s="41">
        <v>39</v>
      </c>
    </row>
    <row r="62" spans="1:3" x14ac:dyDescent="0.25">
      <c r="A62" s="45" t="s">
        <v>67</v>
      </c>
      <c r="B62" s="46">
        <v>2100</v>
      </c>
      <c r="C62" s="41">
        <v>42</v>
      </c>
    </row>
    <row r="63" spans="1:3" x14ac:dyDescent="0.25">
      <c r="A63" s="45" t="s">
        <v>23</v>
      </c>
      <c r="B63" s="46">
        <v>1000</v>
      </c>
      <c r="C63" s="41">
        <v>51</v>
      </c>
    </row>
    <row r="64" spans="1:3" x14ac:dyDescent="0.25">
      <c r="A64" s="44" t="s">
        <v>109</v>
      </c>
      <c r="B64" s="46">
        <v>44585</v>
      </c>
      <c r="C64" s="41">
        <v>984</v>
      </c>
    </row>
    <row r="65" spans="1:3" x14ac:dyDescent="0.25">
      <c r="A65" s="45" t="s">
        <v>12</v>
      </c>
      <c r="B65" s="46">
        <v>1800</v>
      </c>
      <c r="C65" s="41">
        <v>49</v>
      </c>
    </row>
    <row r="66" spans="1:3" x14ac:dyDescent="0.25">
      <c r="A66" s="45" t="s">
        <v>54</v>
      </c>
      <c r="B66" s="46">
        <v>1750</v>
      </c>
      <c r="C66" s="41">
        <v>60</v>
      </c>
    </row>
    <row r="67" spans="1:3" x14ac:dyDescent="0.25">
      <c r="A67" s="45" t="s">
        <v>25</v>
      </c>
      <c r="B67" s="46">
        <v>2000</v>
      </c>
      <c r="C67" s="41">
        <v>41</v>
      </c>
    </row>
    <row r="68" spans="1:3" x14ac:dyDescent="0.25">
      <c r="A68" s="45" t="s">
        <v>56</v>
      </c>
      <c r="B68" s="46">
        <v>3500</v>
      </c>
      <c r="C68" s="41">
        <v>42</v>
      </c>
    </row>
    <row r="69" spans="1:3" x14ac:dyDescent="0.25">
      <c r="A69" s="45" t="s">
        <v>88</v>
      </c>
      <c r="B69" s="46">
        <v>4500</v>
      </c>
      <c r="C69" s="41">
        <v>67</v>
      </c>
    </row>
    <row r="70" spans="1:3" x14ac:dyDescent="0.25">
      <c r="A70" s="45" t="s">
        <v>41</v>
      </c>
      <c r="B70" s="46">
        <v>1450</v>
      </c>
      <c r="C70" s="41">
        <v>41</v>
      </c>
    </row>
    <row r="71" spans="1:3" x14ac:dyDescent="0.25">
      <c r="A71" s="45" t="s">
        <v>22</v>
      </c>
      <c r="B71" s="46">
        <v>3600</v>
      </c>
      <c r="C71" s="41">
        <v>43</v>
      </c>
    </row>
    <row r="72" spans="1:3" x14ac:dyDescent="0.25">
      <c r="A72" s="45" t="s">
        <v>29</v>
      </c>
      <c r="B72" s="46">
        <v>1600</v>
      </c>
      <c r="C72" s="41">
        <v>39</v>
      </c>
    </row>
    <row r="73" spans="1:3" x14ac:dyDescent="0.25">
      <c r="A73" s="45" t="s">
        <v>61</v>
      </c>
      <c r="B73" s="46">
        <v>3200</v>
      </c>
      <c r="C73" s="41">
        <v>59</v>
      </c>
    </row>
    <row r="74" spans="1:3" x14ac:dyDescent="0.25">
      <c r="A74" s="45" t="s">
        <v>114</v>
      </c>
      <c r="B74" s="46">
        <v>2850</v>
      </c>
      <c r="C74" s="41">
        <v>45</v>
      </c>
    </row>
    <row r="75" spans="1:3" x14ac:dyDescent="0.25">
      <c r="A75" s="45" t="s">
        <v>70</v>
      </c>
      <c r="B75" s="46">
        <v>1050</v>
      </c>
      <c r="C75" s="41">
        <v>43</v>
      </c>
    </row>
    <row r="76" spans="1:3" x14ac:dyDescent="0.25">
      <c r="A76" s="45" t="s">
        <v>13</v>
      </c>
      <c r="B76" s="46">
        <v>1320</v>
      </c>
      <c r="C76" s="41">
        <v>39</v>
      </c>
    </row>
    <row r="77" spans="1:3" x14ac:dyDescent="0.25">
      <c r="A77" s="45" t="s">
        <v>76</v>
      </c>
      <c r="B77" s="46">
        <v>1020</v>
      </c>
      <c r="C77" s="41">
        <v>39</v>
      </c>
    </row>
    <row r="78" spans="1:3" x14ac:dyDescent="0.25">
      <c r="A78" s="45" t="s">
        <v>74</v>
      </c>
      <c r="B78" s="46">
        <v>2890</v>
      </c>
      <c r="C78" s="41">
        <v>42</v>
      </c>
    </row>
    <row r="79" spans="1:3" x14ac:dyDescent="0.25">
      <c r="A79" s="45" t="s">
        <v>80</v>
      </c>
      <c r="B79" s="46">
        <v>950</v>
      </c>
      <c r="C79" s="41">
        <v>46</v>
      </c>
    </row>
    <row r="80" spans="1:3" x14ac:dyDescent="0.25">
      <c r="A80" s="45" t="s">
        <v>33</v>
      </c>
      <c r="B80" s="46">
        <v>990</v>
      </c>
      <c r="C80" s="41">
        <v>58</v>
      </c>
    </row>
    <row r="81" spans="1:3" x14ac:dyDescent="0.25">
      <c r="A81" s="45" t="s">
        <v>77</v>
      </c>
      <c r="B81" s="46">
        <v>1000</v>
      </c>
      <c r="C81" s="41">
        <v>45</v>
      </c>
    </row>
    <row r="82" spans="1:3" x14ac:dyDescent="0.25">
      <c r="A82" s="45" t="s">
        <v>35</v>
      </c>
      <c r="B82" s="46">
        <v>1035</v>
      </c>
      <c r="C82" s="41">
        <v>41</v>
      </c>
    </row>
    <row r="83" spans="1:3" x14ac:dyDescent="0.25">
      <c r="A83" s="45" t="s">
        <v>99</v>
      </c>
      <c r="B83" s="46">
        <v>3100</v>
      </c>
      <c r="C83" s="41">
        <v>41</v>
      </c>
    </row>
    <row r="84" spans="1:3" x14ac:dyDescent="0.25">
      <c r="A84" s="45" t="s">
        <v>11</v>
      </c>
      <c r="B84" s="46">
        <v>3000</v>
      </c>
      <c r="C84" s="41">
        <v>57</v>
      </c>
    </row>
    <row r="85" spans="1:3" x14ac:dyDescent="0.25">
      <c r="A85" s="45" t="s">
        <v>100</v>
      </c>
      <c r="B85" s="46">
        <v>1980</v>
      </c>
      <c r="C85" s="41">
        <v>47</v>
      </c>
    </row>
    <row r="86" spans="1:3" x14ac:dyDescent="0.25">
      <c r="A86" s="44" t="s">
        <v>106</v>
      </c>
      <c r="B86" s="46">
        <v>56315</v>
      </c>
      <c r="C86" s="41">
        <v>1028</v>
      </c>
    </row>
    <row r="87" spans="1:3" x14ac:dyDescent="0.25">
      <c r="A87" s="45" t="s">
        <v>82</v>
      </c>
      <c r="B87" s="46">
        <v>2300</v>
      </c>
      <c r="C87" s="41">
        <v>34</v>
      </c>
    </row>
    <row r="88" spans="1:3" x14ac:dyDescent="0.25">
      <c r="A88" s="45" t="s">
        <v>10</v>
      </c>
      <c r="B88" s="46">
        <v>2100</v>
      </c>
      <c r="C88" s="41">
        <v>48</v>
      </c>
    </row>
    <row r="89" spans="1:3" x14ac:dyDescent="0.25">
      <c r="A89" s="45" t="s">
        <v>105</v>
      </c>
      <c r="B89" s="46">
        <v>2470</v>
      </c>
      <c r="C89" s="41">
        <v>59</v>
      </c>
    </row>
    <row r="90" spans="1:3" x14ac:dyDescent="0.25">
      <c r="A90" s="45" t="s">
        <v>26</v>
      </c>
      <c r="B90" s="46">
        <v>2700</v>
      </c>
      <c r="C90" s="41">
        <v>47</v>
      </c>
    </row>
    <row r="91" spans="1:3" x14ac:dyDescent="0.25">
      <c r="A91" s="45" t="s">
        <v>28</v>
      </c>
      <c r="B91" s="46">
        <v>2780</v>
      </c>
      <c r="C91" s="41">
        <v>46</v>
      </c>
    </row>
    <row r="92" spans="1:3" x14ac:dyDescent="0.25">
      <c r="A92" s="45" t="s">
        <v>71</v>
      </c>
      <c r="B92" s="46">
        <v>3200</v>
      </c>
      <c r="C92" s="41">
        <v>36</v>
      </c>
    </row>
    <row r="93" spans="1:3" x14ac:dyDescent="0.25">
      <c r="A93" s="45" t="s">
        <v>104</v>
      </c>
      <c r="B93" s="46">
        <v>4200</v>
      </c>
      <c r="C93" s="41">
        <v>37</v>
      </c>
    </row>
    <row r="94" spans="1:3" x14ac:dyDescent="0.25">
      <c r="A94" s="45" t="s">
        <v>44</v>
      </c>
      <c r="B94" s="46">
        <v>1458</v>
      </c>
      <c r="C94" s="41">
        <v>47</v>
      </c>
    </row>
    <row r="95" spans="1:3" x14ac:dyDescent="0.25">
      <c r="A95" s="45" t="s">
        <v>75</v>
      </c>
      <c r="B95" s="46">
        <v>1400</v>
      </c>
      <c r="C95" s="41">
        <v>40</v>
      </c>
    </row>
    <row r="96" spans="1:3" x14ac:dyDescent="0.25">
      <c r="A96" s="45" t="s">
        <v>103</v>
      </c>
      <c r="B96" s="46">
        <v>1890</v>
      </c>
      <c r="C96" s="41">
        <v>45</v>
      </c>
    </row>
    <row r="97" spans="1:3" x14ac:dyDescent="0.25">
      <c r="A97" s="45" t="s">
        <v>14</v>
      </c>
      <c r="B97" s="46">
        <v>1000</v>
      </c>
      <c r="C97" s="41">
        <v>52</v>
      </c>
    </row>
    <row r="98" spans="1:3" x14ac:dyDescent="0.25">
      <c r="A98" s="45" t="s">
        <v>115</v>
      </c>
      <c r="B98" s="46">
        <v>2980</v>
      </c>
      <c r="C98" s="41">
        <v>36</v>
      </c>
    </row>
    <row r="99" spans="1:3" x14ac:dyDescent="0.25">
      <c r="A99" s="45" t="s">
        <v>52</v>
      </c>
      <c r="B99" s="46">
        <v>3000</v>
      </c>
      <c r="C99" s="41">
        <v>38</v>
      </c>
    </row>
    <row r="100" spans="1:3" x14ac:dyDescent="0.25">
      <c r="A100" s="45" t="s">
        <v>53</v>
      </c>
      <c r="B100" s="46">
        <v>2900</v>
      </c>
      <c r="C100" s="41">
        <v>45</v>
      </c>
    </row>
    <row r="101" spans="1:3" x14ac:dyDescent="0.25">
      <c r="A101" s="45" t="s">
        <v>63</v>
      </c>
      <c r="B101" s="46">
        <v>3100</v>
      </c>
      <c r="C101" s="41">
        <v>38</v>
      </c>
    </row>
    <row r="102" spans="1:3" x14ac:dyDescent="0.25">
      <c r="A102" s="45" t="s">
        <v>90</v>
      </c>
      <c r="B102" s="46">
        <v>2950</v>
      </c>
      <c r="C102" s="41">
        <v>46</v>
      </c>
    </row>
    <row r="103" spans="1:3" x14ac:dyDescent="0.25">
      <c r="A103" s="45" t="s">
        <v>32</v>
      </c>
      <c r="B103" s="46">
        <v>3050</v>
      </c>
      <c r="C103" s="41">
        <v>42</v>
      </c>
    </row>
    <row r="104" spans="1:3" x14ac:dyDescent="0.25">
      <c r="A104" s="45" t="s">
        <v>46</v>
      </c>
      <c r="B104" s="46">
        <v>956</v>
      </c>
      <c r="C104" s="41">
        <v>52</v>
      </c>
    </row>
    <row r="105" spans="1:3" x14ac:dyDescent="0.25">
      <c r="A105" s="45" t="s">
        <v>78</v>
      </c>
      <c r="B105" s="46">
        <v>1060</v>
      </c>
      <c r="C105" s="41">
        <v>37</v>
      </c>
    </row>
    <row r="106" spans="1:3" x14ac:dyDescent="0.25">
      <c r="A106" s="45" t="s">
        <v>34</v>
      </c>
      <c r="B106" s="46">
        <v>2764</v>
      </c>
      <c r="C106" s="41">
        <v>46</v>
      </c>
    </row>
    <row r="107" spans="1:3" x14ac:dyDescent="0.25">
      <c r="A107" s="45" t="s">
        <v>65</v>
      </c>
      <c r="B107" s="46">
        <v>2740</v>
      </c>
      <c r="C107" s="41">
        <v>36</v>
      </c>
    </row>
    <row r="108" spans="1:3" x14ac:dyDescent="0.25">
      <c r="A108" s="45" t="s">
        <v>45</v>
      </c>
      <c r="B108" s="46">
        <v>1090</v>
      </c>
      <c r="C108" s="41">
        <v>41</v>
      </c>
    </row>
    <row r="109" spans="1:3" x14ac:dyDescent="0.25">
      <c r="A109" s="45" t="s">
        <v>37</v>
      </c>
      <c r="B109" s="46">
        <v>3120</v>
      </c>
      <c r="C109" s="41">
        <v>37</v>
      </c>
    </row>
    <row r="110" spans="1:3" x14ac:dyDescent="0.25">
      <c r="A110" s="45" t="s">
        <v>92</v>
      </c>
      <c r="B110" s="46">
        <v>1107</v>
      </c>
      <c r="C110" s="41">
        <v>43</v>
      </c>
    </row>
    <row r="111" spans="1:3" x14ac:dyDescent="0.25">
      <c r="A111" s="44" t="s">
        <v>145</v>
      </c>
      <c r="B111" s="46">
        <v>225369</v>
      </c>
      <c r="C111" s="41">
        <v>4598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topLeftCell="A2" zoomScaleNormal="100" workbookViewId="0">
      <selection activeCell="J16" sqref="J16"/>
    </sheetView>
  </sheetViews>
  <sheetFormatPr defaultRowHeight="15" x14ac:dyDescent="0.25"/>
  <cols>
    <col min="1" max="1" width="33.7109375" customWidth="1"/>
    <col min="2" max="2" width="17.85546875" bestFit="1" customWidth="1"/>
    <col min="3" max="3" width="22" customWidth="1"/>
    <col min="4" max="4" width="15.28515625" style="6" customWidth="1"/>
    <col min="5" max="5" width="13.5703125" customWidth="1"/>
    <col min="6" max="6" width="17.42578125" style="7" customWidth="1"/>
    <col min="7" max="7" width="13.140625" customWidth="1"/>
    <col min="11" max="11" width="53.5703125" bestFit="1" customWidth="1"/>
    <col min="12" max="12" width="8.42578125" customWidth="1"/>
  </cols>
  <sheetData>
    <row r="1" spans="1:11" ht="21" x14ac:dyDescent="0.35">
      <c r="A1" s="35" t="s">
        <v>128</v>
      </c>
      <c r="B1" s="35"/>
      <c r="C1" s="35"/>
      <c r="D1" s="35"/>
      <c r="E1" s="35"/>
      <c r="F1" s="35"/>
    </row>
    <row r="2" spans="1:11" ht="30" x14ac:dyDescent="0.25">
      <c r="A2" s="8" t="s">
        <v>0</v>
      </c>
      <c r="B2" s="8" t="s">
        <v>1</v>
      </c>
      <c r="C2" s="8" t="s">
        <v>2</v>
      </c>
      <c r="D2" s="9" t="s">
        <v>3</v>
      </c>
      <c r="E2" s="8" t="s">
        <v>4</v>
      </c>
      <c r="F2" s="10" t="s">
        <v>5</v>
      </c>
      <c r="K2" s="14" t="s">
        <v>129</v>
      </c>
    </row>
    <row r="3" spans="1:11" ht="15.75" x14ac:dyDescent="0.25">
      <c r="A3" s="4" t="s">
        <v>82</v>
      </c>
      <c r="B3" s="4" t="s">
        <v>106</v>
      </c>
      <c r="C3" s="4" t="s">
        <v>110</v>
      </c>
      <c r="D3" s="5">
        <v>2300</v>
      </c>
      <c r="E3" s="2">
        <v>33605</v>
      </c>
      <c r="F3" s="15">
        <f ca="1">INT((TODAY()-E3)/365.25)</f>
        <v>34</v>
      </c>
      <c r="H3" s="16">
        <f ca="1">DATEDIF(E3,TODAY(),"Y")</f>
        <v>34</v>
      </c>
      <c r="K3" s="22" t="s">
        <v>131</v>
      </c>
    </row>
    <row r="4" spans="1:11" ht="15.75" x14ac:dyDescent="0.25">
      <c r="A4" s="1" t="s">
        <v>21</v>
      </c>
      <c r="B4" s="4" t="s">
        <v>108</v>
      </c>
      <c r="C4" s="4" t="s">
        <v>110</v>
      </c>
      <c r="D4" s="5">
        <v>1250</v>
      </c>
      <c r="E4" s="2">
        <v>33501</v>
      </c>
      <c r="F4" s="13">
        <f ca="1">INT((TODAY()-E4)/365.25)</f>
        <v>35</v>
      </c>
      <c r="K4" s="23" t="s">
        <v>130</v>
      </c>
    </row>
    <row r="5" spans="1:11" x14ac:dyDescent="0.25">
      <c r="A5" s="1" t="s">
        <v>10</v>
      </c>
      <c r="B5" s="4" t="s">
        <v>106</v>
      </c>
      <c r="C5" s="4" t="s">
        <v>110</v>
      </c>
      <c r="D5" s="5">
        <v>2100</v>
      </c>
      <c r="E5" s="2">
        <v>28623</v>
      </c>
      <c r="F5" s="13">
        <f ca="1">INT((TODAY()-E5)/365.25)</f>
        <v>48</v>
      </c>
    </row>
    <row r="6" spans="1:11" x14ac:dyDescent="0.25">
      <c r="A6" s="1" t="s">
        <v>9</v>
      </c>
      <c r="B6" s="4" t="s">
        <v>108</v>
      </c>
      <c r="C6" s="4" t="s">
        <v>113</v>
      </c>
      <c r="D6" s="5">
        <v>1560</v>
      </c>
      <c r="E6" s="2">
        <v>33199</v>
      </c>
      <c r="F6" s="13">
        <f ca="1">INT((TODAY()-E6)/365.25)</f>
        <v>35</v>
      </c>
    </row>
    <row r="7" spans="1:11" x14ac:dyDescent="0.25">
      <c r="A7" s="4" t="s">
        <v>59</v>
      </c>
      <c r="B7" s="4" t="s">
        <v>108</v>
      </c>
      <c r="C7" s="4" t="s">
        <v>112</v>
      </c>
      <c r="D7" s="5">
        <v>4000</v>
      </c>
      <c r="E7" s="2">
        <v>24027</v>
      </c>
      <c r="F7" s="13">
        <f ca="1">INT((TODAY()-E7)/365.25)</f>
        <v>60</v>
      </c>
    </row>
    <row r="8" spans="1:11" x14ac:dyDescent="0.25">
      <c r="A8" s="4" t="s">
        <v>86</v>
      </c>
      <c r="B8" s="4" t="s">
        <v>107</v>
      </c>
      <c r="C8" s="4" t="s">
        <v>111</v>
      </c>
      <c r="D8" s="5">
        <v>2700</v>
      </c>
      <c r="E8" s="2">
        <v>32827</v>
      </c>
      <c r="F8" s="13">
        <f ca="1">INT((TODAY()-E8)/365.25)</f>
        <v>36</v>
      </c>
    </row>
    <row r="9" spans="1:11" x14ac:dyDescent="0.25">
      <c r="A9" s="1" t="s">
        <v>12</v>
      </c>
      <c r="B9" s="4" t="s">
        <v>109</v>
      </c>
      <c r="C9" s="4" t="s">
        <v>113</v>
      </c>
      <c r="D9" s="5">
        <v>1800</v>
      </c>
      <c r="E9" s="2">
        <v>28302</v>
      </c>
      <c r="F9" s="13">
        <f ca="1">INT((TODAY()-E9)/365.25)</f>
        <v>49</v>
      </c>
    </row>
    <row r="10" spans="1:11" x14ac:dyDescent="0.25">
      <c r="A10" s="3" t="s">
        <v>54</v>
      </c>
      <c r="B10" s="4" t="s">
        <v>109</v>
      </c>
      <c r="C10" s="4" t="s">
        <v>113</v>
      </c>
      <c r="D10" s="5">
        <v>1750</v>
      </c>
      <c r="E10" s="2">
        <v>24209</v>
      </c>
      <c r="F10" s="13">
        <f ca="1">INT((TODAY()-E10)/365.25)</f>
        <v>60</v>
      </c>
    </row>
    <row r="11" spans="1:11" x14ac:dyDescent="0.25">
      <c r="A11" s="4" t="s">
        <v>105</v>
      </c>
      <c r="B11" s="4" t="s">
        <v>106</v>
      </c>
      <c r="C11" s="4" t="s">
        <v>110</v>
      </c>
      <c r="D11" s="5">
        <v>2470</v>
      </c>
      <c r="E11" s="2">
        <v>24531</v>
      </c>
      <c r="F11" s="13">
        <f ca="1">INT((TODAY()-E11)/365.25)</f>
        <v>59</v>
      </c>
    </row>
    <row r="12" spans="1:11" x14ac:dyDescent="0.25">
      <c r="A12" s="3" t="s">
        <v>55</v>
      </c>
      <c r="B12" s="4" t="s">
        <v>108</v>
      </c>
      <c r="C12" s="4" t="s">
        <v>111</v>
      </c>
      <c r="D12" s="5">
        <v>1678</v>
      </c>
      <c r="E12" s="2">
        <v>30759</v>
      </c>
      <c r="F12" s="13">
        <f ca="1">INT((TODAY()-E12)/365.25)</f>
        <v>42</v>
      </c>
    </row>
    <row r="13" spans="1:11" x14ac:dyDescent="0.25">
      <c r="A13" s="4" t="s">
        <v>87</v>
      </c>
      <c r="B13" s="4" t="s">
        <v>107</v>
      </c>
      <c r="C13" s="4" t="s">
        <v>111</v>
      </c>
      <c r="D13" s="5">
        <v>2790</v>
      </c>
      <c r="E13" s="2">
        <v>33053</v>
      </c>
      <c r="F13" s="13">
        <f ca="1">INT((TODAY()-E13)/365.25)</f>
        <v>36</v>
      </c>
    </row>
    <row r="14" spans="1:11" x14ac:dyDescent="0.25">
      <c r="A14" s="1" t="s">
        <v>25</v>
      </c>
      <c r="B14" s="4" t="s">
        <v>109</v>
      </c>
      <c r="C14" s="4" t="s">
        <v>113</v>
      </c>
      <c r="D14" s="5">
        <v>2000</v>
      </c>
      <c r="E14" s="2">
        <v>31258</v>
      </c>
      <c r="F14" s="13">
        <f ca="1">INT((TODAY()-E14)/365.25)</f>
        <v>41</v>
      </c>
    </row>
    <row r="15" spans="1:11" x14ac:dyDescent="0.25">
      <c r="A15" s="3" t="s">
        <v>56</v>
      </c>
      <c r="B15" s="4" t="s">
        <v>109</v>
      </c>
      <c r="C15" s="4" t="s">
        <v>111</v>
      </c>
      <c r="D15" s="5">
        <v>3500</v>
      </c>
      <c r="E15" s="2">
        <v>30905</v>
      </c>
      <c r="F15" s="13">
        <f ca="1">INT((TODAY()-E15)/365.25)</f>
        <v>42</v>
      </c>
    </row>
    <row r="16" spans="1:11" x14ac:dyDescent="0.25">
      <c r="A16" s="1" t="s">
        <v>26</v>
      </c>
      <c r="B16" s="4" t="s">
        <v>106</v>
      </c>
      <c r="C16" s="4" t="s">
        <v>110</v>
      </c>
      <c r="D16" s="5">
        <v>2700</v>
      </c>
      <c r="E16" s="2">
        <v>28867</v>
      </c>
      <c r="F16" s="13">
        <f ca="1">INT((TODAY()-E16)/365.25)</f>
        <v>47</v>
      </c>
    </row>
    <row r="17" spans="1:6" x14ac:dyDescent="0.25">
      <c r="A17" s="4" t="s">
        <v>28</v>
      </c>
      <c r="B17" s="4" t="s">
        <v>106</v>
      </c>
      <c r="C17" s="4" t="s">
        <v>111</v>
      </c>
      <c r="D17" s="5">
        <v>2780</v>
      </c>
      <c r="E17" s="2">
        <v>29265</v>
      </c>
      <c r="F17" s="13">
        <f ca="1">INT((TODAY()-E17)/365.25)</f>
        <v>46</v>
      </c>
    </row>
    <row r="18" spans="1:6" x14ac:dyDescent="0.25">
      <c r="A18" s="4" t="s">
        <v>88</v>
      </c>
      <c r="B18" s="4" t="s">
        <v>109</v>
      </c>
      <c r="C18" s="4" t="s">
        <v>112</v>
      </c>
      <c r="D18" s="5">
        <v>4500</v>
      </c>
      <c r="E18" s="2">
        <v>21681</v>
      </c>
      <c r="F18" s="13">
        <f ca="1">INT((TODAY()-E18)/365.25)</f>
        <v>67</v>
      </c>
    </row>
    <row r="19" spans="1:6" x14ac:dyDescent="0.25">
      <c r="A19" s="4" t="s">
        <v>95</v>
      </c>
      <c r="B19" s="4" t="s">
        <v>107</v>
      </c>
      <c r="C19" s="4" t="s">
        <v>111</v>
      </c>
      <c r="D19" s="5">
        <v>2640</v>
      </c>
      <c r="E19" s="2">
        <v>33505</v>
      </c>
      <c r="F19" s="13">
        <f ca="1">INT((TODAY()-E19)/365.25)</f>
        <v>35</v>
      </c>
    </row>
    <row r="20" spans="1:6" x14ac:dyDescent="0.25">
      <c r="A20" s="4" t="s">
        <v>91</v>
      </c>
      <c r="B20" s="4" t="s">
        <v>108</v>
      </c>
      <c r="C20" s="4" t="s">
        <v>113</v>
      </c>
      <c r="D20" s="5">
        <v>1207</v>
      </c>
      <c r="E20" s="2">
        <v>32493</v>
      </c>
      <c r="F20" s="13">
        <f ca="1">INT((TODAY()-E20)/365.25)</f>
        <v>37</v>
      </c>
    </row>
    <row r="21" spans="1:6" x14ac:dyDescent="0.25">
      <c r="A21" s="4" t="s">
        <v>60</v>
      </c>
      <c r="B21" s="4" t="s">
        <v>107</v>
      </c>
      <c r="C21" s="4" t="s">
        <v>112</v>
      </c>
      <c r="D21" s="5">
        <v>4780</v>
      </c>
      <c r="E21" s="2">
        <v>21936</v>
      </c>
      <c r="F21" s="13">
        <f ca="1">INT((TODAY()-E21)/365.25)</f>
        <v>66</v>
      </c>
    </row>
    <row r="22" spans="1:6" x14ac:dyDescent="0.25">
      <c r="A22" s="4" t="s">
        <v>71</v>
      </c>
      <c r="B22" s="4" t="s">
        <v>106</v>
      </c>
      <c r="C22" s="4" t="s">
        <v>111</v>
      </c>
      <c r="D22" s="5">
        <v>3200</v>
      </c>
      <c r="E22" s="2">
        <v>32947</v>
      </c>
      <c r="F22" s="13">
        <f ca="1">INT((TODAY()-E22)/365.25)</f>
        <v>36</v>
      </c>
    </row>
    <row r="23" spans="1:6" x14ac:dyDescent="0.25">
      <c r="A23" s="3" t="s">
        <v>41</v>
      </c>
      <c r="B23" s="4" t="s">
        <v>109</v>
      </c>
      <c r="C23" s="4" t="s">
        <v>110</v>
      </c>
      <c r="D23" s="5">
        <v>1450</v>
      </c>
      <c r="E23" s="2">
        <v>31072</v>
      </c>
      <c r="F23" s="13">
        <f ca="1">INT((TODAY()-E23)/365.25)</f>
        <v>41</v>
      </c>
    </row>
    <row r="24" spans="1:6" x14ac:dyDescent="0.25">
      <c r="A24" s="4" t="s">
        <v>89</v>
      </c>
      <c r="B24" s="4" t="s">
        <v>107</v>
      </c>
      <c r="C24" s="4" t="s">
        <v>111</v>
      </c>
      <c r="D24" s="5">
        <v>2769</v>
      </c>
      <c r="E24" s="2">
        <v>24958</v>
      </c>
      <c r="F24" s="13">
        <f ca="1">INT((TODAY()-E24)/365.25)</f>
        <v>58</v>
      </c>
    </row>
    <row r="25" spans="1:6" x14ac:dyDescent="0.25">
      <c r="A25" s="4" t="s">
        <v>83</v>
      </c>
      <c r="B25" s="4" t="s">
        <v>108</v>
      </c>
      <c r="C25" s="4" t="s">
        <v>113</v>
      </c>
      <c r="D25" s="5">
        <v>1200</v>
      </c>
      <c r="E25" s="2">
        <v>32006</v>
      </c>
      <c r="F25" s="13">
        <f ca="1">INT((TODAY()-E25)/365.25)</f>
        <v>39</v>
      </c>
    </row>
    <row r="26" spans="1:6" x14ac:dyDescent="0.25">
      <c r="A26" s="1" t="s">
        <v>20</v>
      </c>
      <c r="B26" s="4" t="s">
        <v>108</v>
      </c>
      <c r="C26" s="4" t="s">
        <v>113</v>
      </c>
      <c r="D26" s="5">
        <v>1564</v>
      </c>
      <c r="E26" s="2">
        <v>28777</v>
      </c>
      <c r="F26" s="13">
        <f ca="1">INT((TODAY()-E26)/365.25)</f>
        <v>47</v>
      </c>
    </row>
    <row r="27" spans="1:6" x14ac:dyDescent="0.25">
      <c r="A27" s="1" t="s">
        <v>24</v>
      </c>
      <c r="B27" s="4" t="s">
        <v>108</v>
      </c>
      <c r="C27" s="4" t="s">
        <v>110</v>
      </c>
      <c r="D27" s="5">
        <v>1800</v>
      </c>
      <c r="E27" s="2">
        <v>28029</v>
      </c>
      <c r="F27" s="13">
        <f ca="1">INT((TODAY()-E27)/365.25)</f>
        <v>50</v>
      </c>
    </row>
    <row r="28" spans="1:6" x14ac:dyDescent="0.25">
      <c r="A28" s="4" t="s">
        <v>104</v>
      </c>
      <c r="B28" s="4" t="s">
        <v>106</v>
      </c>
      <c r="C28" s="4" t="s">
        <v>112</v>
      </c>
      <c r="D28" s="5">
        <v>4200</v>
      </c>
      <c r="E28" s="2">
        <v>32640</v>
      </c>
      <c r="F28" s="13">
        <f ca="1">INT((TODAY()-E28)/365.25)</f>
        <v>37</v>
      </c>
    </row>
    <row r="29" spans="1:6" x14ac:dyDescent="0.25">
      <c r="A29" s="3" t="s">
        <v>44</v>
      </c>
      <c r="B29" s="4" t="s">
        <v>106</v>
      </c>
      <c r="C29" s="4" t="s">
        <v>110</v>
      </c>
      <c r="D29" s="5">
        <v>1458</v>
      </c>
      <c r="E29" s="2">
        <v>29022</v>
      </c>
      <c r="F29" s="13">
        <f ca="1">INT((TODAY()-E29)/365.25)</f>
        <v>47</v>
      </c>
    </row>
    <row r="30" spans="1:6" x14ac:dyDescent="0.25">
      <c r="A30" s="3" t="s">
        <v>47</v>
      </c>
      <c r="B30" s="4" t="s">
        <v>107</v>
      </c>
      <c r="C30" s="4" t="s">
        <v>111</v>
      </c>
      <c r="D30" s="5">
        <v>3200</v>
      </c>
      <c r="E30" s="2">
        <v>22235</v>
      </c>
      <c r="F30" s="13">
        <f ca="1">INT((TODAY()-E30)/365.25)</f>
        <v>65</v>
      </c>
    </row>
    <row r="31" spans="1:6" x14ac:dyDescent="0.25">
      <c r="A31" s="1" t="s">
        <v>22</v>
      </c>
      <c r="B31" s="4" t="s">
        <v>109</v>
      </c>
      <c r="C31" s="4" t="s">
        <v>111</v>
      </c>
      <c r="D31" s="5">
        <v>3600</v>
      </c>
      <c r="E31" s="2">
        <v>30406</v>
      </c>
      <c r="F31" s="13">
        <f ca="1">INT((TODAY()-E31)/365.25)</f>
        <v>43</v>
      </c>
    </row>
    <row r="32" spans="1:6" x14ac:dyDescent="0.25">
      <c r="A32" s="3" t="s">
        <v>48</v>
      </c>
      <c r="B32" s="4" t="s">
        <v>107</v>
      </c>
      <c r="C32" s="4" t="s">
        <v>111</v>
      </c>
      <c r="D32" s="5">
        <v>3190</v>
      </c>
      <c r="E32" s="2">
        <v>30136</v>
      </c>
      <c r="F32" s="13">
        <f ca="1">INT((TODAY()-E32)/365.25)</f>
        <v>44</v>
      </c>
    </row>
    <row r="33" spans="1:6" x14ac:dyDescent="0.25">
      <c r="A33" s="4" t="s">
        <v>75</v>
      </c>
      <c r="B33" s="4" t="s">
        <v>106</v>
      </c>
      <c r="C33" s="4" t="s">
        <v>113</v>
      </c>
      <c r="D33" s="5">
        <v>1400</v>
      </c>
      <c r="E33" s="2">
        <v>31412</v>
      </c>
      <c r="F33" s="13">
        <f ca="1">INT((TODAY()-E33)/365.25)</f>
        <v>40</v>
      </c>
    </row>
    <row r="34" spans="1:6" x14ac:dyDescent="0.25">
      <c r="A34" s="1" t="s">
        <v>16</v>
      </c>
      <c r="B34" s="4" t="s">
        <v>108</v>
      </c>
      <c r="C34" s="4" t="s">
        <v>110</v>
      </c>
      <c r="D34" s="5">
        <v>2180</v>
      </c>
      <c r="E34" s="2">
        <v>29530</v>
      </c>
      <c r="F34" s="13">
        <f ca="1">INT((TODAY()-E34)/365.25)</f>
        <v>45</v>
      </c>
    </row>
    <row r="35" spans="1:6" x14ac:dyDescent="0.25">
      <c r="A35" s="3" t="s">
        <v>50</v>
      </c>
      <c r="B35" s="4" t="s">
        <v>108</v>
      </c>
      <c r="C35" s="4" t="s">
        <v>111</v>
      </c>
      <c r="D35" s="5">
        <v>2570</v>
      </c>
      <c r="E35" s="2">
        <v>30776</v>
      </c>
      <c r="F35" s="13">
        <f ca="1">INT((TODAY()-E35)/365.25)</f>
        <v>42</v>
      </c>
    </row>
    <row r="36" spans="1:6" x14ac:dyDescent="0.25">
      <c r="A36" s="1" t="s">
        <v>6</v>
      </c>
      <c r="B36" s="4" t="s">
        <v>107</v>
      </c>
      <c r="C36" s="4" t="s">
        <v>113</v>
      </c>
      <c r="D36" s="5">
        <v>1320</v>
      </c>
      <c r="E36" s="2">
        <v>28756</v>
      </c>
      <c r="F36" s="13">
        <f ca="1">INT((TODAY()-E36)/365.25)</f>
        <v>48</v>
      </c>
    </row>
    <row r="37" spans="1:6" x14ac:dyDescent="0.25">
      <c r="A37" s="4" t="s">
        <v>38</v>
      </c>
      <c r="B37" s="4" t="s">
        <v>108</v>
      </c>
      <c r="C37" s="4" t="s">
        <v>110</v>
      </c>
      <c r="D37" s="5">
        <v>2390</v>
      </c>
      <c r="E37" s="2">
        <v>31753</v>
      </c>
      <c r="F37" s="13">
        <f ca="1">INT((TODAY()-E37)/365.25)</f>
        <v>39</v>
      </c>
    </row>
    <row r="38" spans="1:6" x14ac:dyDescent="0.25">
      <c r="A38" s="4" t="s">
        <v>61</v>
      </c>
      <c r="B38" s="4" t="s">
        <v>109</v>
      </c>
      <c r="C38" s="4" t="s">
        <v>111</v>
      </c>
      <c r="D38" s="5">
        <v>3200</v>
      </c>
      <c r="E38" s="2">
        <v>24635</v>
      </c>
      <c r="F38" s="13">
        <f ca="1">INT((TODAY()-E38)/365.25)</f>
        <v>59</v>
      </c>
    </row>
    <row r="39" spans="1:6" x14ac:dyDescent="0.25">
      <c r="A39" s="4" t="s">
        <v>97</v>
      </c>
      <c r="B39" s="4" t="s">
        <v>107</v>
      </c>
      <c r="C39" s="4" t="s">
        <v>110</v>
      </c>
      <c r="D39" s="5">
        <v>2100</v>
      </c>
      <c r="E39" s="2">
        <v>20714</v>
      </c>
      <c r="F39" s="13">
        <f ca="1">INT((TODAY()-E39)/365.25)</f>
        <v>70</v>
      </c>
    </row>
    <row r="40" spans="1:6" x14ac:dyDescent="0.25">
      <c r="A40" s="4" t="s">
        <v>103</v>
      </c>
      <c r="B40" s="4" t="s">
        <v>106</v>
      </c>
      <c r="C40" s="4" t="s">
        <v>113</v>
      </c>
      <c r="D40" s="5">
        <v>1890</v>
      </c>
      <c r="E40" s="2">
        <v>29738</v>
      </c>
      <c r="F40" s="13">
        <f ca="1">INT((TODAY()-E40)/365.25)</f>
        <v>45</v>
      </c>
    </row>
    <row r="41" spans="1:6" x14ac:dyDescent="0.25">
      <c r="A41" s="4" t="s">
        <v>68</v>
      </c>
      <c r="B41" s="4" t="s">
        <v>108</v>
      </c>
      <c r="C41" s="4" t="s">
        <v>110</v>
      </c>
      <c r="D41" s="5">
        <v>2650</v>
      </c>
      <c r="E41" s="2">
        <v>24762</v>
      </c>
      <c r="F41" s="13">
        <f ca="1">INT((TODAY()-E41)/365.25)</f>
        <v>58</v>
      </c>
    </row>
    <row r="42" spans="1:6" x14ac:dyDescent="0.25">
      <c r="A42" s="4" t="s">
        <v>114</v>
      </c>
      <c r="B42" s="4" t="s">
        <v>109</v>
      </c>
      <c r="C42" s="4" t="s">
        <v>111</v>
      </c>
      <c r="D42" s="5">
        <v>2850</v>
      </c>
      <c r="E42" s="2">
        <v>29504</v>
      </c>
      <c r="F42" s="13">
        <f ca="1">INT((TODAY()-E42)/365.25)</f>
        <v>45</v>
      </c>
    </row>
    <row r="43" spans="1:6" x14ac:dyDescent="0.25">
      <c r="A43" s="1" t="s">
        <v>17</v>
      </c>
      <c r="B43" s="4" t="s">
        <v>108</v>
      </c>
      <c r="C43" s="4" t="s">
        <v>110</v>
      </c>
      <c r="D43" s="5">
        <v>2176</v>
      </c>
      <c r="E43" s="2">
        <v>33018</v>
      </c>
      <c r="F43" s="13">
        <f ca="1">INT((TODAY()-E43)/365.25)</f>
        <v>36</v>
      </c>
    </row>
    <row r="44" spans="1:6" x14ac:dyDescent="0.25">
      <c r="A44" s="4" t="s">
        <v>70</v>
      </c>
      <c r="B44" s="4" t="s">
        <v>109</v>
      </c>
      <c r="C44" s="4" t="s">
        <v>113</v>
      </c>
      <c r="D44" s="5">
        <v>1050</v>
      </c>
      <c r="E44" s="2">
        <v>30279</v>
      </c>
      <c r="F44" s="13">
        <f ca="1">INT((TODAY()-E44)/365.25)</f>
        <v>43</v>
      </c>
    </row>
    <row r="45" spans="1:6" x14ac:dyDescent="0.25">
      <c r="A45" s="4" t="s">
        <v>94</v>
      </c>
      <c r="B45" s="4" t="s">
        <v>107</v>
      </c>
      <c r="C45" s="4" t="s">
        <v>111</v>
      </c>
      <c r="D45" s="5">
        <v>2500</v>
      </c>
      <c r="E45" s="2">
        <v>31940</v>
      </c>
      <c r="F45" s="13">
        <f ca="1">INT((TODAY()-E45)/365.25)</f>
        <v>39</v>
      </c>
    </row>
    <row r="46" spans="1:6" x14ac:dyDescent="0.25">
      <c r="A46" s="4" t="s">
        <v>79</v>
      </c>
      <c r="B46" s="4" t="s">
        <v>108</v>
      </c>
      <c r="C46" s="4" t="s">
        <v>111</v>
      </c>
      <c r="D46" s="5">
        <v>2100</v>
      </c>
      <c r="E46" s="2">
        <v>28207</v>
      </c>
      <c r="F46" s="13">
        <f ca="1">INT((TODAY()-E46)/365.25)</f>
        <v>49</v>
      </c>
    </row>
    <row r="47" spans="1:6" x14ac:dyDescent="0.25">
      <c r="A47" s="1" t="s">
        <v>8</v>
      </c>
      <c r="B47" s="4" t="s">
        <v>107</v>
      </c>
      <c r="C47" s="4" t="s">
        <v>111</v>
      </c>
      <c r="D47" s="5">
        <v>2900</v>
      </c>
      <c r="E47" s="2">
        <v>31900</v>
      </c>
      <c r="F47" s="13">
        <f ca="1">INT((TODAY()-E47)/365.25)</f>
        <v>39</v>
      </c>
    </row>
    <row r="48" spans="1:6" x14ac:dyDescent="0.25">
      <c r="A48" s="1" t="s">
        <v>14</v>
      </c>
      <c r="B48" s="4" t="s">
        <v>106</v>
      </c>
      <c r="C48" s="4" t="s">
        <v>113</v>
      </c>
      <c r="D48" s="5">
        <v>1000</v>
      </c>
      <c r="E48" s="2">
        <v>27166</v>
      </c>
      <c r="F48" s="13">
        <f ca="1">INT((TODAY()-E48)/365.25)</f>
        <v>52</v>
      </c>
    </row>
    <row r="49" spans="1:6" x14ac:dyDescent="0.25">
      <c r="A49" s="4" t="s">
        <v>115</v>
      </c>
      <c r="B49" s="4" t="s">
        <v>106</v>
      </c>
      <c r="C49" s="4" t="s">
        <v>111</v>
      </c>
      <c r="D49" s="5">
        <v>2980</v>
      </c>
      <c r="E49" s="2">
        <v>32948</v>
      </c>
      <c r="F49" s="13">
        <f ca="1">INT((TODAY()-E49)/365.25)</f>
        <v>36</v>
      </c>
    </row>
    <row r="50" spans="1:6" x14ac:dyDescent="0.25">
      <c r="A50" s="3" t="s">
        <v>58</v>
      </c>
      <c r="B50" s="4" t="s">
        <v>107</v>
      </c>
      <c r="C50" s="4" t="s">
        <v>110</v>
      </c>
      <c r="D50" s="5">
        <v>2000</v>
      </c>
      <c r="E50" s="2">
        <v>30289</v>
      </c>
      <c r="F50" s="13">
        <f ca="1">INT((TODAY()-E50)/365.25)</f>
        <v>43</v>
      </c>
    </row>
    <row r="51" spans="1:6" x14ac:dyDescent="0.25">
      <c r="A51" s="4" t="s">
        <v>85</v>
      </c>
      <c r="B51" s="4" t="s">
        <v>108</v>
      </c>
      <c r="C51" s="4" t="s">
        <v>110</v>
      </c>
      <c r="D51" s="5">
        <v>2100</v>
      </c>
      <c r="E51" s="2">
        <v>32442</v>
      </c>
      <c r="F51" s="13">
        <f ca="1">INT((TODAY()-E51)/365.25)</f>
        <v>37</v>
      </c>
    </row>
    <row r="52" spans="1:6" x14ac:dyDescent="0.25">
      <c r="A52" s="1" t="s">
        <v>27</v>
      </c>
      <c r="B52" s="4" t="s">
        <v>108</v>
      </c>
      <c r="C52" s="4" t="s">
        <v>113</v>
      </c>
      <c r="D52" s="5">
        <v>1250</v>
      </c>
      <c r="E52" s="2">
        <v>25308</v>
      </c>
      <c r="F52" s="13">
        <f ca="1">INT((TODAY()-E52)/365.25)</f>
        <v>57</v>
      </c>
    </row>
    <row r="53" spans="1:6" x14ac:dyDescent="0.25">
      <c r="A53" s="3" t="s">
        <v>52</v>
      </c>
      <c r="B53" s="4" t="s">
        <v>106</v>
      </c>
      <c r="C53" s="4" t="s">
        <v>111</v>
      </c>
      <c r="D53" s="5">
        <v>3000</v>
      </c>
      <c r="E53" s="2">
        <v>32391</v>
      </c>
      <c r="F53" s="13">
        <f ca="1">INT((TODAY()-E53)/365.25)</f>
        <v>38</v>
      </c>
    </row>
    <row r="54" spans="1:6" x14ac:dyDescent="0.25">
      <c r="A54" s="3" t="s">
        <v>43</v>
      </c>
      <c r="B54" s="4" t="s">
        <v>107</v>
      </c>
      <c r="C54" s="4" t="s">
        <v>111</v>
      </c>
      <c r="D54" s="5">
        <v>3010</v>
      </c>
      <c r="E54" s="2">
        <v>28215</v>
      </c>
      <c r="F54" s="13">
        <f ca="1">INT((TODAY()-E54)/365.25)</f>
        <v>49</v>
      </c>
    </row>
    <row r="55" spans="1:6" x14ac:dyDescent="0.25">
      <c r="A55" s="1" t="s">
        <v>15</v>
      </c>
      <c r="B55" s="4" t="s">
        <v>108</v>
      </c>
      <c r="C55" s="4" t="s">
        <v>113</v>
      </c>
      <c r="D55" s="5">
        <v>1100</v>
      </c>
      <c r="E55" s="2">
        <v>28708</v>
      </c>
      <c r="F55" s="13">
        <f ca="1">INT((TODAY()-E55)/365.25)</f>
        <v>48</v>
      </c>
    </row>
    <row r="56" spans="1:6" x14ac:dyDescent="0.25">
      <c r="A56" s="4" t="s">
        <v>101</v>
      </c>
      <c r="B56" s="4" t="s">
        <v>108</v>
      </c>
      <c r="C56" s="4" t="s">
        <v>110</v>
      </c>
      <c r="D56" s="5">
        <v>2040</v>
      </c>
      <c r="E56" s="2">
        <v>29771</v>
      </c>
      <c r="F56" s="13">
        <f ca="1">INT((TODAY()-E56)/365.25)</f>
        <v>45</v>
      </c>
    </row>
    <row r="57" spans="1:6" x14ac:dyDescent="0.25">
      <c r="A57" s="4" t="s">
        <v>29</v>
      </c>
      <c r="B57" s="4" t="s">
        <v>109</v>
      </c>
      <c r="C57" s="4" t="s">
        <v>113</v>
      </c>
      <c r="D57" s="5">
        <v>1600</v>
      </c>
      <c r="E57" s="2">
        <v>31707</v>
      </c>
      <c r="F57" s="13">
        <f ca="1">INT((TODAY()-E57)/365.25)</f>
        <v>39</v>
      </c>
    </row>
    <row r="58" spans="1:6" x14ac:dyDescent="0.25">
      <c r="A58" s="4" t="s">
        <v>73</v>
      </c>
      <c r="B58" s="4" t="s">
        <v>108</v>
      </c>
      <c r="C58" s="4" t="s">
        <v>110</v>
      </c>
      <c r="D58" s="5">
        <v>2100</v>
      </c>
      <c r="E58" s="2">
        <v>30662</v>
      </c>
      <c r="F58" s="13">
        <f ca="1">INT((TODAY()-E58)/365.25)</f>
        <v>42</v>
      </c>
    </row>
    <row r="59" spans="1:6" x14ac:dyDescent="0.25">
      <c r="A59" s="3" t="s">
        <v>53</v>
      </c>
      <c r="B59" s="4" t="s">
        <v>106</v>
      </c>
      <c r="C59" s="4" t="s">
        <v>110</v>
      </c>
      <c r="D59" s="5">
        <v>2900</v>
      </c>
      <c r="E59" s="2">
        <v>29782</v>
      </c>
      <c r="F59" s="13">
        <f ca="1">INT((TODAY()-E59)/365.25)</f>
        <v>45</v>
      </c>
    </row>
    <row r="60" spans="1:6" x14ac:dyDescent="0.25">
      <c r="A60" s="4" t="s">
        <v>62</v>
      </c>
      <c r="B60" s="4" t="s">
        <v>107</v>
      </c>
      <c r="C60" s="4" t="s">
        <v>113</v>
      </c>
      <c r="D60" s="5">
        <v>2000</v>
      </c>
      <c r="E60" s="2">
        <v>28161</v>
      </c>
      <c r="F60" s="13">
        <f ca="1">INT((TODAY()-E60)/365.25)</f>
        <v>49</v>
      </c>
    </row>
    <row r="61" spans="1:6" x14ac:dyDescent="0.25">
      <c r="A61" s="4" t="s">
        <v>102</v>
      </c>
      <c r="B61" s="4" t="s">
        <v>108</v>
      </c>
      <c r="C61" s="4" t="s">
        <v>113</v>
      </c>
      <c r="D61" s="5">
        <v>1980</v>
      </c>
      <c r="E61" s="2">
        <v>30994</v>
      </c>
      <c r="F61" s="13">
        <f ca="1">INT((TODAY()-E61)/365.25)</f>
        <v>41</v>
      </c>
    </row>
    <row r="62" spans="1:6" x14ac:dyDescent="0.25">
      <c r="A62" s="4" t="s">
        <v>63</v>
      </c>
      <c r="B62" s="4" t="s">
        <v>106</v>
      </c>
      <c r="C62" s="4" t="s">
        <v>111</v>
      </c>
      <c r="D62" s="5">
        <v>3100</v>
      </c>
      <c r="E62" s="2">
        <v>32273</v>
      </c>
      <c r="F62" s="13">
        <f ca="1">INT((TODAY()-E62)/365.25)</f>
        <v>38</v>
      </c>
    </row>
    <row r="63" spans="1:6" x14ac:dyDescent="0.25">
      <c r="A63" s="4" t="s">
        <v>30</v>
      </c>
      <c r="B63" s="4" t="s">
        <v>107</v>
      </c>
      <c r="C63" s="4" t="s">
        <v>111</v>
      </c>
      <c r="D63" s="5">
        <v>2980</v>
      </c>
      <c r="E63" s="2">
        <v>24882</v>
      </c>
      <c r="F63" s="13">
        <f ca="1">INT((TODAY()-E63)/365.25)</f>
        <v>58</v>
      </c>
    </row>
    <row r="64" spans="1:6" x14ac:dyDescent="0.25">
      <c r="A64" s="4" t="s">
        <v>74</v>
      </c>
      <c r="B64" s="4" t="s">
        <v>109</v>
      </c>
      <c r="C64" s="4" t="s">
        <v>111</v>
      </c>
      <c r="D64" s="5">
        <v>2890</v>
      </c>
      <c r="E64" s="2">
        <v>30953</v>
      </c>
      <c r="F64" s="13">
        <f ca="1">INT((TODAY()-E64)/365.25)</f>
        <v>42</v>
      </c>
    </row>
    <row r="65" spans="1:6" x14ac:dyDescent="0.25">
      <c r="A65" s="3" t="s">
        <v>40</v>
      </c>
      <c r="B65" s="4" t="s">
        <v>108</v>
      </c>
      <c r="C65" s="4" t="s">
        <v>110</v>
      </c>
      <c r="D65" s="5">
        <v>1100</v>
      </c>
      <c r="E65" s="2">
        <v>27017</v>
      </c>
      <c r="F65" s="13">
        <f ca="1">INT((TODAY()-E65)/365.25)</f>
        <v>52</v>
      </c>
    </row>
    <row r="66" spans="1:6" x14ac:dyDescent="0.25">
      <c r="A66" s="4" t="s">
        <v>90</v>
      </c>
      <c r="B66" s="4" t="s">
        <v>106</v>
      </c>
      <c r="C66" s="4" t="s">
        <v>111</v>
      </c>
      <c r="D66" s="5">
        <v>2950</v>
      </c>
      <c r="E66" s="2">
        <v>29486</v>
      </c>
      <c r="F66" s="13">
        <f ca="1">INT((TODAY()-E66)/365.25)</f>
        <v>46</v>
      </c>
    </row>
    <row r="67" spans="1:6" x14ac:dyDescent="0.25">
      <c r="A67" s="4" t="s">
        <v>69</v>
      </c>
      <c r="B67" s="4" t="s">
        <v>108</v>
      </c>
      <c r="C67" s="4" t="s">
        <v>110</v>
      </c>
      <c r="D67" s="5">
        <v>2400</v>
      </c>
      <c r="E67" s="2">
        <v>25402</v>
      </c>
      <c r="F67" s="13">
        <f ca="1">INT((TODAY()-E67)/365.25)</f>
        <v>57</v>
      </c>
    </row>
    <row r="68" spans="1:6" x14ac:dyDescent="0.25">
      <c r="A68" s="1" t="s">
        <v>7</v>
      </c>
      <c r="B68" s="4" t="s">
        <v>107</v>
      </c>
      <c r="C68" s="4" t="s">
        <v>113</v>
      </c>
      <c r="D68" s="5">
        <v>980</v>
      </c>
      <c r="E68" s="2">
        <v>30458</v>
      </c>
      <c r="F68" s="13">
        <f ca="1">INT((TODAY()-E68)/365.25)</f>
        <v>43</v>
      </c>
    </row>
    <row r="69" spans="1:6" x14ac:dyDescent="0.25">
      <c r="A69" s="4" t="s">
        <v>80</v>
      </c>
      <c r="B69" s="4" t="s">
        <v>109</v>
      </c>
      <c r="C69" s="4" t="s">
        <v>113</v>
      </c>
      <c r="D69" s="5">
        <v>950</v>
      </c>
      <c r="E69" s="2">
        <v>29221</v>
      </c>
      <c r="F69" s="13">
        <f ca="1">INT((TODAY()-E69)/365.25)</f>
        <v>46</v>
      </c>
    </row>
    <row r="70" spans="1:6" x14ac:dyDescent="0.25">
      <c r="A70" s="4" t="s">
        <v>31</v>
      </c>
      <c r="B70" s="4" t="s">
        <v>108</v>
      </c>
      <c r="C70" s="4" t="s">
        <v>110</v>
      </c>
      <c r="D70" s="5">
        <v>1945</v>
      </c>
      <c r="E70" s="2">
        <v>30240</v>
      </c>
      <c r="F70" s="13">
        <f ca="1">INT((TODAY()-E70)/365.25)</f>
        <v>43</v>
      </c>
    </row>
    <row r="71" spans="1:6" x14ac:dyDescent="0.25">
      <c r="A71" s="4" t="s">
        <v>64</v>
      </c>
      <c r="B71" s="4" t="s">
        <v>107</v>
      </c>
      <c r="C71" s="4" t="s">
        <v>111</v>
      </c>
      <c r="D71" s="5">
        <v>3000</v>
      </c>
      <c r="E71" s="2">
        <v>32363</v>
      </c>
      <c r="F71" s="13">
        <f ca="1">INT((TODAY()-E71)/365.25)</f>
        <v>38</v>
      </c>
    </row>
    <row r="72" spans="1:6" x14ac:dyDescent="0.25">
      <c r="A72" s="4" t="s">
        <v>32</v>
      </c>
      <c r="B72" s="4" t="s">
        <v>106</v>
      </c>
      <c r="C72" s="4" t="s">
        <v>111</v>
      </c>
      <c r="D72" s="5">
        <v>3050</v>
      </c>
      <c r="E72" s="2">
        <v>30943</v>
      </c>
      <c r="F72" s="13">
        <f ca="1">INT((TODAY()-E72)/365.25)</f>
        <v>42</v>
      </c>
    </row>
    <row r="73" spans="1:6" x14ac:dyDescent="0.25">
      <c r="A73" s="3" t="s">
        <v>46</v>
      </c>
      <c r="B73" s="4" t="s">
        <v>106</v>
      </c>
      <c r="C73" s="4" t="s">
        <v>113</v>
      </c>
      <c r="D73" s="5">
        <v>956</v>
      </c>
      <c r="E73" s="2">
        <v>27144</v>
      </c>
      <c r="F73" s="13">
        <f ca="1">INT((TODAY()-E73)/365.25)</f>
        <v>52</v>
      </c>
    </row>
    <row r="74" spans="1:6" x14ac:dyDescent="0.25">
      <c r="A74" s="4" t="s">
        <v>33</v>
      </c>
      <c r="B74" s="4" t="s">
        <v>109</v>
      </c>
      <c r="C74" s="4" t="s">
        <v>113</v>
      </c>
      <c r="D74" s="5">
        <v>990</v>
      </c>
      <c r="E74" s="2">
        <v>25086</v>
      </c>
      <c r="F74" s="13">
        <f ca="1">INT((TODAY()-E74)/365.25)</f>
        <v>58</v>
      </c>
    </row>
    <row r="75" spans="1:6" x14ac:dyDescent="0.25">
      <c r="A75" s="3" t="s">
        <v>49</v>
      </c>
      <c r="B75" s="4" t="s">
        <v>107</v>
      </c>
      <c r="C75" s="4" t="s">
        <v>111</v>
      </c>
      <c r="D75" s="5">
        <v>2560</v>
      </c>
      <c r="E75" s="2">
        <v>32832</v>
      </c>
      <c r="F75" s="13">
        <f ca="1">INT((TODAY()-E75)/365.25)</f>
        <v>36</v>
      </c>
    </row>
    <row r="76" spans="1:6" x14ac:dyDescent="0.25">
      <c r="A76" s="3" t="s">
        <v>39</v>
      </c>
      <c r="B76" s="4" t="s">
        <v>108</v>
      </c>
      <c r="C76" s="4" t="s">
        <v>110</v>
      </c>
      <c r="D76" s="5">
        <v>2760</v>
      </c>
      <c r="E76" s="2">
        <v>29033</v>
      </c>
      <c r="F76" s="13">
        <f ca="1">INT((TODAY()-E76)/365.25)</f>
        <v>47</v>
      </c>
    </row>
    <row r="77" spans="1:6" x14ac:dyDescent="0.25">
      <c r="A77" s="4" t="s">
        <v>98</v>
      </c>
      <c r="B77" s="4" t="s">
        <v>108</v>
      </c>
      <c r="C77" s="4" t="s">
        <v>110</v>
      </c>
      <c r="D77" s="5">
        <v>2780</v>
      </c>
      <c r="E77" s="2">
        <v>30584</v>
      </c>
      <c r="F77" s="13">
        <f ca="1">INT((TODAY()-E77)/365.25)</f>
        <v>43</v>
      </c>
    </row>
    <row r="78" spans="1:6" x14ac:dyDescent="0.25">
      <c r="A78" s="3" t="s">
        <v>51</v>
      </c>
      <c r="B78" s="4" t="s">
        <v>107</v>
      </c>
      <c r="C78" s="4" t="s">
        <v>111</v>
      </c>
      <c r="D78" s="5">
        <v>2850</v>
      </c>
      <c r="E78" s="2">
        <v>25857</v>
      </c>
      <c r="F78" s="13">
        <f ca="1">INT((TODAY()-E78)/365.25)</f>
        <v>55</v>
      </c>
    </row>
    <row r="79" spans="1:6" x14ac:dyDescent="0.25">
      <c r="A79" s="4" t="s">
        <v>78</v>
      </c>
      <c r="B79" s="4" t="s">
        <v>106</v>
      </c>
      <c r="C79" s="4" t="s">
        <v>113</v>
      </c>
      <c r="D79" s="5">
        <v>1060</v>
      </c>
      <c r="E79" s="2">
        <v>32514</v>
      </c>
      <c r="F79" s="13">
        <f ca="1">INT((TODAY()-E79)/365.25)</f>
        <v>37</v>
      </c>
    </row>
    <row r="80" spans="1:6" x14ac:dyDescent="0.25">
      <c r="A80" s="4" t="s">
        <v>77</v>
      </c>
      <c r="B80" s="4" t="s">
        <v>109</v>
      </c>
      <c r="C80" s="4" t="s">
        <v>113</v>
      </c>
      <c r="D80" s="5">
        <v>1000</v>
      </c>
      <c r="E80" s="2">
        <v>29540</v>
      </c>
      <c r="F80" s="13">
        <f ca="1">INT((TODAY()-E80)/365.25)</f>
        <v>45</v>
      </c>
    </row>
    <row r="81" spans="1:6" x14ac:dyDescent="0.25">
      <c r="A81" s="4" t="s">
        <v>84</v>
      </c>
      <c r="B81" s="4" t="s">
        <v>108</v>
      </c>
      <c r="C81" s="4" t="s">
        <v>110</v>
      </c>
      <c r="D81" s="5">
        <v>2450</v>
      </c>
      <c r="E81" s="2">
        <v>29194</v>
      </c>
      <c r="F81" s="13">
        <f ca="1">INT((TODAY()-E81)/365.25)</f>
        <v>46</v>
      </c>
    </row>
    <row r="82" spans="1:6" x14ac:dyDescent="0.25">
      <c r="A82" s="4" t="s">
        <v>93</v>
      </c>
      <c r="B82" s="4" t="s">
        <v>108</v>
      </c>
      <c r="C82" s="4" t="s">
        <v>111</v>
      </c>
      <c r="D82" s="5">
        <v>2900</v>
      </c>
      <c r="E82" s="2">
        <v>30378</v>
      </c>
      <c r="F82" s="13">
        <f ca="1">INT((TODAY()-E82)/365.25)</f>
        <v>43</v>
      </c>
    </row>
    <row r="83" spans="1:6" x14ac:dyDescent="0.25">
      <c r="A83" s="4" t="s">
        <v>96</v>
      </c>
      <c r="B83" s="4" t="s">
        <v>108</v>
      </c>
      <c r="C83" s="4" t="s">
        <v>113</v>
      </c>
      <c r="D83" s="5">
        <v>890</v>
      </c>
      <c r="E83" s="2">
        <v>28826</v>
      </c>
      <c r="F83" s="13">
        <f ca="1">INT((TODAY()-E83)/365.25)</f>
        <v>47</v>
      </c>
    </row>
    <row r="84" spans="1:6" x14ac:dyDescent="0.25">
      <c r="A84" s="3" t="s">
        <v>57</v>
      </c>
      <c r="B84" s="4" t="s">
        <v>107</v>
      </c>
      <c r="C84" s="4" t="s">
        <v>111</v>
      </c>
      <c r="D84" s="5">
        <v>2100</v>
      </c>
      <c r="E84" s="2">
        <v>32703</v>
      </c>
      <c r="F84" s="13">
        <f ca="1">INT((TODAY()-E84)/365.25)</f>
        <v>37</v>
      </c>
    </row>
    <row r="85" spans="1:6" x14ac:dyDescent="0.25">
      <c r="A85" s="4" t="s">
        <v>34</v>
      </c>
      <c r="B85" s="4" t="s">
        <v>106</v>
      </c>
      <c r="C85" s="4" t="s">
        <v>111</v>
      </c>
      <c r="D85" s="5">
        <v>2764</v>
      </c>
      <c r="E85" s="2">
        <v>29369</v>
      </c>
      <c r="F85" s="13">
        <f ca="1">INT((TODAY()-E85)/365.25)</f>
        <v>46</v>
      </c>
    </row>
    <row r="86" spans="1:6" x14ac:dyDescent="0.25">
      <c r="A86" s="4" t="s">
        <v>81</v>
      </c>
      <c r="B86" s="4" t="s">
        <v>108</v>
      </c>
      <c r="C86" s="4" t="s">
        <v>110</v>
      </c>
      <c r="D86" s="5">
        <v>1560</v>
      </c>
      <c r="E86" s="2">
        <v>32783</v>
      </c>
      <c r="F86" s="13">
        <f ca="1">INT((TODAY()-E86)/365.25)</f>
        <v>37</v>
      </c>
    </row>
    <row r="87" spans="1:6" x14ac:dyDescent="0.25">
      <c r="A87" s="4" t="s">
        <v>35</v>
      </c>
      <c r="B87" s="4" t="s">
        <v>109</v>
      </c>
      <c r="C87" s="4" t="s">
        <v>113</v>
      </c>
      <c r="D87" s="5">
        <v>1035</v>
      </c>
      <c r="E87" s="2">
        <v>31067</v>
      </c>
      <c r="F87" s="13">
        <f ca="1">INT((TODAY()-E87)/365.25)</f>
        <v>41</v>
      </c>
    </row>
    <row r="88" spans="1:6" x14ac:dyDescent="0.25">
      <c r="A88" s="4" t="s">
        <v>72</v>
      </c>
      <c r="B88" s="4" t="s">
        <v>108</v>
      </c>
      <c r="C88" s="4" t="s">
        <v>113</v>
      </c>
      <c r="D88" s="5">
        <v>1790</v>
      </c>
      <c r="E88" s="2">
        <v>31109</v>
      </c>
      <c r="F88" s="13">
        <f ca="1">INT((TODAY()-E88)/365.25)</f>
        <v>41</v>
      </c>
    </row>
    <row r="89" spans="1:6" x14ac:dyDescent="0.25">
      <c r="A89" s="4" t="s">
        <v>36</v>
      </c>
      <c r="B89" s="4" t="s">
        <v>108</v>
      </c>
      <c r="C89" s="4" t="s">
        <v>111</v>
      </c>
      <c r="D89" s="5">
        <v>1945</v>
      </c>
      <c r="E89" s="2">
        <v>28767</v>
      </c>
      <c r="F89" s="13">
        <f ca="1">INT((TODAY()-E89)/365.25)</f>
        <v>48</v>
      </c>
    </row>
    <row r="90" spans="1:6" x14ac:dyDescent="0.25">
      <c r="A90" s="4" t="s">
        <v>65</v>
      </c>
      <c r="B90" s="4" t="s">
        <v>106</v>
      </c>
      <c r="C90" s="4" t="s">
        <v>111</v>
      </c>
      <c r="D90" s="5">
        <v>2740</v>
      </c>
      <c r="E90" s="2">
        <v>32803</v>
      </c>
      <c r="F90" s="13">
        <f ca="1">INT((TODAY()-E90)/365.25)</f>
        <v>36</v>
      </c>
    </row>
    <row r="91" spans="1:6" x14ac:dyDescent="0.25">
      <c r="A91" s="4" t="s">
        <v>99</v>
      </c>
      <c r="B91" s="4" t="s">
        <v>109</v>
      </c>
      <c r="C91" s="4" t="s">
        <v>111</v>
      </c>
      <c r="D91" s="5">
        <v>3100</v>
      </c>
      <c r="E91" s="2">
        <v>31192</v>
      </c>
      <c r="F91" s="13">
        <f ca="1">INT((TODAY()-E91)/365.25)</f>
        <v>41</v>
      </c>
    </row>
    <row r="92" spans="1:6" x14ac:dyDescent="0.25">
      <c r="A92" s="3" t="s">
        <v>42</v>
      </c>
      <c r="B92" s="4" t="s">
        <v>107</v>
      </c>
      <c r="C92" s="4" t="s">
        <v>113</v>
      </c>
      <c r="D92" s="5">
        <v>2109</v>
      </c>
      <c r="E92" s="2">
        <v>29789</v>
      </c>
      <c r="F92" s="13">
        <f ca="1">INT((TODAY()-E92)/365.25)</f>
        <v>45</v>
      </c>
    </row>
    <row r="93" spans="1:6" x14ac:dyDescent="0.25">
      <c r="A93" s="1" t="s">
        <v>13</v>
      </c>
      <c r="B93" s="4" t="s">
        <v>109</v>
      </c>
      <c r="C93" s="4" t="s">
        <v>113</v>
      </c>
      <c r="D93" s="5">
        <v>1320</v>
      </c>
      <c r="E93" s="2">
        <v>31756</v>
      </c>
      <c r="F93" s="13">
        <f ca="1">INT((TODAY()-E93)/365.25)</f>
        <v>39</v>
      </c>
    </row>
    <row r="94" spans="1:6" x14ac:dyDescent="0.25">
      <c r="A94" s="4" t="s">
        <v>66</v>
      </c>
      <c r="B94" s="4" t="s">
        <v>108</v>
      </c>
      <c r="C94" s="4" t="s">
        <v>110</v>
      </c>
      <c r="D94" s="5">
        <v>2100</v>
      </c>
      <c r="E94" s="2">
        <v>30267</v>
      </c>
      <c r="F94" s="13">
        <f ca="1">INT((TODAY()-E94)/365.25)</f>
        <v>43</v>
      </c>
    </row>
    <row r="95" spans="1:6" x14ac:dyDescent="0.25">
      <c r="A95" s="3" t="s">
        <v>45</v>
      </c>
      <c r="B95" s="4" t="s">
        <v>106</v>
      </c>
      <c r="C95" s="4" t="s">
        <v>113</v>
      </c>
      <c r="D95" s="5">
        <v>1090</v>
      </c>
      <c r="E95" s="2">
        <v>31212</v>
      </c>
      <c r="F95" s="13">
        <f ca="1">INT((TODAY()-E95)/365.25)</f>
        <v>41</v>
      </c>
    </row>
    <row r="96" spans="1:6" x14ac:dyDescent="0.25">
      <c r="A96" s="4" t="s">
        <v>37</v>
      </c>
      <c r="B96" s="4" t="s">
        <v>106</v>
      </c>
      <c r="C96" s="4" t="s">
        <v>111</v>
      </c>
      <c r="D96" s="5">
        <v>3120</v>
      </c>
      <c r="E96" s="2">
        <v>32721</v>
      </c>
      <c r="F96" s="13">
        <f ca="1">INT((TODAY()-E96)/365.25)</f>
        <v>37</v>
      </c>
    </row>
    <row r="97" spans="1:6" x14ac:dyDescent="0.25">
      <c r="A97" s="4" t="s">
        <v>67</v>
      </c>
      <c r="B97" s="4" t="s">
        <v>107</v>
      </c>
      <c r="C97" s="4" t="s">
        <v>113</v>
      </c>
      <c r="D97" s="5">
        <v>2100</v>
      </c>
      <c r="E97" s="2">
        <v>30806</v>
      </c>
      <c r="F97" s="13">
        <f ca="1">INT((TODAY()-E97)/365.25)</f>
        <v>42</v>
      </c>
    </row>
    <row r="98" spans="1:6" x14ac:dyDescent="0.25">
      <c r="A98" s="1" t="s">
        <v>11</v>
      </c>
      <c r="B98" s="4" t="s">
        <v>109</v>
      </c>
      <c r="C98" s="4" t="s">
        <v>111</v>
      </c>
      <c r="D98" s="5">
        <v>3000</v>
      </c>
      <c r="E98" s="2">
        <v>25117</v>
      </c>
      <c r="F98" s="13">
        <f ca="1">INT((TODAY()-E98)/365.25)</f>
        <v>57</v>
      </c>
    </row>
    <row r="99" spans="1:6" x14ac:dyDescent="0.25">
      <c r="A99" s="1" t="s">
        <v>18</v>
      </c>
      <c r="B99" s="4" t="s">
        <v>108</v>
      </c>
      <c r="C99" s="4" t="s">
        <v>110</v>
      </c>
      <c r="D99" s="5">
        <v>896</v>
      </c>
      <c r="E99" s="2">
        <v>32749</v>
      </c>
      <c r="F99" s="13">
        <f ca="1">INT((TODAY()-E99)/365.25)</f>
        <v>37</v>
      </c>
    </row>
    <row r="100" spans="1:6" x14ac:dyDescent="0.25">
      <c r="A100" s="1" t="s">
        <v>23</v>
      </c>
      <c r="B100" s="4" t="s">
        <v>107</v>
      </c>
      <c r="C100" s="4" t="s">
        <v>113</v>
      </c>
      <c r="D100" s="5">
        <v>1000</v>
      </c>
      <c r="E100" s="2">
        <v>27487</v>
      </c>
      <c r="F100" s="13">
        <f ca="1">INT((TODAY()-E100)/365.25)</f>
        <v>51</v>
      </c>
    </row>
    <row r="101" spans="1:6" x14ac:dyDescent="0.25">
      <c r="A101" s="4" t="s">
        <v>92</v>
      </c>
      <c r="B101" s="4" t="s">
        <v>106</v>
      </c>
      <c r="C101" s="4" t="s">
        <v>113</v>
      </c>
      <c r="D101" s="5">
        <v>1107</v>
      </c>
      <c r="E101" s="2">
        <v>30405</v>
      </c>
      <c r="F101" s="13">
        <f ca="1">INT((TODAY()-E101)/365.25)</f>
        <v>43</v>
      </c>
    </row>
    <row r="102" spans="1:6" x14ac:dyDescent="0.25">
      <c r="A102" s="4" t="s">
        <v>100</v>
      </c>
      <c r="B102" s="4" t="s">
        <v>109</v>
      </c>
      <c r="C102" s="4" t="s">
        <v>113</v>
      </c>
      <c r="D102" s="5">
        <v>1980</v>
      </c>
      <c r="E102" s="2">
        <v>28914</v>
      </c>
      <c r="F102" s="13">
        <f ca="1">INT((TODAY()-E102)/365.25)</f>
        <v>47</v>
      </c>
    </row>
    <row r="103" spans="1:6" x14ac:dyDescent="0.25">
      <c r="A103" s="4" t="s">
        <v>76</v>
      </c>
      <c r="B103" s="4" t="s">
        <v>109</v>
      </c>
      <c r="C103" s="4" t="s">
        <v>113</v>
      </c>
      <c r="D103" s="5">
        <v>1020</v>
      </c>
      <c r="E103" s="2">
        <v>32052</v>
      </c>
      <c r="F103" s="13">
        <f ca="1">INT((TODAY()-E103)/365.25)</f>
        <v>39</v>
      </c>
    </row>
    <row r="104" spans="1:6" x14ac:dyDescent="0.25">
      <c r="A104" s="1" t="s">
        <v>19</v>
      </c>
      <c r="B104" s="4" t="s">
        <v>108</v>
      </c>
      <c r="C104" s="4" t="s">
        <v>110</v>
      </c>
      <c r="D104" s="5">
        <v>2480</v>
      </c>
      <c r="E104" s="2">
        <v>32835</v>
      </c>
      <c r="F104" s="13">
        <f t="shared" ref="F68:F104" ca="1" si="0">INT((TODAY()-E104)/365.25)</f>
        <v>36</v>
      </c>
    </row>
  </sheetData>
  <sortState xmlns:xlrd2="http://schemas.microsoft.com/office/spreadsheetml/2017/richdata2" ref="A3:F104">
    <sortCondition ref="A3"/>
  </sortState>
  <mergeCells count="1"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topLeftCell="A2" zoomScaleNormal="100" workbookViewId="0">
      <selection activeCell="H16" sqref="H16"/>
    </sheetView>
  </sheetViews>
  <sheetFormatPr defaultRowHeight="15" x14ac:dyDescent="0.25"/>
  <cols>
    <col min="1" max="1" width="18.28515625" customWidth="1"/>
    <col min="2" max="2" width="15.42578125" style="6" customWidth="1"/>
    <col min="3" max="3" width="16.28515625" style="6" customWidth="1"/>
    <col min="4" max="4" width="14.140625" style="6" customWidth="1"/>
    <col min="5" max="5" width="20.5703125" bestFit="1" customWidth="1"/>
    <col min="6" max="6" width="15.42578125" style="6" customWidth="1"/>
    <col min="7" max="7" width="19.140625" bestFit="1" customWidth="1"/>
    <col min="8" max="8" width="12.28515625" customWidth="1"/>
    <col min="9" max="9" width="6.28515625" bestFit="1" customWidth="1"/>
    <col min="10" max="10" width="20.5703125" bestFit="1" customWidth="1"/>
    <col min="11" max="11" width="7" bestFit="1" customWidth="1"/>
    <col min="12" max="12" width="17.85546875" bestFit="1" customWidth="1"/>
    <col min="15" max="15" width="49.42578125" bestFit="1" customWidth="1"/>
  </cols>
  <sheetData>
    <row r="1" spans="1:15" ht="18.75" x14ac:dyDescent="0.3">
      <c r="A1" s="36" t="s">
        <v>126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8"/>
    </row>
    <row r="2" spans="1:15" ht="33" customHeight="1" x14ac:dyDescent="0.25">
      <c r="A2" s="11" t="s">
        <v>124</v>
      </c>
      <c r="B2" s="9" t="s">
        <v>116</v>
      </c>
      <c r="C2" s="9" t="s">
        <v>117</v>
      </c>
      <c r="D2" s="9" t="s">
        <v>118</v>
      </c>
      <c r="E2" s="8" t="s">
        <v>119</v>
      </c>
      <c r="F2" s="9" t="s">
        <v>120</v>
      </c>
      <c r="G2" s="8" t="s">
        <v>119</v>
      </c>
      <c r="H2" s="8" t="s">
        <v>121</v>
      </c>
      <c r="I2" s="8" t="s">
        <v>122</v>
      </c>
      <c r="J2" s="8" t="s">
        <v>119</v>
      </c>
      <c r="K2" s="8" t="s">
        <v>123</v>
      </c>
      <c r="L2" s="8" t="s">
        <v>119</v>
      </c>
      <c r="O2" s="19" t="s">
        <v>129</v>
      </c>
    </row>
    <row r="3" spans="1:15" ht="15.75" x14ac:dyDescent="0.25">
      <c r="A3" s="4" t="s">
        <v>108</v>
      </c>
      <c r="B3" s="20">
        <f>DSUM(DADOS,salario,ADM)</f>
        <v>66891</v>
      </c>
      <c r="C3" s="24">
        <f>DAVERAGE(DADOS,salario,ADM)</f>
        <v>1967.3823529411766</v>
      </c>
      <c r="D3" s="25">
        <f>DMAX(DADOS,salario,ADM)</f>
        <v>4000</v>
      </c>
      <c r="E3" s="33" t="str">
        <f>DGET(DADOS,funcionario,adm_max_sal)</f>
        <v>Ana Cristina Paiva</v>
      </c>
      <c r="F3" s="26">
        <f>DMIN(DADOS,salario,ADM)</f>
        <v>890</v>
      </c>
      <c r="G3" s="34" t="str">
        <f>DGET(DADOS,funcionario,adm_min_sal)</f>
        <v>Rogerio Dias</v>
      </c>
      <c r="H3" s="27">
        <f>DCOUNT(DADOS,salario,ADM)</f>
        <v>34</v>
      </c>
      <c r="I3" s="12">
        <f ca="1">DMAX(DADOS,idade,ADM)</f>
        <v>60</v>
      </c>
      <c r="J3" s="4" t="str">
        <f ca="1">DGET(DADOS,funcionario,adm_max_idd)</f>
        <v>Ana Cristina Paiva</v>
      </c>
      <c r="K3" s="12">
        <f ca="1">DMIN(DADOS,idade,ADM)</f>
        <v>35</v>
      </c>
      <c r="L3" s="4" t="e">
        <f ca="1">DGET(DADOS,funcionario,adm_min_idd)</f>
        <v>#NUM!</v>
      </c>
      <c r="O3" s="21" t="s">
        <v>132</v>
      </c>
    </row>
    <row r="4" spans="1:15" ht="15.75" x14ac:dyDescent="0.25">
      <c r="A4" s="4" t="s">
        <v>107</v>
      </c>
      <c r="B4" s="5">
        <f>DSUM(DADOS,salario,FIN)</f>
        <v>57578</v>
      </c>
      <c r="C4" s="5">
        <f>DAVERAGE(DADOS,salario,FIN)</f>
        <v>2503.391304347826</v>
      </c>
      <c r="D4" s="5">
        <f>DMAX(DADOS,salario,FIN)</f>
        <v>4780</v>
      </c>
      <c r="E4" s="33" t="str">
        <f>DGET(DADOS,funcionario,fin_max_sal)</f>
        <v>Fernanda Marioni</v>
      </c>
      <c r="F4" s="5">
        <f>DMIN(DADOS,salario,FIN)</f>
        <v>980</v>
      </c>
      <c r="G4" s="34" t="str">
        <f>DGET(DADOS,funcionario,fin_min_sal)</f>
        <v>Maria do Carmo Leal</v>
      </c>
      <c r="H4" s="12">
        <f>DCOUNT(DADOS,salario,FIN)</f>
        <v>23</v>
      </c>
      <c r="I4" s="12">
        <f ca="1">DMAX(DADOS,idade,FIN)</f>
        <v>70</v>
      </c>
      <c r="J4" s="4" t="str">
        <f ca="1">DGET(DADOS,funcionario,fin_max_idd)</f>
        <v>Jaciara Yonh</v>
      </c>
      <c r="K4" s="12">
        <f ca="1">DMIN(DADOS,idade,FIN)</f>
        <v>35</v>
      </c>
      <c r="L4" s="4" t="str">
        <f ca="1">DGET(DADOS,funcionario,fin_min_idd)</f>
        <v>Jussara Medeiros</v>
      </c>
      <c r="O4" s="28" t="s">
        <v>134</v>
      </c>
    </row>
    <row r="5" spans="1:15" ht="15.75" x14ac:dyDescent="0.25">
      <c r="A5" s="4" t="s">
        <v>109</v>
      </c>
      <c r="B5" s="5">
        <f>DSUM(DADOS,salario,INF)</f>
        <v>44585</v>
      </c>
      <c r="C5" s="5">
        <f>DAVERAGE(DADOS,salario,INF)</f>
        <v>2123.0952380952381</v>
      </c>
      <c r="D5" s="5">
        <f>DMAX(DADOS,salario,INF)</f>
        <v>4500</v>
      </c>
      <c r="E5" s="33" t="str">
        <f>DGET(DADOS,funcionario,inf_max_sal)</f>
        <v>Diógenes Duarte Lima</v>
      </c>
      <c r="F5" s="5">
        <f>DMIN(DADOS,salario,INF)</f>
        <v>950</v>
      </c>
      <c r="G5" s="34" t="str">
        <f>DGET(DADOS,funcionario,inf_min_sal)</f>
        <v>Maria Inês Fagundes</v>
      </c>
      <c r="H5" s="12">
        <f>DCOUNT(DADOS,salario,INF)</f>
        <v>21</v>
      </c>
      <c r="I5" s="12">
        <f ca="1">DMAX(DADOS,idade,INF)</f>
        <v>67</v>
      </c>
      <c r="J5" s="4" t="str">
        <f ca="1">DGET(DADOS,funcionario,inf_max_idd)</f>
        <v>Diógenes Duarte Lima</v>
      </c>
      <c r="K5" s="12">
        <f ca="1">DMIN(DADOS,idade,INF)</f>
        <v>39</v>
      </c>
      <c r="L5" s="4" t="e">
        <f ca="1">DGET(DADOS,funcionario,inf_min_idd)</f>
        <v>#NUM!</v>
      </c>
      <c r="O5" s="29" t="s">
        <v>135</v>
      </c>
    </row>
    <row r="6" spans="1:15" ht="15.75" x14ac:dyDescent="0.25">
      <c r="A6" s="4" t="s">
        <v>106</v>
      </c>
      <c r="B6" s="5">
        <f>DSUM(DADOS,salario,RH)</f>
        <v>56315</v>
      </c>
      <c r="C6" s="5">
        <f>DAVERAGE(DADOS,salario,RH)</f>
        <v>2346.4583333333335</v>
      </c>
      <c r="D6" s="5">
        <f>DMAX(DADOS,salario,RH)</f>
        <v>4200</v>
      </c>
      <c r="E6" s="33" t="str">
        <f>DGET(DADOS,funcionario,rh_max_sal)</f>
        <v>Georgina Nythe</v>
      </c>
      <c r="F6" s="5">
        <f>DMIN(DADOS,salario,RH)</f>
        <v>956</v>
      </c>
      <c r="G6" s="34" t="str">
        <f>DGET(DADOS,funcionario,rh_min_sal)</f>
        <v>Marineide Novais</v>
      </c>
      <c r="H6" s="12">
        <f>DCOUNT(DADOS,salario,RH)</f>
        <v>24</v>
      </c>
      <c r="I6" s="12">
        <f ca="1">DMAX(DADOS,idade,RH)</f>
        <v>59</v>
      </c>
      <c r="J6" s="4" t="str">
        <f ca="1">DGET(DADOS,funcionario,rh_max_idd)</f>
        <v>Barbara Hioli</v>
      </c>
      <c r="K6" s="12">
        <f ca="1">DMIN(DADOS,idade,RH)</f>
        <v>34</v>
      </c>
      <c r="L6" s="4" t="str">
        <f ca="1">DGET(DADOS,funcionario,rh_min_idd)</f>
        <v>Alan Golden</v>
      </c>
      <c r="O6" s="30" t="s">
        <v>136</v>
      </c>
    </row>
    <row r="7" spans="1:15" ht="15.75" x14ac:dyDescent="0.25">
      <c r="E7" s="6"/>
      <c r="O7" s="31" t="s">
        <v>137</v>
      </c>
    </row>
    <row r="8" spans="1:15" ht="15.75" x14ac:dyDescent="0.25">
      <c r="O8" s="22" t="s">
        <v>141</v>
      </c>
    </row>
    <row r="9" spans="1:15" ht="18.75" x14ac:dyDescent="0.3">
      <c r="A9" s="36" t="s">
        <v>127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  <c r="O9" s="42" t="s">
        <v>142</v>
      </c>
    </row>
    <row r="10" spans="1:15" ht="39" customHeight="1" x14ac:dyDescent="0.25">
      <c r="A10" s="8" t="s">
        <v>125</v>
      </c>
      <c r="B10" s="9" t="s">
        <v>116</v>
      </c>
      <c r="C10" s="9" t="s">
        <v>117</v>
      </c>
      <c r="D10" s="9" t="s">
        <v>118</v>
      </c>
      <c r="E10" s="8" t="s">
        <v>124</v>
      </c>
      <c r="F10" s="9" t="s">
        <v>120</v>
      </c>
      <c r="G10" s="8" t="s">
        <v>124</v>
      </c>
      <c r="H10" s="8" t="s">
        <v>121</v>
      </c>
      <c r="I10" s="8" t="s">
        <v>122</v>
      </c>
      <c r="J10" s="8" t="s">
        <v>124</v>
      </c>
      <c r="K10" s="8" t="s">
        <v>123</v>
      </c>
      <c r="L10" s="8" t="s">
        <v>124</v>
      </c>
    </row>
    <row r="11" spans="1:15" x14ac:dyDescent="0.25">
      <c r="A11" s="4" t="s">
        <v>111</v>
      </c>
      <c r="B11" s="5">
        <f>DSUM(DADOS,cargo,analista)</f>
        <v>0</v>
      </c>
      <c r="C11" s="5"/>
      <c r="D11" s="5"/>
      <c r="E11" s="4"/>
      <c r="F11" s="5"/>
      <c r="G11" s="4"/>
      <c r="H11" s="4"/>
      <c r="I11" s="4"/>
      <c r="J11" s="4"/>
      <c r="K11" s="4"/>
      <c r="L11" s="4"/>
    </row>
    <row r="12" spans="1:15" x14ac:dyDescent="0.25">
      <c r="A12" s="4" t="s">
        <v>110</v>
      </c>
      <c r="B12" s="5"/>
      <c r="C12" s="5"/>
      <c r="D12" s="5"/>
      <c r="E12" s="4"/>
      <c r="F12" s="5"/>
      <c r="G12" s="4"/>
      <c r="H12" s="4"/>
      <c r="I12" s="4"/>
      <c r="J12" s="4"/>
      <c r="K12" s="4"/>
      <c r="L12" s="4"/>
    </row>
    <row r="13" spans="1:15" x14ac:dyDescent="0.25">
      <c r="A13" s="4" t="s">
        <v>112</v>
      </c>
      <c r="B13" s="5"/>
      <c r="C13" s="5"/>
      <c r="D13" s="5"/>
      <c r="E13" s="4"/>
      <c r="F13" s="5"/>
      <c r="G13" s="4"/>
      <c r="H13" s="4"/>
      <c r="I13" s="4"/>
      <c r="J13" s="4"/>
      <c r="K13" s="4"/>
      <c r="L13" s="4"/>
    </row>
    <row r="14" spans="1:15" x14ac:dyDescent="0.25">
      <c r="A14" s="4" t="s">
        <v>113</v>
      </c>
      <c r="B14" s="5"/>
      <c r="C14" s="5"/>
      <c r="D14" s="5"/>
      <c r="E14" s="4"/>
      <c r="F14" s="5"/>
      <c r="G14" s="4"/>
      <c r="H14" s="4"/>
      <c r="I14" s="4"/>
      <c r="J14" s="4"/>
      <c r="K14" s="4"/>
      <c r="L14" s="4"/>
    </row>
    <row r="15" spans="1:15" x14ac:dyDescent="0.25">
      <c r="B15"/>
      <c r="C15"/>
      <c r="D15"/>
      <c r="F15"/>
    </row>
    <row r="16" spans="1:15" x14ac:dyDescent="0.25">
      <c r="B16"/>
      <c r="C16"/>
      <c r="D16"/>
      <c r="F16"/>
    </row>
    <row r="17" customFormat="1" x14ac:dyDescent="0.25"/>
    <row r="18" customFormat="1" x14ac:dyDescent="0.25"/>
  </sheetData>
  <sortState xmlns:xlrd2="http://schemas.microsoft.com/office/spreadsheetml/2017/richdata2" ref="A11:A14">
    <sortCondition ref="A11"/>
  </sortState>
  <mergeCells count="2">
    <mergeCell ref="A1:L1"/>
    <mergeCell ref="A9:L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zoomScale="115" zoomScaleNormal="115" workbookViewId="0">
      <selection activeCell="J19" sqref="J19"/>
    </sheetView>
  </sheetViews>
  <sheetFormatPr defaultRowHeight="15" x14ac:dyDescent="0.25"/>
  <cols>
    <col min="1" max="1" width="17.85546875" bestFit="1" customWidth="1"/>
    <col min="2" max="2" width="12.85546875" bestFit="1" customWidth="1"/>
    <col min="4" max="4" width="17.85546875" bestFit="1" customWidth="1"/>
    <col min="5" max="5" width="12.85546875" bestFit="1" customWidth="1"/>
    <col min="8" max="8" width="17.85546875" bestFit="1" customWidth="1"/>
    <col min="9" max="9" width="12.85546875" style="41" bestFit="1" customWidth="1"/>
    <col min="11" max="11" width="17.85546875" bestFit="1" customWidth="1"/>
    <col min="12" max="12" width="12.85546875" style="41" bestFit="1" customWidth="1"/>
    <col min="15" max="15" width="32.28515625" bestFit="1" customWidth="1"/>
  </cols>
  <sheetData>
    <row r="1" spans="1:15" x14ac:dyDescent="0.25">
      <c r="A1" s="11" t="s">
        <v>124</v>
      </c>
      <c r="B1" s="11" t="s">
        <v>138</v>
      </c>
      <c r="C1" t="s">
        <v>139</v>
      </c>
      <c r="D1" s="11" t="s">
        <v>124</v>
      </c>
      <c r="E1" s="11" t="s">
        <v>138</v>
      </c>
      <c r="F1" t="s">
        <v>140</v>
      </c>
      <c r="H1" s="11" t="s">
        <v>124</v>
      </c>
      <c r="I1" s="39" t="s">
        <v>143</v>
      </c>
      <c r="J1" t="s">
        <v>139</v>
      </c>
      <c r="K1" s="11" t="s">
        <v>124</v>
      </c>
      <c r="L1" s="39" t="s">
        <v>143</v>
      </c>
      <c r="M1" t="s">
        <v>140</v>
      </c>
    </row>
    <row r="2" spans="1:15" x14ac:dyDescent="0.25">
      <c r="A2" s="4" t="s">
        <v>108</v>
      </c>
      <c r="B2" s="32">
        <f>RELATÓRIO!D3</f>
        <v>4000</v>
      </c>
      <c r="D2" s="4" t="s">
        <v>108</v>
      </c>
      <c r="E2" s="32">
        <f>RELATÓRIO!F3</f>
        <v>890</v>
      </c>
      <c r="H2" s="4" t="s">
        <v>108</v>
      </c>
      <c r="I2" s="40">
        <f ca="1">RELATÓRIO!I3</f>
        <v>60</v>
      </c>
      <c r="K2" s="4" t="s">
        <v>108</v>
      </c>
      <c r="L2" s="40">
        <f ca="1">RELATÓRIO!K3</f>
        <v>35</v>
      </c>
      <c r="O2" s="17" t="s">
        <v>129</v>
      </c>
    </row>
    <row r="3" spans="1:15" x14ac:dyDescent="0.25">
      <c r="A3" s="11" t="s">
        <v>124</v>
      </c>
      <c r="B3" s="11" t="s">
        <v>138</v>
      </c>
      <c r="D3" s="11" t="s">
        <v>124</v>
      </c>
      <c r="E3" s="11" t="s">
        <v>138</v>
      </c>
      <c r="H3" s="11" t="s">
        <v>124</v>
      </c>
      <c r="I3" s="39" t="s">
        <v>143</v>
      </c>
      <c r="K3" s="11" t="s">
        <v>124</v>
      </c>
      <c r="L3" s="39" t="s">
        <v>143</v>
      </c>
      <c r="O3" s="18" t="s">
        <v>133</v>
      </c>
    </row>
    <row r="4" spans="1:15" x14ac:dyDescent="0.25">
      <c r="A4" s="4" t="s">
        <v>107</v>
      </c>
      <c r="B4" s="32">
        <f>RELATÓRIO!D4</f>
        <v>4780</v>
      </c>
      <c r="D4" s="4" t="s">
        <v>107</v>
      </c>
      <c r="E4" s="32">
        <f>RELATÓRIO!F4</f>
        <v>980</v>
      </c>
      <c r="H4" s="4" t="s">
        <v>107</v>
      </c>
      <c r="I4" s="40">
        <f ca="1">RELATÓRIO!I4</f>
        <v>70</v>
      </c>
      <c r="K4" s="4" t="s">
        <v>107</v>
      </c>
      <c r="L4" s="40">
        <f ca="1">RELATÓRIO!K4</f>
        <v>35</v>
      </c>
    </row>
    <row r="5" spans="1:15" x14ac:dyDescent="0.25">
      <c r="A5" s="11" t="s">
        <v>124</v>
      </c>
      <c r="B5" s="11" t="s">
        <v>138</v>
      </c>
      <c r="D5" s="11" t="s">
        <v>124</v>
      </c>
      <c r="E5" s="11" t="s">
        <v>138</v>
      </c>
      <c r="H5" s="11" t="s">
        <v>124</v>
      </c>
      <c r="I5" s="39" t="s">
        <v>143</v>
      </c>
      <c r="K5" s="11" t="s">
        <v>124</v>
      </c>
      <c r="L5" s="39" t="s">
        <v>143</v>
      </c>
    </row>
    <row r="6" spans="1:15" x14ac:dyDescent="0.25">
      <c r="A6" s="4" t="s">
        <v>109</v>
      </c>
      <c r="B6" s="32">
        <f>RELATÓRIO!D5</f>
        <v>4500</v>
      </c>
      <c r="D6" s="4" t="s">
        <v>109</v>
      </c>
      <c r="E6" s="32">
        <f>RELATÓRIO!F5</f>
        <v>950</v>
      </c>
      <c r="H6" s="4" t="s">
        <v>109</v>
      </c>
      <c r="I6" s="40">
        <f ca="1">RELATÓRIO!I5</f>
        <v>67</v>
      </c>
      <c r="K6" s="4" t="s">
        <v>109</v>
      </c>
      <c r="L6" s="40">
        <f ca="1">RELATÓRIO!K5</f>
        <v>39</v>
      </c>
    </row>
    <row r="7" spans="1:15" x14ac:dyDescent="0.25">
      <c r="A7" s="11" t="s">
        <v>124</v>
      </c>
      <c r="B7" s="11" t="s">
        <v>138</v>
      </c>
      <c r="D7" s="11" t="s">
        <v>124</v>
      </c>
      <c r="E7" s="11" t="s">
        <v>138</v>
      </c>
      <c r="H7" s="11" t="s">
        <v>124</v>
      </c>
      <c r="I7" s="39" t="s">
        <v>143</v>
      </c>
      <c r="K7" s="11" t="s">
        <v>124</v>
      </c>
      <c r="L7" s="39" t="s">
        <v>143</v>
      </c>
    </row>
    <row r="8" spans="1:15" x14ac:dyDescent="0.25">
      <c r="A8" s="4" t="s">
        <v>106</v>
      </c>
      <c r="B8" s="32">
        <f>RELATÓRIO!D6</f>
        <v>4200</v>
      </c>
      <c r="D8" s="4" t="s">
        <v>106</v>
      </c>
      <c r="E8" s="32">
        <f>RELATÓRIO!F6</f>
        <v>956</v>
      </c>
      <c r="H8" s="4" t="s">
        <v>106</v>
      </c>
      <c r="I8" s="40">
        <f ca="1">RELATÓRIO!I6</f>
        <v>59</v>
      </c>
      <c r="K8" s="4" t="s">
        <v>106</v>
      </c>
      <c r="L8" s="40">
        <f ca="1">RELATÓRIO!K6</f>
        <v>34</v>
      </c>
    </row>
    <row r="10" spans="1:15" x14ac:dyDescent="0.25">
      <c r="A10" s="11" t="s">
        <v>125</v>
      </c>
      <c r="B10" s="11" t="s">
        <v>138</v>
      </c>
      <c r="C10" t="s">
        <v>139</v>
      </c>
      <c r="D10" s="11" t="s">
        <v>125</v>
      </c>
      <c r="E10" s="11" t="s">
        <v>138</v>
      </c>
      <c r="F10" t="s">
        <v>140</v>
      </c>
      <c r="H10" s="11" t="s">
        <v>125</v>
      </c>
      <c r="I10" s="11" t="s">
        <v>138</v>
      </c>
      <c r="J10" t="s">
        <v>139</v>
      </c>
      <c r="K10" s="11" t="s">
        <v>125</v>
      </c>
      <c r="L10" s="11" t="s">
        <v>138</v>
      </c>
      <c r="M10" t="s">
        <v>140</v>
      </c>
    </row>
    <row r="11" spans="1:15" x14ac:dyDescent="0.25">
      <c r="A11" s="4" t="s">
        <v>111</v>
      </c>
      <c r="B11" s="32">
        <f>RELATÓRIO!D12</f>
        <v>0</v>
      </c>
      <c r="D11" s="4" t="s">
        <v>111</v>
      </c>
      <c r="E11" s="32">
        <f>RELATÓRIO!G12</f>
        <v>0</v>
      </c>
      <c r="H11" s="4" t="s">
        <v>111</v>
      </c>
      <c r="I11" s="32">
        <f>RELATÓRIO!K12</f>
        <v>0</v>
      </c>
      <c r="K11" s="4" t="s">
        <v>111</v>
      </c>
      <c r="L11" s="32">
        <f>RELATÓRIO!N12</f>
        <v>0</v>
      </c>
    </row>
    <row r="12" spans="1:15" x14ac:dyDescent="0.25">
      <c r="A12" s="11" t="s">
        <v>125</v>
      </c>
      <c r="B12" s="11" t="s">
        <v>138</v>
      </c>
      <c r="D12" s="11" t="s">
        <v>125</v>
      </c>
      <c r="E12" s="11" t="s">
        <v>138</v>
      </c>
      <c r="H12" s="11" t="s">
        <v>125</v>
      </c>
      <c r="I12" s="11" t="s">
        <v>138</v>
      </c>
      <c r="K12" s="11" t="s">
        <v>125</v>
      </c>
      <c r="L12" s="11" t="s">
        <v>138</v>
      </c>
    </row>
    <row r="13" spans="1:15" x14ac:dyDescent="0.25">
      <c r="A13" s="4" t="s">
        <v>110</v>
      </c>
      <c r="B13" s="32">
        <f>RELATÓRIO!D13</f>
        <v>0</v>
      </c>
      <c r="D13" s="4" t="s">
        <v>110</v>
      </c>
      <c r="E13" s="32">
        <f>RELATÓRIO!G13</f>
        <v>0</v>
      </c>
      <c r="H13" s="4" t="s">
        <v>110</v>
      </c>
      <c r="I13" s="32">
        <f>RELATÓRIO!K13</f>
        <v>0</v>
      </c>
      <c r="K13" s="4" t="s">
        <v>110</v>
      </c>
      <c r="L13" s="32">
        <f>RELATÓRIO!N13</f>
        <v>0</v>
      </c>
    </row>
    <row r="14" spans="1:15" x14ac:dyDescent="0.25">
      <c r="A14" s="11" t="s">
        <v>125</v>
      </c>
      <c r="B14" s="11" t="s">
        <v>138</v>
      </c>
      <c r="D14" s="11" t="s">
        <v>125</v>
      </c>
      <c r="E14" s="11" t="s">
        <v>138</v>
      </c>
      <c r="H14" s="11" t="s">
        <v>125</v>
      </c>
      <c r="I14" s="11" t="s">
        <v>138</v>
      </c>
      <c r="K14" s="11" t="s">
        <v>125</v>
      </c>
      <c r="L14" s="11" t="s">
        <v>138</v>
      </c>
    </row>
    <row r="15" spans="1:15" x14ac:dyDescent="0.25">
      <c r="A15" s="4" t="s">
        <v>113</v>
      </c>
      <c r="B15" s="32">
        <f>RELATÓRIO!D14</f>
        <v>0</v>
      </c>
      <c r="D15" s="4" t="s">
        <v>113</v>
      </c>
      <c r="E15" s="32">
        <f>RELATÓRIO!G14</f>
        <v>0</v>
      </c>
      <c r="H15" s="4" t="s">
        <v>113</v>
      </c>
      <c r="I15" s="32">
        <f>RELATÓRIO!K14</f>
        <v>0</v>
      </c>
      <c r="K15" s="4" t="s">
        <v>113</v>
      </c>
      <c r="L15" s="32">
        <f>RELATÓRIO!N14</f>
        <v>0</v>
      </c>
    </row>
    <row r="16" spans="1:15" x14ac:dyDescent="0.25">
      <c r="A16" s="11" t="s">
        <v>125</v>
      </c>
      <c r="B16" s="11" t="s">
        <v>138</v>
      </c>
      <c r="D16" s="11" t="s">
        <v>125</v>
      </c>
      <c r="E16" s="11" t="s">
        <v>138</v>
      </c>
      <c r="H16" s="11" t="s">
        <v>125</v>
      </c>
      <c r="I16" s="11" t="s">
        <v>138</v>
      </c>
      <c r="K16" s="11" t="s">
        <v>125</v>
      </c>
      <c r="L16" s="11" t="s">
        <v>138</v>
      </c>
    </row>
    <row r="17" spans="1:12" x14ac:dyDescent="0.25">
      <c r="A17" s="4" t="s">
        <v>112</v>
      </c>
      <c r="B17" s="32">
        <f>RELATÓRIO!D15</f>
        <v>0</v>
      </c>
      <c r="D17" s="4" t="s">
        <v>112</v>
      </c>
      <c r="E17" s="32">
        <f>RELATÓRIO!G15</f>
        <v>0</v>
      </c>
      <c r="H17" s="4" t="s">
        <v>112</v>
      </c>
      <c r="I17" s="32">
        <f>RELATÓRIO!K15</f>
        <v>0</v>
      </c>
      <c r="K17" s="4" t="s">
        <v>112</v>
      </c>
      <c r="L17" s="32">
        <f>RELATÓRIO!N15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4851-4546-4A88-91D0-002C6DA394F8}">
  <dimension ref="A1"/>
  <sheetViews>
    <sheetView workbookViewId="0">
      <selection activeCell="B7" sqref="B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634936-3474-4A47-A34B-4DDC3BAA309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AEBB415-50F8-461A-8B46-9D41A0BDDB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CCED7B-9E3C-4A46-87C8-9A405AC9C3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29</vt:i4>
      </vt:variant>
    </vt:vector>
  </HeadingPairs>
  <TitlesOfParts>
    <vt:vector size="35" baseType="lpstr">
      <vt:lpstr>Planilha2</vt:lpstr>
      <vt:lpstr>TABdinamica</vt:lpstr>
      <vt:lpstr>CADASTRO</vt:lpstr>
      <vt:lpstr>RELATÓRIO</vt:lpstr>
      <vt:lpstr>CRITÉRIOS</vt:lpstr>
      <vt:lpstr>Planilha1</vt:lpstr>
      <vt:lpstr>ADM</vt:lpstr>
      <vt:lpstr>adm_max_idd</vt:lpstr>
      <vt:lpstr>adm_max_sal</vt:lpstr>
      <vt:lpstr>adm_min_idd</vt:lpstr>
      <vt:lpstr>adm_min_sal</vt:lpstr>
      <vt:lpstr>analista</vt:lpstr>
      <vt:lpstr>assistente</vt:lpstr>
      <vt:lpstr>cargo</vt:lpstr>
      <vt:lpstr>DADOS</vt:lpstr>
      <vt:lpstr>FIN</vt:lpstr>
      <vt:lpstr>fin_max_idd</vt:lpstr>
      <vt:lpstr>fin_max_sal</vt:lpstr>
      <vt:lpstr>fin_min_idd</vt:lpstr>
      <vt:lpstr>fin_min_sal</vt:lpstr>
      <vt:lpstr>funcionario</vt:lpstr>
      <vt:lpstr>gerente</vt:lpstr>
      <vt:lpstr>idade</vt:lpstr>
      <vt:lpstr>INF</vt:lpstr>
      <vt:lpstr>inf_max_idd</vt:lpstr>
      <vt:lpstr>inf_max_sal</vt:lpstr>
      <vt:lpstr>inf_min_idd</vt:lpstr>
      <vt:lpstr>inf_min_sal</vt:lpstr>
      <vt:lpstr>RH</vt:lpstr>
      <vt:lpstr>rh_max_idd</vt:lpstr>
      <vt:lpstr>rh_max_sal</vt:lpstr>
      <vt:lpstr>rh_min_idd</vt:lpstr>
      <vt:lpstr>rh_min_sal</vt:lpstr>
      <vt:lpstr>salario</vt:lpstr>
      <vt:lpstr>tecnico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YURI DA SILVA MENDES</cp:lastModifiedBy>
  <dcterms:created xsi:type="dcterms:W3CDTF">2011-07-12T16:34:05Z</dcterms:created>
  <dcterms:modified xsi:type="dcterms:W3CDTF">2026-10-06T00:57:01Z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