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ri.smendes\Documents\Primeiro dia de Excel Avançado 03062023 - Yuri Mendes\"/>
    </mc:Choice>
  </mc:AlternateContent>
  <xr:revisionPtr revIDLastSave="0" documentId="13_ncr:1_{9B9581CE-2CCD-4583-BEE4-1C3575B81D46}" xr6:coauthVersionLast="47" xr6:coauthVersionMax="47" xr10:uidLastSave="{00000000-0000-0000-0000-000000000000}"/>
  <bookViews>
    <workbookView xWindow="-120" yWindow="-120" windowWidth="24240" windowHeight="13140" activeTab="2" xr2:uid="{BA3C8C91-E77A-4043-BC14-5764F3DD2FB6}"/>
  </bookViews>
  <sheets>
    <sheet name="AUDITORIA" sheetId="1" r:id="rId1"/>
    <sheet name="Validação de Dados" sheetId="2" r:id="rId2"/>
    <sheet name="Filtro avançado" sheetId="3" r:id="rId3"/>
  </sheets>
  <definedNames>
    <definedName name="_xlnm._FilterDatabase" localSheetId="2" hidden="1">'Filtro avançado'!$A$4:$F$26</definedName>
    <definedName name="_xlnm._FilterDatabase" localSheetId="1" hidden="1">'Validação de Dados'!$A$7:$F$9</definedName>
    <definedName name="_xlnm.Extract" localSheetId="2">'Filtro avançado'!$A$36:$F$36</definedName>
    <definedName name="_xlnm.Criteria" localSheetId="2">'Filtro avançado'!$A$33:$A$34</definedName>
    <definedName name="total_dolar">AUDITORIA!$G$12</definedName>
    <definedName name="valor_dolar">AUDITORIA!$B$12</definedName>
    <definedName name="wrn.Cenários." hidden="1">{"Todos os estados",#N/A,TRUE,"Exibição 41";"Todos os estados",#N/A,TRUE,"Exibição 41";#N/A,"Ruim",TRUE,"Cenario 34";#N/A,"Médio",TRUE,"Cenario 34";#N/A,"Bom",TRUE,"Cenario 34";#N/A,"Excelente",TRUE,"Cenario 34"}</definedName>
    <definedName name="wrn.Colar._.com._.vinculo." hidden="1">{#N/A,#N/A,FALSE,"Colar com vinculo"}</definedName>
    <definedName name="wrn.Colar._.Especial." hidden="1">{#N/A,#N/A,FALSE,"Colar especial"}</definedName>
    <definedName name="wrn.Referencias." hidden="1">{#N/A,#N/A,FALSE,"Referencia"}</definedName>
    <definedName name="wrn.São._.Paulo_._.Minas._.Gerais." hidden="1">{"São Paulo",#N/A,TRUE,"Exibição 41";"Minas Gerais",#N/A,TRUE,"Exibição 41"}</definedName>
    <definedName name="Z_7A62D07B_4471_4449_BD09_BDB4AAF6E6F7_.wvu.FilterData" localSheetId="2" hidden="1">'Filtro avançado'!$A$4:$F$16</definedName>
    <definedName name="Z_7C188BED_E375_41F1_BE69_52AC1B853B25_.wvu.FilterData" localSheetId="2" hidden="1">'Filtro avançado'!$A$4:$F$16</definedName>
    <definedName name="Z_93E7D64E_3E32_4976_938F_5E56FC37DE06_.wvu.FilterData" localSheetId="2" hidden="1">'Filtro avançado'!$A$4:$F$16</definedName>
    <definedName name="Z_94B29123_9FAE_4466_A384_C44CFDB9652A_.wvu.FilterData" localSheetId="2" hidden="1">'Filtro avançado'!$A$4:$F$16</definedName>
    <definedName name="Z_A09A99EA_1DF0_4704_9BA1_F1D1E1351993_.wvu.FilterData" localSheetId="2" hidden="1">'Filtro avançado'!$A$4:$F$16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2" l="1"/>
  <c r="F9" i="2"/>
  <c r="F10" i="2"/>
  <c r="F11" i="2"/>
  <c r="F12" i="2"/>
  <c r="B15" i="1"/>
  <c r="G7" i="1"/>
  <c r="G8" i="1"/>
  <c r="F6" i="1"/>
  <c r="G6" i="1" s="1"/>
  <c r="G9" i="1"/>
  <c r="F9" i="1"/>
  <c r="F8" i="1"/>
  <c r="F7" i="1"/>
  <c r="G12" i="1" l="1"/>
  <c r="F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Parque Dom Pedro Shopping</author>
    <author>dcl</author>
    <author>Suporte</author>
  </authors>
  <commentList>
    <comment ref="G6" authorId="0" shapeId="0" xr:uid="{1106D0F7-565C-4A87-9200-40A7A7ED2250}">
      <text>
        <r>
          <rPr>
            <b/>
            <sz val="8"/>
            <color indexed="81"/>
            <rFont val="Tahoma"/>
            <family val="2"/>
          </rPr>
          <t>Verificar fórmula</t>
        </r>
      </text>
    </comment>
    <comment ref="G7" authorId="1" shapeId="0" xr:uid="{E7A57E5D-8088-48CD-AB22-C43A4ED4F68C}">
      <text>
        <r>
          <rPr>
            <b/>
            <sz val="8"/>
            <color indexed="81"/>
            <rFont val="Tahoma"/>
            <family val="2"/>
          </rPr>
          <t>Favor Corrigir o Erro</t>
        </r>
      </text>
    </comment>
    <comment ref="G8" authorId="2" shapeId="0" xr:uid="{8C2ECE94-52C0-4AE8-BFCD-7952926E141B}">
      <text>
        <r>
          <rPr>
            <b/>
            <sz val="8"/>
            <color indexed="81"/>
            <rFont val="Tahoma"/>
            <family val="2"/>
          </rPr>
          <t>Corrigir a Fórmula</t>
        </r>
      </text>
    </comment>
    <comment ref="G12" authorId="1" shapeId="0" xr:uid="{4DD049BF-416B-49A6-8ADD-8035717B26B6}">
      <text>
        <r>
          <rPr>
            <b/>
            <sz val="8"/>
            <color indexed="81"/>
            <rFont val="Tahoma"/>
            <family val="2"/>
          </rPr>
          <t>AO RASTREAR ERRO SE APARECER UMA SETA VERMELHA SIGNIFICA QUE NA CÉLULA ATIVA NÃO EXISTE ERRO. ELE VEIO SE PROPAGANDO DE OUTRAS CÉLULAS.</t>
        </r>
      </text>
    </comment>
  </commentList>
</comments>
</file>

<file path=xl/sharedStrings.xml><?xml version="1.0" encoding="utf-8"?>
<sst xmlns="http://schemas.openxmlformats.org/spreadsheetml/2006/main" count="429" uniqueCount="79">
  <si>
    <t>Vendedores</t>
  </si>
  <si>
    <t>1ª Sem.</t>
  </si>
  <si>
    <t>2ª Sem</t>
  </si>
  <si>
    <t>3ª Sem</t>
  </si>
  <si>
    <t>4ª Sem</t>
  </si>
  <si>
    <t>Total</t>
  </si>
  <si>
    <t>Valor em Dólar</t>
  </si>
  <si>
    <t>Carlos</t>
  </si>
  <si>
    <t>Márcia</t>
  </si>
  <si>
    <t>Pedro</t>
  </si>
  <si>
    <t>Carmem</t>
  </si>
  <si>
    <t>Dólar</t>
  </si>
  <si>
    <t>Total em Dólar</t>
  </si>
  <si>
    <t>TOTAL</t>
  </si>
  <si>
    <t>Validação de Dados</t>
  </si>
  <si>
    <t xml:space="preserve">Validação de dados significa restringir uma entrada de dados, </t>
  </si>
  <si>
    <t>para que o operador possa digitar apenas o desejado.</t>
  </si>
  <si>
    <t>Data</t>
  </si>
  <si>
    <t>Produto</t>
  </si>
  <si>
    <t>Preço</t>
  </si>
  <si>
    <t>% Desconto</t>
  </si>
  <si>
    <t>Qtde</t>
  </si>
  <si>
    <t>Caneta</t>
  </si>
  <si>
    <t>Lápis</t>
  </si>
  <si>
    <t>Borracha</t>
  </si>
  <si>
    <t>Agenda</t>
  </si>
  <si>
    <t>Os preços devem estar entre 1 e 100. Aceitar Decimal</t>
  </si>
  <si>
    <t>% Desconto deve estar entre 5% e 20%. Aceitar Decimal</t>
  </si>
  <si>
    <t>A Quantidade deve estar entre 1 e 20. Inteiro.</t>
  </si>
  <si>
    <t>Filtro Avançado</t>
  </si>
  <si>
    <t>Marca</t>
  </si>
  <si>
    <t>Modelo</t>
  </si>
  <si>
    <t>Cor</t>
  </si>
  <si>
    <t>Combustível</t>
  </si>
  <si>
    <t xml:space="preserve">Ano </t>
  </si>
  <si>
    <t>Valor</t>
  </si>
  <si>
    <t>Fiat</t>
  </si>
  <si>
    <t>Palio</t>
  </si>
  <si>
    <t>Branca</t>
  </si>
  <si>
    <t>G</t>
  </si>
  <si>
    <t>Vermelho</t>
  </si>
  <si>
    <t>Uno</t>
  </si>
  <si>
    <t>Azul</t>
  </si>
  <si>
    <t>A</t>
  </si>
  <si>
    <t>Weekend</t>
  </si>
  <si>
    <t>Prata</t>
  </si>
  <si>
    <t>Siena</t>
  </si>
  <si>
    <t>Preto</t>
  </si>
  <si>
    <t>Ford</t>
  </si>
  <si>
    <t>KA</t>
  </si>
  <si>
    <t>Fiesta</t>
  </si>
  <si>
    <t>Focus</t>
  </si>
  <si>
    <t>GM</t>
  </si>
  <si>
    <t>Celta</t>
  </si>
  <si>
    <t>Cinza</t>
  </si>
  <si>
    <t>Cobalt</t>
  </si>
  <si>
    <t>VW</t>
  </si>
  <si>
    <t>Saveiro</t>
  </si>
  <si>
    <t>Gol</t>
  </si>
  <si>
    <t>Auditoria de fórmulas - Verificação de dados, erros, também exibe as fórmulas utilizadas em uma planilha, através de setas. Podendo rastrear de duas formas: Precedentes, cursor em uma célula que possui uma fórmula identificada por uma seta. Dependentes, cursor numa célula onde estamos utilizando uma fórmula, exibe seta. Ferramenta temporária.</t>
  </si>
  <si>
    <t>Verificação de Erros</t>
  </si>
  <si>
    <t>Rastreio de Erros</t>
  </si>
  <si>
    <t>Rastreio entre planilhas</t>
  </si>
  <si>
    <t>Gerenciador de Nomes de Células</t>
  </si>
  <si>
    <t>Inspeção</t>
  </si>
  <si>
    <t>Erro: digitar produto que não existe na lista</t>
  </si>
  <si>
    <t>É possível copiar valor de outra célula para célula que tem restrição, só não é possível inserir manualmente.</t>
  </si>
  <si>
    <t>Erro: digitar preço que não estar no limite</t>
  </si>
  <si>
    <t>Validação de Dados Decimais</t>
  </si>
  <si>
    <t>Porcentagem na Validação de Dados</t>
  </si>
  <si>
    <t>Fórmulas cálculo desconto percentual</t>
  </si>
  <si>
    <t>FORM1</t>
  </si>
  <si>
    <t>FORM2</t>
  </si>
  <si>
    <t>&gt;2010</t>
  </si>
  <si>
    <t>EXPLICAÇÃO</t>
  </si>
  <si>
    <t>F*</t>
  </si>
  <si>
    <t>&gt;=2011</t>
  </si>
  <si>
    <t>&lt;=2012</t>
  </si>
  <si>
    <t>condição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</si>
</sst>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rgb="FFFF0000"/>
      <name val="Arial"/>
      <family val="2"/>
    </font>
    <font>
      <b/>
      <sz val="11"/>
      <color rgb="FFC00000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indexed="9"/>
      <name val="Arial"/>
      <family val="2"/>
    </font>
    <font>
      <b/>
      <sz val="10"/>
      <color rgb="FFFF0000"/>
      <name val="Arial"/>
      <family val="2"/>
    </font>
    <font>
      <b/>
      <sz val="10"/>
      <color theme="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theme="6"/>
      </patternFill>
    </fill>
    <fill>
      <patternFill patternType="solid">
        <fgColor indexed="22"/>
        <bgColor indexed="64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47">
    <xf numFmtId="0" fontId="0" fillId="0" borderId="0" xfId="0"/>
    <xf numFmtId="0" fontId="1" fillId="0" borderId="0" xfId="2"/>
    <xf numFmtId="0" fontId="3" fillId="3" borderId="1" xfId="2" applyFont="1" applyFill="1" applyBorder="1" applyAlignment="1">
      <alignment horizontal="center" vertical="center"/>
    </xf>
    <xf numFmtId="0" fontId="4" fillId="0" borderId="0" xfId="2" applyFont="1"/>
    <xf numFmtId="164" fontId="4" fillId="0" borderId="0" xfId="2" applyNumberFormat="1" applyFont="1"/>
    <xf numFmtId="0" fontId="6" fillId="0" borderId="0" xfId="2" applyFont="1"/>
    <xf numFmtId="0" fontId="4" fillId="4" borderId="2" xfId="2" applyFont="1" applyFill="1" applyBorder="1"/>
    <xf numFmtId="9" fontId="1" fillId="0" borderId="0" xfId="2" applyNumberFormat="1"/>
    <xf numFmtId="14" fontId="1" fillId="0" borderId="0" xfId="2" applyNumberFormat="1"/>
    <xf numFmtId="0" fontId="0" fillId="0" borderId="0" xfId="2" applyFont="1"/>
    <xf numFmtId="0" fontId="1" fillId="0" borderId="3" xfId="2" applyBorder="1"/>
    <xf numFmtId="0" fontId="1" fillId="0" borderId="1" xfId="2" applyBorder="1"/>
    <xf numFmtId="0" fontId="7" fillId="0" borderId="0" xfId="2" applyFont="1"/>
    <xf numFmtId="0" fontId="8" fillId="0" borderId="0" xfId="2" applyFont="1"/>
    <xf numFmtId="0" fontId="3" fillId="3" borderId="4" xfId="2" applyFont="1" applyFill="1" applyBorder="1" applyAlignment="1">
      <alignment horizontal="center" vertical="center"/>
    </xf>
    <xf numFmtId="0" fontId="3" fillId="3" borderId="5" xfId="2" applyFont="1" applyFill="1" applyBorder="1" applyAlignment="1">
      <alignment horizontal="center" vertical="center"/>
    </xf>
    <xf numFmtId="0" fontId="4" fillId="5" borderId="4" xfId="2" applyFont="1" applyFill="1" applyBorder="1" applyAlignment="1">
      <alignment horizontal="center"/>
    </xf>
    <xf numFmtId="4" fontId="4" fillId="5" borderId="5" xfId="2" applyNumberFormat="1" applyFont="1" applyFill="1" applyBorder="1" applyAlignment="1">
      <alignment horizontal="center"/>
    </xf>
    <xf numFmtId="0" fontId="4" fillId="6" borderId="4" xfId="2" applyFont="1" applyFill="1" applyBorder="1" applyAlignment="1">
      <alignment horizontal="center"/>
    </xf>
    <xf numFmtId="4" fontId="4" fillId="6" borderId="5" xfId="2" applyNumberFormat="1" applyFont="1" applyFill="1" applyBorder="1" applyAlignment="1">
      <alignment horizontal="center"/>
    </xf>
    <xf numFmtId="0" fontId="4" fillId="5" borderId="6" xfId="2" applyFont="1" applyFill="1" applyBorder="1" applyAlignment="1">
      <alignment horizontal="center"/>
    </xf>
    <xf numFmtId="4" fontId="4" fillId="5" borderId="1" xfId="2" applyNumberFormat="1" applyFont="1" applyFill="1" applyBorder="1" applyAlignment="1">
      <alignment horizontal="center"/>
    </xf>
    <xf numFmtId="0" fontId="4" fillId="0" borderId="1" xfId="2" applyFont="1" applyBorder="1"/>
    <xf numFmtId="164" fontId="4" fillId="0" borderId="1" xfId="1" applyFont="1" applyBorder="1" applyAlignment="1">
      <alignment horizontal="center"/>
    </xf>
    <xf numFmtId="164" fontId="4" fillId="0" borderId="1" xfId="1" applyFont="1" applyBorder="1"/>
    <xf numFmtId="0" fontId="4" fillId="4" borderId="1" xfId="2" applyFont="1" applyFill="1" applyBorder="1" applyAlignment="1">
      <alignment horizontal="center" vertical="justify"/>
    </xf>
    <xf numFmtId="164" fontId="4" fillId="0" borderId="1" xfId="1" applyFont="1" applyBorder="1" applyAlignment="1">
      <alignment vertical="center"/>
    </xf>
    <xf numFmtId="0" fontId="4" fillId="0" borderId="1" xfId="2" applyFont="1" applyBorder="1" applyAlignment="1">
      <alignment horizontal="center"/>
    </xf>
    <xf numFmtId="0" fontId="1" fillId="7" borderId="0" xfId="2" applyFill="1"/>
    <xf numFmtId="0" fontId="4" fillId="7" borderId="0" xfId="2" applyFont="1" applyFill="1"/>
    <xf numFmtId="0" fontId="4" fillId="7" borderId="0" xfId="2" applyFont="1" applyFill="1" applyAlignment="1">
      <alignment horizontal="center"/>
    </xf>
    <xf numFmtId="0" fontId="9" fillId="2" borderId="0" xfId="2" applyFont="1" applyFill="1" applyAlignment="1">
      <alignment horizontal="center" vertical="center" wrapText="1"/>
    </xf>
    <xf numFmtId="0" fontId="2" fillId="2" borderId="0" xfId="2" applyFont="1" applyFill="1" applyAlignment="1">
      <alignment horizontal="center" vertical="center"/>
    </xf>
    <xf numFmtId="0" fontId="4" fillId="7" borderId="0" xfId="2" applyFont="1" applyFill="1" applyAlignment="1">
      <alignment horizontal="center" vertical="center" wrapText="1"/>
    </xf>
    <xf numFmtId="10" fontId="1" fillId="0" borderId="0" xfId="2" applyNumberFormat="1"/>
    <xf numFmtId="2" fontId="1" fillId="0" borderId="0" xfId="2" applyNumberFormat="1"/>
    <xf numFmtId="2" fontId="4" fillId="8" borderId="0" xfId="2" applyNumberFormat="1" applyFont="1" applyFill="1"/>
    <xf numFmtId="0" fontId="4" fillId="8" borderId="0" xfId="2" applyFont="1" applyFill="1"/>
    <xf numFmtId="2" fontId="4" fillId="7" borderId="0" xfId="2" applyNumberFormat="1" applyFont="1" applyFill="1"/>
    <xf numFmtId="0" fontId="1" fillId="0" borderId="0" xfId="2" applyFill="1" applyBorder="1"/>
    <xf numFmtId="0" fontId="3" fillId="0" borderId="0" xfId="2" applyFont="1" applyFill="1" applyBorder="1" applyAlignment="1">
      <alignment horizontal="center" vertical="center"/>
    </xf>
    <xf numFmtId="4" fontId="4" fillId="0" borderId="0" xfId="2" applyNumberFormat="1" applyFont="1" applyFill="1" applyBorder="1" applyAlignment="1">
      <alignment horizontal="center"/>
    </xf>
    <xf numFmtId="0" fontId="4" fillId="5" borderId="1" xfId="2" applyFont="1" applyFill="1" applyBorder="1" applyAlignment="1">
      <alignment horizontal="center"/>
    </xf>
    <xf numFmtId="0" fontId="4" fillId="6" borderId="1" xfId="2" applyFont="1" applyFill="1" applyBorder="1" applyAlignment="1">
      <alignment horizontal="center"/>
    </xf>
    <xf numFmtId="4" fontId="4" fillId="6" borderId="1" xfId="2" applyNumberFormat="1" applyFont="1" applyFill="1" applyBorder="1" applyAlignment="1">
      <alignment horizontal="center"/>
    </xf>
    <xf numFmtId="0" fontId="10" fillId="9" borderId="0" xfId="2" applyFont="1" applyFill="1" applyAlignment="1">
      <alignment horizontal="center"/>
    </xf>
    <xf numFmtId="0" fontId="10" fillId="9" borderId="0" xfId="2" applyFont="1" applyFill="1"/>
  </cellXfs>
  <cellStyles count="3">
    <cellStyle name="Normal" xfId="0" builtinId="0"/>
    <cellStyle name="Normal 2" xfId="2" xr:uid="{A8840D01-B946-40CC-A769-F3F63ED6DF06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3" Type="http://schemas.openxmlformats.org/officeDocument/2006/relationships/image" Target="../media/image9.png"/><Relationship Id="rId7" Type="http://schemas.openxmlformats.org/officeDocument/2006/relationships/image" Target="../media/image13.png"/><Relationship Id="rId12" Type="http://schemas.openxmlformats.org/officeDocument/2006/relationships/image" Target="../media/image18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11" Type="http://schemas.openxmlformats.org/officeDocument/2006/relationships/image" Target="../media/image17.png"/><Relationship Id="rId5" Type="http://schemas.openxmlformats.org/officeDocument/2006/relationships/image" Target="../media/image11.png"/><Relationship Id="rId10" Type="http://schemas.openxmlformats.org/officeDocument/2006/relationships/image" Target="../media/image16.png"/><Relationship Id="rId4" Type="http://schemas.openxmlformats.org/officeDocument/2006/relationships/image" Target="../media/image10.png"/><Relationship Id="rId9" Type="http://schemas.openxmlformats.org/officeDocument/2006/relationships/image" Target="../media/image1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8658</xdr:colOff>
      <xdr:row>0</xdr:row>
      <xdr:rowOff>123964</xdr:rowOff>
    </xdr:from>
    <xdr:to>
      <xdr:col>16</xdr:col>
      <xdr:colOff>454494</xdr:colOff>
      <xdr:row>0</xdr:row>
      <xdr:rowOff>999963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56BC7DB-9704-C702-EFA6-824714C61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28408" y="123964"/>
          <a:ext cx="5294927" cy="875999"/>
        </a:xfrm>
        <a:prstGeom prst="rect">
          <a:avLst/>
        </a:prstGeom>
      </xdr:spPr>
    </xdr:pic>
    <xdr:clientData/>
  </xdr:twoCellAnchor>
  <xdr:twoCellAnchor>
    <xdr:from>
      <xdr:col>7</xdr:col>
      <xdr:colOff>8658</xdr:colOff>
      <xdr:row>0</xdr:row>
      <xdr:rowOff>640773</xdr:rowOff>
    </xdr:from>
    <xdr:to>
      <xdr:col>13</xdr:col>
      <xdr:colOff>277091</xdr:colOff>
      <xdr:row>0</xdr:row>
      <xdr:rowOff>649432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2C1FD830-4B8D-F955-5139-1AE3DA7C8A76}"/>
            </a:ext>
          </a:extLst>
        </xdr:cNvPr>
        <xdr:cNvCxnSpPr/>
      </xdr:nvCxnSpPr>
      <xdr:spPr>
        <a:xfrm flipV="1">
          <a:off x="5022272" y="640773"/>
          <a:ext cx="3905251" cy="8659"/>
        </a:xfrm>
        <a:prstGeom prst="straightConnector1">
          <a:avLst/>
        </a:prstGeom>
        <a:ln>
          <a:solidFill>
            <a:srgbClr val="7030A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34637</xdr:colOff>
      <xdr:row>3</xdr:row>
      <xdr:rowOff>61347</xdr:rowOff>
    </xdr:from>
    <xdr:to>
      <xdr:col>19</xdr:col>
      <xdr:colOff>39935</xdr:colOff>
      <xdr:row>12</xdr:row>
      <xdr:rowOff>145046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000CF2F7-F7D1-C086-751D-F56FB0166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54387" y="1446802"/>
          <a:ext cx="6672798" cy="1746244"/>
        </a:xfrm>
        <a:prstGeom prst="rect">
          <a:avLst/>
        </a:prstGeom>
      </xdr:spPr>
    </xdr:pic>
    <xdr:clientData/>
  </xdr:twoCellAnchor>
  <xdr:twoCellAnchor editAs="oneCell">
    <xdr:from>
      <xdr:col>8</xdr:col>
      <xdr:colOff>112567</xdr:colOff>
      <xdr:row>15</xdr:row>
      <xdr:rowOff>85181</xdr:rowOff>
    </xdr:from>
    <xdr:to>
      <xdr:col>13</xdr:col>
      <xdr:colOff>302365</xdr:colOff>
      <xdr:row>22</xdr:row>
      <xdr:rowOff>36127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452A7FAA-6150-A7FB-79AC-148C13BAB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32317" y="3626749"/>
          <a:ext cx="3220480" cy="1102605"/>
        </a:xfrm>
        <a:prstGeom prst="rect">
          <a:avLst/>
        </a:prstGeom>
      </xdr:spPr>
    </xdr:pic>
    <xdr:clientData/>
  </xdr:twoCellAnchor>
  <xdr:twoCellAnchor editAs="oneCell">
    <xdr:from>
      <xdr:col>8</xdr:col>
      <xdr:colOff>95249</xdr:colOff>
      <xdr:row>24</xdr:row>
      <xdr:rowOff>99495</xdr:rowOff>
    </xdr:from>
    <xdr:to>
      <xdr:col>15</xdr:col>
      <xdr:colOff>279692</xdr:colOff>
      <xdr:row>39</xdr:row>
      <xdr:rowOff>47154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A5B62237-E781-CCC5-70F4-4DCF7B6FA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06340" y="5121768"/>
          <a:ext cx="4427397" cy="2415500"/>
        </a:xfrm>
        <a:prstGeom prst="rect">
          <a:avLst/>
        </a:prstGeom>
      </xdr:spPr>
    </xdr:pic>
    <xdr:clientData/>
  </xdr:twoCellAnchor>
  <xdr:twoCellAnchor editAs="oneCell">
    <xdr:from>
      <xdr:col>8</xdr:col>
      <xdr:colOff>86589</xdr:colOff>
      <xdr:row>41</xdr:row>
      <xdr:rowOff>69198</xdr:rowOff>
    </xdr:from>
    <xdr:to>
      <xdr:col>19</xdr:col>
      <xdr:colOff>444554</xdr:colOff>
      <xdr:row>62</xdr:row>
      <xdr:rowOff>111877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6F20CB24-8A2F-D448-3B43-385278AB16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97680" y="7888357"/>
          <a:ext cx="7025465" cy="3497656"/>
        </a:xfrm>
        <a:prstGeom prst="rect">
          <a:avLst/>
        </a:prstGeom>
      </xdr:spPr>
    </xdr:pic>
    <xdr:clientData/>
  </xdr:twoCellAnchor>
  <xdr:twoCellAnchor editAs="oneCell">
    <xdr:from>
      <xdr:col>8</xdr:col>
      <xdr:colOff>138545</xdr:colOff>
      <xdr:row>65</xdr:row>
      <xdr:rowOff>63641</xdr:rowOff>
    </xdr:from>
    <xdr:to>
      <xdr:col>19</xdr:col>
      <xdr:colOff>290042</xdr:colOff>
      <xdr:row>82</xdr:row>
      <xdr:rowOff>86591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42A95D4A-6FDB-FE2A-5E79-43968633F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749636" y="11831346"/>
          <a:ext cx="6818997" cy="28198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77931</xdr:colOff>
      <xdr:row>2</xdr:row>
      <xdr:rowOff>85777</xdr:rowOff>
    </xdr:from>
    <xdr:to>
      <xdr:col>17</xdr:col>
      <xdr:colOff>204767</xdr:colOff>
      <xdr:row>15</xdr:row>
      <xdr:rowOff>197627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7015C7F-899B-9BED-2CF5-C3813E59B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0863" y="544709"/>
          <a:ext cx="4975927" cy="2510418"/>
        </a:xfrm>
        <a:prstGeom prst="rect">
          <a:avLst/>
        </a:prstGeom>
      </xdr:spPr>
    </xdr:pic>
    <xdr:clientData/>
  </xdr:twoCellAnchor>
  <xdr:twoCellAnchor editAs="oneCell">
    <xdr:from>
      <xdr:col>9</xdr:col>
      <xdr:colOff>86228</xdr:colOff>
      <xdr:row>16</xdr:row>
      <xdr:rowOff>103909</xdr:rowOff>
    </xdr:from>
    <xdr:to>
      <xdr:col>15</xdr:col>
      <xdr:colOff>129886</xdr:colOff>
      <xdr:row>33</xdr:row>
      <xdr:rowOff>96436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AD14440-80DF-1CC4-E4DB-A0435FA62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79160" y="3160568"/>
          <a:ext cx="3680476" cy="2789413"/>
        </a:xfrm>
        <a:prstGeom prst="rect">
          <a:avLst/>
        </a:prstGeom>
      </xdr:spPr>
    </xdr:pic>
    <xdr:clientData/>
  </xdr:twoCellAnchor>
  <xdr:twoCellAnchor editAs="oneCell">
    <xdr:from>
      <xdr:col>15</xdr:col>
      <xdr:colOff>216478</xdr:colOff>
      <xdr:row>16</xdr:row>
      <xdr:rowOff>103909</xdr:rowOff>
    </xdr:from>
    <xdr:to>
      <xdr:col>16</xdr:col>
      <xdr:colOff>589252</xdr:colOff>
      <xdr:row>23</xdr:row>
      <xdr:rowOff>103909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665822E-3B30-48D7-1F53-E5535CDD4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46228" y="3160568"/>
          <a:ext cx="978910" cy="1151659"/>
        </a:xfrm>
        <a:prstGeom prst="rect">
          <a:avLst/>
        </a:prstGeom>
      </xdr:spPr>
    </xdr:pic>
    <xdr:clientData/>
  </xdr:twoCellAnchor>
  <xdr:twoCellAnchor editAs="oneCell">
    <xdr:from>
      <xdr:col>9</xdr:col>
      <xdr:colOff>86591</xdr:colOff>
      <xdr:row>35</xdr:row>
      <xdr:rowOff>69272</xdr:rowOff>
    </xdr:from>
    <xdr:to>
      <xdr:col>14</xdr:col>
      <xdr:colOff>203214</xdr:colOff>
      <xdr:row>56</xdr:row>
      <xdr:rowOff>17317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B1D6300-F1BA-36F9-DD5D-4632E110F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879523" y="6251863"/>
          <a:ext cx="3147305" cy="3403023"/>
        </a:xfrm>
        <a:prstGeom prst="rect">
          <a:avLst/>
        </a:prstGeom>
      </xdr:spPr>
    </xdr:pic>
    <xdr:clientData/>
  </xdr:twoCellAnchor>
  <xdr:twoCellAnchor editAs="oneCell">
    <xdr:from>
      <xdr:col>14</xdr:col>
      <xdr:colOff>554183</xdr:colOff>
      <xdr:row>43</xdr:row>
      <xdr:rowOff>60029</xdr:rowOff>
    </xdr:from>
    <xdr:to>
      <xdr:col>20</xdr:col>
      <xdr:colOff>271261</xdr:colOff>
      <xdr:row>48</xdr:row>
      <xdr:rowOff>141837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5B1078C6-9BFA-F79B-4D1A-7E0283FF2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77797" y="7801256"/>
          <a:ext cx="3353896" cy="904422"/>
        </a:xfrm>
        <a:prstGeom prst="rect">
          <a:avLst/>
        </a:prstGeom>
      </xdr:spPr>
    </xdr:pic>
    <xdr:clientData/>
  </xdr:twoCellAnchor>
  <xdr:twoCellAnchor editAs="oneCell">
    <xdr:from>
      <xdr:col>9</xdr:col>
      <xdr:colOff>69271</xdr:colOff>
      <xdr:row>58</xdr:row>
      <xdr:rowOff>46645</xdr:rowOff>
    </xdr:from>
    <xdr:to>
      <xdr:col>17</xdr:col>
      <xdr:colOff>76017</xdr:colOff>
      <xdr:row>65</xdr:row>
      <xdr:rowOff>143472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4AC308CB-EA70-3CC4-AE8C-285FD2C3F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862203" y="10013259"/>
          <a:ext cx="4855837" cy="1248486"/>
        </a:xfrm>
        <a:prstGeom prst="rect">
          <a:avLst/>
        </a:prstGeom>
      </xdr:spPr>
    </xdr:pic>
    <xdr:clientData/>
  </xdr:twoCellAnchor>
  <xdr:twoCellAnchor editAs="oneCell">
    <xdr:from>
      <xdr:col>14</xdr:col>
      <xdr:colOff>372340</xdr:colOff>
      <xdr:row>35</xdr:row>
      <xdr:rowOff>155864</xdr:rowOff>
    </xdr:from>
    <xdr:to>
      <xdr:col>18</xdr:col>
      <xdr:colOff>52557</xdr:colOff>
      <xdr:row>40</xdr:row>
      <xdr:rowOff>142774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A7803F3-2CDF-2B31-24B2-67D1D5701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195954" y="6338455"/>
          <a:ext cx="2104762" cy="809524"/>
        </a:xfrm>
        <a:prstGeom prst="rect">
          <a:avLst/>
        </a:prstGeom>
      </xdr:spPr>
    </xdr:pic>
    <xdr:clientData/>
  </xdr:twoCellAnchor>
  <xdr:twoCellAnchor>
    <xdr:from>
      <xdr:col>13</xdr:col>
      <xdr:colOff>363682</xdr:colOff>
      <xdr:row>45</xdr:row>
      <xdr:rowOff>147204</xdr:rowOff>
    </xdr:from>
    <xdr:to>
      <xdr:col>17</xdr:col>
      <xdr:colOff>69272</xdr:colOff>
      <xdr:row>46</xdr:row>
      <xdr:rowOff>0</xdr:rowOff>
    </xdr:to>
    <xdr:cxnSp macro="">
      <xdr:nvCxnSpPr>
        <xdr:cNvPr id="9" name="Conector de Seta Reta 8">
          <a:extLst>
            <a:ext uri="{FF2B5EF4-FFF2-40B4-BE49-F238E27FC236}">
              <a16:creationId xmlns:a16="http://schemas.microsoft.com/office/drawing/2014/main" id="{4B32F6E8-76F2-419E-B2EF-E0D344A61D24}"/>
            </a:ext>
          </a:extLst>
        </xdr:cNvPr>
        <xdr:cNvCxnSpPr/>
      </xdr:nvCxnSpPr>
      <xdr:spPr>
        <a:xfrm flipV="1">
          <a:off x="8581159" y="8217477"/>
          <a:ext cx="2130136" cy="17318"/>
        </a:xfrm>
        <a:prstGeom prst="straightConnector1">
          <a:avLst/>
        </a:prstGeom>
        <a:ln>
          <a:solidFill>
            <a:srgbClr val="7030A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69273</xdr:colOff>
      <xdr:row>83</xdr:row>
      <xdr:rowOff>82055</xdr:rowOff>
    </xdr:from>
    <xdr:to>
      <xdr:col>16</xdr:col>
      <xdr:colOff>389453</xdr:colOff>
      <xdr:row>90</xdr:row>
      <xdr:rowOff>105365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F63EA7FA-1138-15D4-AC69-61F181973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862205" y="14404191"/>
          <a:ext cx="4563134" cy="1174969"/>
        </a:xfrm>
        <a:prstGeom prst="rect">
          <a:avLst/>
        </a:prstGeom>
      </xdr:spPr>
    </xdr:pic>
    <xdr:clientData/>
  </xdr:twoCellAnchor>
  <xdr:twoCellAnchor editAs="oneCell">
    <xdr:from>
      <xdr:col>9</xdr:col>
      <xdr:colOff>86591</xdr:colOff>
      <xdr:row>68</xdr:row>
      <xdr:rowOff>67456</xdr:rowOff>
    </xdr:from>
    <xdr:to>
      <xdr:col>17</xdr:col>
      <xdr:colOff>285750</xdr:colOff>
      <xdr:row>81</xdr:row>
      <xdr:rowOff>121907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D044C120-183B-AAEE-0192-0EA074E47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879523" y="11921751"/>
          <a:ext cx="5048250" cy="2193247"/>
        </a:xfrm>
        <a:prstGeom prst="rect">
          <a:avLst/>
        </a:prstGeom>
      </xdr:spPr>
    </xdr:pic>
    <xdr:clientData/>
  </xdr:twoCellAnchor>
  <xdr:twoCellAnchor editAs="oneCell">
    <xdr:from>
      <xdr:col>9</xdr:col>
      <xdr:colOff>51954</xdr:colOff>
      <xdr:row>92</xdr:row>
      <xdr:rowOff>88049</xdr:rowOff>
    </xdr:from>
    <xdr:to>
      <xdr:col>17</xdr:col>
      <xdr:colOff>501322</xdr:colOff>
      <xdr:row>108</xdr:row>
      <xdr:rowOff>14283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B3C2D1C-858B-ED29-9443-92DC87FDA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844886" y="15890890"/>
          <a:ext cx="5298459" cy="2558598"/>
        </a:xfrm>
        <a:prstGeom prst="rect">
          <a:avLst/>
        </a:prstGeom>
      </xdr:spPr>
    </xdr:pic>
    <xdr:clientData/>
  </xdr:twoCellAnchor>
  <xdr:twoCellAnchor editAs="oneCell">
    <xdr:from>
      <xdr:col>9</xdr:col>
      <xdr:colOff>34636</xdr:colOff>
      <xdr:row>110</xdr:row>
      <xdr:rowOff>60614</xdr:rowOff>
    </xdr:from>
    <xdr:to>
      <xdr:col>11</xdr:col>
      <xdr:colOff>327126</xdr:colOff>
      <xdr:row>113</xdr:row>
      <xdr:rowOff>119427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59C16C58-D6FC-0BD0-6446-C1F7ADE0B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827568" y="18824864"/>
          <a:ext cx="1504762" cy="552381"/>
        </a:xfrm>
        <a:prstGeom prst="rect">
          <a:avLst/>
        </a:prstGeom>
      </xdr:spPr>
    </xdr:pic>
    <xdr:clientData/>
  </xdr:twoCellAnchor>
  <xdr:twoCellAnchor editAs="oneCell">
    <xdr:from>
      <xdr:col>11</xdr:col>
      <xdr:colOff>536863</xdr:colOff>
      <xdr:row>110</xdr:row>
      <xdr:rowOff>51955</xdr:rowOff>
    </xdr:from>
    <xdr:to>
      <xdr:col>14</xdr:col>
      <xdr:colOff>337501</xdr:colOff>
      <xdr:row>113</xdr:row>
      <xdr:rowOff>129816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27BC835E-8BE8-2DCC-8AD3-FCC72B264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542068" y="18816205"/>
          <a:ext cx="1619048" cy="57142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76200</xdr:rowOff>
    </xdr:from>
    <xdr:to>
      <xdr:col>6</xdr:col>
      <xdr:colOff>0</xdr:colOff>
      <xdr:row>6</xdr:row>
      <xdr:rowOff>142875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1B0E9F57-BD48-49AB-9688-51D882203F1C}"/>
            </a:ext>
          </a:extLst>
        </xdr:cNvPr>
        <xdr:cNvSpPr>
          <a:spLocks/>
        </xdr:cNvSpPr>
      </xdr:nvSpPr>
      <xdr:spPr bwMode="auto">
        <a:xfrm>
          <a:off x="4800600" y="695325"/>
          <a:ext cx="0" cy="581025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</xdr:row>
      <xdr:rowOff>0</xdr:rowOff>
    </xdr:from>
    <xdr:to>
      <xdr:col>6</xdr:col>
      <xdr:colOff>0</xdr:colOff>
      <xdr:row>6</xdr:row>
      <xdr:rowOff>38100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6A361C83-9FD1-4BCD-938E-2BFDE61CEE8E}"/>
            </a:ext>
          </a:extLst>
        </xdr:cNvPr>
        <xdr:cNvSpPr txBox="1">
          <a:spLocks noChangeArrowheads="1"/>
        </xdr:cNvSpPr>
      </xdr:nvSpPr>
      <xdr:spPr bwMode="auto">
        <a:xfrm>
          <a:off x="4800600" y="809625"/>
          <a:ext cx="0" cy="3619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pt-BR" sz="1000" b="1" i="0" strike="noStrike">
              <a:solidFill>
                <a:srgbClr val="000000"/>
              </a:solidFill>
              <a:latin typeface="Arial"/>
              <a:cs typeface="Arial"/>
            </a:rPr>
            <a:t>Área de Critério</a:t>
          </a:r>
        </a:p>
      </xdr:txBody>
    </xdr:sp>
    <xdr:clientData/>
  </xdr:twoCellAnchor>
  <xdr:twoCellAnchor>
    <xdr:from>
      <xdr:col>6</xdr:col>
      <xdr:colOff>0</xdr:colOff>
      <xdr:row>8</xdr:row>
      <xdr:rowOff>152400</xdr:rowOff>
    </xdr:from>
    <xdr:to>
      <xdr:col>6</xdr:col>
      <xdr:colOff>0</xdr:colOff>
      <xdr:row>14</xdr:row>
      <xdr:rowOff>9525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E15F3652-F14A-4B04-BEBC-3DE340C4F0E1}"/>
            </a:ext>
          </a:extLst>
        </xdr:cNvPr>
        <xdr:cNvSpPr>
          <a:spLocks/>
        </xdr:cNvSpPr>
      </xdr:nvSpPr>
      <xdr:spPr bwMode="auto">
        <a:xfrm>
          <a:off x="4800600" y="1609725"/>
          <a:ext cx="0" cy="828675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10</xdr:row>
      <xdr:rowOff>57150</xdr:rowOff>
    </xdr:from>
    <xdr:to>
      <xdr:col>6</xdr:col>
      <xdr:colOff>0</xdr:colOff>
      <xdr:row>12</xdr:row>
      <xdr:rowOff>38100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0BDB4BCD-33C6-42A3-9D89-815249D94B5F}"/>
            </a:ext>
          </a:extLst>
        </xdr:cNvPr>
        <xdr:cNvSpPr txBox="1">
          <a:spLocks noChangeArrowheads="1"/>
        </xdr:cNvSpPr>
      </xdr:nvSpPr>
      <xdr:spPr bwMode="auto">
        <a:xfrm>
          <a:off x="4800600" y="1838325"/>
          <a:ext cx="0" cy="304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pt-BR" sz="1000" b="1" i="0" strike="noStrike">
              <a:solidFill>
                <a:srgbClr val="000000"/>
              </a:solidFill>
              <a:latin typeface="Arial"/>
              <a:cs typeface="Arial"/>
            </a:rPr>
            <a:t>Área de Extração</a:t>
          </a:r>
        </a:p>
      </xdr:txBody>
    </xdr:sp>
    <xdr:clientData/>
  </xdr:twoCellAnchor>
  <xdr:twoCellAnchor>
    <xdr:from>
      <xdr:col>1</xdr:col>
      <xdr:colOff>133350</xdr:colOff>
      <xdr:row>16</xdr:row>
      <xdr:rowOff>0</xdr:rowOff>
    </xdr:from>
    <xdr:to>
      <xdr:col>5</xdr:col>
      <xdr:colOff>314325</xdr:colOff>
      <xdr:row>16</xdr:row>
      <xdr:rowOff>0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5A016335-45EC-4271-90F8-BDD2A6E03A1F}"/>
            </a:ext>
          </a:extLst>
        </xdr:cNvPr>
        <xdr:cNvSpPr>
          <a:spLocks/>
        </xdr:cNvSpPr>
      </xdr:nvSpPr>
      <xdr:spPr bwMode="auto">
        <a:xfrm rot="5400000">
          <a:off x="2700338" y="976312"/>
          <a:ext cx="0" cy="3552825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266700</xdr:colOff>
      <xdr:row>16</xdr:row>
      <xdr:rowOff>0</xdr:rowOff>
    </xdr:from>
    <xdr:to>
      <xdr:col>5</xdr:col>
      <xdr:colOff>552450</xdr:colOff>
      <xdr:row>16</xdr:row>
      <xdr:rowOff>0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374E0781-8D10-473A-8CE5-86900D5A2909}"/>
            </a:ext>
          </a:extLst>
        </xdr:cNvPr>
        <xdr:cNvSpPr txBox="1">
          <a:spLocks noChangeArrowheads="1"/>
        </xdr:cNvSpPr>
      </xdr:nvSpPr>
      <xdr:spPr bwMode="auto">
        <a:xfrm>
          <a:off x="1057275" y="2752725"/>
          <a:ext cx="36576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pt-BR" sz="1000" b="0" i="0" strike="noStrike">
              <a:solidFill>
                <a:srgbClr val="000000"/>
              </a:solidFill>
              <a:latin typeface="Arial"/>
              <a:cs typeface="Arial"/>
            </a:rPr>
            <a:t>Área de Entrada = Base de Dados</a:t>
          </a:r>
        </a:p>
      </xdr:txBody>
    </xdr:sp>
    <xdr:clientData/>
  </xdr:twoCellAnchor>
  <xdr:twoCellAnchor>
    <xdr:from>
      <xdr:col>1</xdr:col>
      <xdr:colOff>266700</xdr:colOff>
      <xdr:row>16</xdr:row>
      <xdr:rowOff>0</xdr:rowOff>
    </xdr:from>
    <xdr:to>
      <xdr:col>5</xdr:col>
      <xdr:colOff>552450</xdr:colOff>
      <xdr:row>16</xdr:row>
      <xdr:rowOff>0</xdr:rowOff>
    </xdr:to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AC0B2838-496B-463C-86C7-399532CCE960}"/>
            </a:ext>
          </a:extLst>
        </xdr:cNvPr>
        <xdr:cNvSpPr txBox="1">
          <a:spLocks noChangeArrowheads="1"/>
        </xdr:cNvSpPr>
      </xdr:nvSpPr>
      <xdr:spPr bwMode="auto">
        <a:xfrm>
          <a:off x="1057275" y="2752725"/>
          <a:ext cx="36576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pt-BR" sz="1000" b="0" i="0" strike="noStrike">
              <a:solidFill>
                <a:srgbClr val="000000"/>
              </a:solidFill>
              <a:latin typeface="Arial"/>
              <a:cs typeface="Arial"/>
            </a:rPr>
            <a:t>Área de Entrada = Base de Dados</a:t>
          </a:r>
        </a:p>
      </xdr:txBody>
    </xdr:sp>
    <xdr:clientData/>
  </xdr:twoCellAnchor>
  <xdr:twoCellAnchor editAs="oneCell">
    <xdr:from>
      <xdr:col>14</xdr:col>
      <xdr:colOff>47625</xdr:colOff>
      <xdr:row>26</xdr:row>
      <xdr:rowOff>47625</xdr:rowOff>
    </xdr:from>
    <xdr:to>
      <xdr:col>21</xdr:col>
      <xdr:colOff>189908</xdr:colOff>
      <xdr:row>41</xdr:row>
      <xdr:rowOff>123505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A69E879A-2E16-C08E-C97B-52E4A3223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77325" y="4533900"/>
          <a:ext cx="4733333" cy="2561905"/>
        </a:xfrm>
        <a:prstGeom prst="rect">
          <a:avLst/>
        </a:prstGeom>
      </xdr:spPr>
    </xdr:pic>
    <xdr:clientData/>
  </xdr:twoCellAnchor>
  <xdr:twoCellAnchor>
    <xdr:from>
      <xdr:col>15</xdr:col>
      <xdr:colOff>561975</xdr:colOff>
      <xdr:row>31</xdr:row>
      <xdr:rowOff>9525</xdr:rowOff>
    </xdr:from>
    <xdr:to>
      <xdr:col>18</xdr:col>
      <xdr:colOff>600075</xdr:colOff>
      <xdr:row>35</xdr:row>
      <xdr:rowOff>38100</xdr:rowOff>
    </xdr:to>
    <xdr:cxnSp macro="">
      <xdr:nvCxnSpPr>
        <xdr:cNvPr id="10" name="Conector de Seta Reta 9">
          <a:extLst>
            <a:ext uri="{FF2B5EF4-FFF2-40B4-BE49-F238E27FC236}">
              <a16:creationId xmlns:a16="http://schemas.microsoft.com/office/drawing/2014/main" id="{531E21E6-572A-4F8D-A853-D0FB8EE99CEF}"/>
            </a:ext>
          </a:extLst>
        </xdr:cNvPr>
        <xdr:cNvCxnSpPr/>
      </xdr:nvCxnSpPr>
      <xdr:spPr>
        <a:xfrm>
          <a:off x="10201275" y="5305425"/>
          <a:ext cx="2190750" cy="676275"/>
        </a:xfrm>
        <a:prstGeom prst="straightConnector1">
          <a:avLst/>
        </a:prstGeom>
        <a:ln>
          <a:solidFill>
            <a:srgbClr val="7030A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600075</xdr:colOff>
      <xdr:row>23</xdr:row>
      <xdr:rowOff>152400</xdr:rowOff>
    </xdr:from>
    <xdr:to>
      <xdr:col>19</xdr:col>
      <xdr:colOff>476251</xdr:colOff>
      <xdr:row>31</xdr:row>
      <xdr:rowOff>17799</xdr:rowOff>
    </xdr:to>
    <xdr:cxnSp macro="">
      <xdr:nvCxnSpPr>
        <xdr:cNvPr id="15" name="Conector de Seta Reta 14">
          <a:extLst>
            <a:ext uri="{FF2B5EF4-FFF2-40B4-BE49-F238E27FC236}">
              <a16:creationId xmlns:a16="http://schemas.microsoft.com/office/drawing/2014/main" id="{03125AAA-E8AD-4926-80C3-9CAD568DA188}"/>
            </a:ext>
          </a:extLst>
        </xdr:cNvPr>
        <xdr:cNvCxnSpPr>
          <a:endCxn id="22" idx="1"/>
        </xdr:cNvCxnSpPr>
      </xdr:nvCxnSpPr>
      <xdr:spPr>
        <a:xfrm>
          <a:off x="3657600" y="4152900"/>
          <a:ext cx="9220201" cy="1160799"/>
        </a:xfrm>
        <a:prstGeom prst="straightConnector1">
          <a:avLst/>
        </a:prstGeom>
        <a:ln>
          <a:solidFill>
            <a:srgbClr val="7030A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390525</xdr:colOff>
      <xdr:row>33</xdr:row>
      <xdr:rowOff>104775</xdr:rowOff>
    </xdr:from>
    <xdr:to>
      <xdr:col>18</xdr:col>
      <xdr:colOff>600075</xdr:colOff>
      <xdr:row>36</xdr:row>
      <xdr:rowOff>95250</xdr:rowOff>
    </xdr:to>
    <xdr:cxnSp macro="">
      <xdr:nvCxnSpPr>
        <xdr:cNvPr id="18" name="Conector de Seta Reta 17">
          <a:extLst>
            <a:ext uri="{FF2B5EF4-FFF2-40B4-BE49-F238E27FC236}">
              <a16:creationId xmlns:a16="http://schemas.microsoft.com/office/drawing/2014/main" id="{3A6A83CD-6DBD-42F9-8ABC-6F5CE198D0F7}"/>
            </a:ext>
          </a:extLst>
        </xdr:cNvPr>
        <xdr:cNvCxnSpPr/>
      </xdr:nvCxnSpPr>
      <xdr:spPr>
        <a:xfrm>
          <a:off x="10029825" y="5724525"/>
          <a:ext cx="2362200" cy="476250"/>
        </a:xfrm>
        <a:prstGeom prst="straightConnector1">
          <a:avLst/>
        </a:prstGeom>
        <a:ln>
          <a:solidFill>
            <a:srgbClr val="7030A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276225</xdr:colOff>
      <xdr:row>36</xdr:row>
      <xdr:rowOff>142875</xdr:rowOff>
    </xdr:from>
    <xdr:to>
      <xdr:col>21</xdr:col>
      <xdr:colOff>542925</xdr:colOff>
      <xdr:row>41</xdr:row>
      <xdr:rowOff>38100</xdr:rowOff>
    </xdr:to>
    <xdr:sp macro="" textlink="">
      <xdr:nvSpPr>
        <xdr:cNvPr id="21" name="Texto Explicativo: Seta para Cima 20">
          <a:extLst>
            <a:ext uri="{FF2B5EF4-FFF2-40B4-BE49-F238E27FC236}">
              <a16:creationId xmlns:a16="http://schemas.microsoft.com/office/drawing/2014/main" id="{1BBF5999-3FB8-3C09-C5FE-7E6F878CFD6B}"/>
            </a:ext>
          </a:extLst>
        </xdr:cNvPr>
        <xdr:cNvSpPr/>
      </xdr:nvSpPr>
      <xdr:spPr>
        <a:xfrm>
          <a:off x="12353925" y="6248400"/>
          <a:ext cx="1485900" cy="704850"/>
        </a:xfrm>
        <a:prstGeom prst="upArrowCallout">
          <a:avLst>
            <a:gd name="adj1" fmla="val 7857"/>
            <a:gd name="adj2" fmla="val 12619"/>
            <a:gd name="adj3" fmla="val 25000"/>
            <a:gd name="adj4" fmla="val 6497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SELECIONAR CÉLULA EM BRANCO.</a:t>
          </a:r>
          <a:endParaRPr lang="pt-BR">
            <a:effectLst/>
          </a:endParaRPr>
        </a:p>
        <a:p>
          <a:pPr algn="l"/>
          <a:endParaRPr lang="pt-BR" sz="1100"/>
        </a:p>
      </xdr:txBody>
    </xdr:sp>
    <xdr:clientData/>
  </xdr:twoCellAnchor>
  <xdr:twoCellAnchor>
    <xdr:from>
      <xdr:col>19</xdr:col>
      <xdr:colOff>476251</xdr:colOff>
      <xdr:row>30</xdr:row>
      <xdr:rowOff>9525</xdr:rowOff>
    </xdr:from>
    <xdr:to>
      <xdr:col>21</xdr:col>
      <xdr:colOff>438151</xdr:colOff>
      <xdr:row>33</xdr:row>
      <xdr:rowOff>47625</xdr:rowOff>
    </xdr:to>
    <xdr:sp macro="" textlink="">
      <xdr:nvSpPr>
        <xdr:cNvPr id="22" name="Texto Explicativo: Seta para Baixo 21">
          <a:extLst>
            <a:ext uri="{FF2B5EF4-FFF2-40B4-BE49-F238E27FC236}">
              <a16:creationId xmlns:a16="http://schemas.microsoft.com/office/drawing/2014/main" id="{9DB84452-D33D-FF61-D11E-0410114A4654}"/>
            </a:ext>
          </a:extLst>
        </xdr:cNvPr>
        <xdr:cNvSpPr/>
      </xdr:nvSpPr>
      <xdr:spPr>
        <a:xfrm>
          <a:off x="12553951" y="5143500"/>
          <a:ext cx="1181100" cy="523875"/>
        </a:xfrm>
        <a:prstGeom prst="downArrowCallout">
          <a:avLst>
            <a:gd name="adj1" fmla="val 10586"/>
            <a:gd name="adj2" fmla="val 12387"/>
            <a:gd name="adj3" fmla="val 25000"/>
            <a:gd name="adj4" fmla="val 6497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BASE DE DADOS</a:t>
          </a:r>
          <a:endParaRPr lang="pt-BR">
            <a:effectLst/>
          </a:endParaRPr>
        </a:p>
        <a:p>
          <a:pPr algn="ctr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FF029-A4B6-48AC-9A16-4F1E9167B841}">
  <dimension ref="A1:M65"/>
  <sheetViews>
    <sheetView zoomScale="110" zoomScaleNormal="110" workbookViewId="0">
      <selection activeCell="F65" sqref="F65"/>
    </sheetView>
  </sheetViews>
  <sheetFormatPr defaultColWidth="9.140625" defaultRowHeight="12.75" x14ac:dyDescent="0.2"/>
  <cols>
    <col min="1" max="1" width="13" style="1" customWidth="1"/>
    <col min="2" max="2" width="10" style="1" bestFit="1" customWidth="1"/>
    <col min="3" max="3" width="9.140625" style="1"/>
    <col min="4" max="4" width="9" style="1" customWidth="1"/>
    <col min="5" max="6" width="9.140625" style="1"/>
    <col min="7" max="7" width="15.85546875" style="1" bestFit="1" customWidth="1"/>
    <col min="8" max="16384" width="9.140625" style="1"/>
  </cols>
  <sheetData>
    <row r="1" spans="1:12" ht="83.25" customHeight="1" x14ac:dyDescent="0.2">
      <c r="A1" s="31" t="s">
        <v>59</v>
      </c>
      <c r="B1" s="31"/>
      <c r="C1" s="31"/>
      <c r="D1" s="31"/>
      <c r="E1" s="31"/>
      <c r="F1" s="31"/>
      <c r="G1" s="31"/>
    </row>
    <row r="3" spans="1:12" x14ac:dyDescent="0.2">
      <c r="I3" s="30" t="s">
        <v>60</v>
      </c>
      <c r="J3" s="30"/>
      <c r="K3" s="30"/>
      <c r="L3" s="30"/>
    </row>
    <row r="5" spans="1:12" ht="15" x14ac:dyDescent="0.2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</row>
    <row r="6" spans="1:12" s="3" customFormat="1" x14ac:dyDescent="0.2">
      <c r="A6" s="22" t="s">
        <v>7</v>
      </c>
      <c r="B6" s="23">
        <v>15</v>
      </c>
      <c r="C6" s="23">
        <v>8</v>
      </c>
      <c r="D6" s="23">
        <v>25</v>
      </c>
      <c r="E6" s="23">
        <v>30</v>
      </c>
      <c r="F6" s="23">
        <f>SUM(B6:E6)</f>
        <v>78</v>
      </c>
      <c r="G6" s="24">
        <f>F6/$B$12</f>
        <v>31.2</v>
      </c>
    </row>
    <row r="7" spans="1:12" s="3" customFormat="1" x14ac:dyDescent="0.2">
      <c r="A7" s="22" t="s">
        <v>8</v>
      </c>
      <c r="B7" s="23">
        <v>20</v>
      </c>
      <c r="C7" s="23">
        <v>14</v>
      </c>
      <c r="D7" s="23">
        <v>30</v>
      </c>
      <c r="E7" s="23">
        <v>15</v>
      </c>
      <c r="F7" s="23">
        <f>SUM(B7:E7)</f>
        <v>79</v>
      </c>
      <c r="G7" s="24">
        <f>F7/$B$12</f>
        <v>31.6</v>
      </c>
    </row>
    <row r="8" spans="1:12" s="3" customFormat="1" x14ac:dyDescent="0.2">
      <c r="A8" s="22" t="s">
        <v>9</v>
      </c>
      <c r="B8" s="23">
        <v>25</v>
      </c>
      <c r="C8" s="23">
        <v>20</v>
      </c>
      <c r="D8" s="23">
        <v>15</v>
      </c>
      <c r="E8" s="23">
        <v>25</v>
      </c>
      <c r="F8" s="23">
        <f>SUM(B8:E8)</f>
        <v>85</v>
      </c>
      <c r="G8" s="24">
        <f t="shared" ref="G8:G9" si="0">F8/$B$12</f>
        <v>34</v>
      </c>
    </row>
    <row r="9" spans="1:12" s="3" customFormat="1" x14ac:dyDescent="0.2">
      <c r="A9" s="22" t="s">
        <v>10</v>
      </c>
      <c r="B9" s="23">
        <v>12</v>
      </c>
      <c r="C9" s="23">
        <v>15</v>
      </c>
      <c r="D9" s="23">
        <v>10</v>
      </c>
      <c r="E9" s="23">
        <v>35</v>
      </c>
      <c r="F9" s="23">
        <f>SUM(B9:E9)</f>
        <v>72</v>
      </c>
      <c r="G9" s="24">
        <f t="shared" si="0"/>
        <v>28.8</v>
      </c>
    </row>
    <row r="10" spans="1:12" s="3" customFormat="1" x14ac:dyDescent="0.2">
      <c r="A10" s="22"/>
      <c r="B10" s="22"/>
      <c r="C10" s="22"/>
      <c r="D10" s="22"/>
      <c r="E10" s="27" t="s">
        <v>5</v>
      </c>
      <c r="F10" s="23">
        <f>SUM(F6:F9)</f>
        <v>314</v>
      </c>
      <c r="G10" s="22"/>
    </row>
    <row r="11" spans="1:12" s="3" customFormat="1" x14ac:dyDescent="0.2">
      <c r="A11" s="22"/>
      <c r="B11" s="22"/>
      <c r="C11" s="22"/>
      <c r="D11" s="22"/>
      <c r="E11" s="22"/>
      <c r="F11" s="22"/>
      <c r="G11" s="22"/>
    </row>
    <row r="12" spans="1:12" s="3" customFormat="1" ht="25.5" x14ac:dyDescent="0.2">
      <c r="A12" s="22" t="s">
        <v>11</v>
      </c>
      <c r="B12" s="24">
        <v>2.5</v>
      </c>
      <c r="C12" s="22"/>
      <c r="D12" s="22"/>
      <c r="E12" s="22"/>
      <c r="F12" s="25" t="s">
        <v>12</v>
      </c>
      <c r="G12" s="26">
        <f>SUM(G6:G9)</f>
        <v>125.6</v>
      </c>
    </row>
    <row r="13" spans="1:12" s="3" customFormat="1" x14ac:dyDescent="0.2"/>
    <row r="14" spans="1:12" s="3" customFormat="1" x14ac:dyDescent="0.2"/>
    <row r="15" spans="1:12" s="3" customFormat="1" x14ac:dyDescent="0.2">
      <c r="A15" s="3" t="s">
        <v>13</v>
      </c>
      <c r="B15" s="29">
        <f>SUM(D17,'Validação de Dados'!A20)</f>
        <v>2000</v>
      </c>
      <c r="I15" s="30" t="s">
        <v>61</v>
      </c>
      <c r="J15" s="30"/>
      <c r="K15" s="30"/>
      <c r="L15" s="30"/>
    </row>
    <row r="16" spans="1:12" s="3" customFormat="1" x14ac:dyDescent="0.2"/>
    <row r="17" spans="2:12" s="3" customFormat="1" x14ac:dyDescent="0.2">
      <c r="B17" s="4"/>
      <c r="D17" s="28">
        <v>1500</v>
      </c>
    </row>
    <row r="24" spans="2:12" x14ac:dyDescent="0.2">
      <c r="I24" s="30" t="s">
        <v>62</v>
      </c>
      <c r="J24" s="30"/>
      <c r="K24" s="30"/>
      <c r="L24" s="30"/>
    </row>
    <row r="41" spans="9:13" x14ac:dyDescent="0.2">
      <c r="I41" s="30" t="s">
        <v>63</v>
      </c>
      <c r="J41" s="30"/>
      <c r="K41" s="30"/>
      <c r="L41" s="30"/>
      <c r="M41" s="30"/>
    </row>
    <row r="65" spans="9:13" x14ac:dyDescent="0.2">
      <c r="I65" s="30" t="s">
        <v>64</v>
      </c>
      <c r="J65" s="30"/>
      <c r="K65" s="30"/>
      <c r="L65" s="30"/>
      <c r="M65" s="30"/>
    </row>
  </sheetData>
  <mergeCells count="6">
    <mergeCell ref="I65:M65"/>
    <mergeCell ref="A1:G1"/>
    <mergeCell ref="I3:L3"/>
    <mergeCell ref="I15:L15"/>
    <mergeCell ref="I24:L24"/>
    <mergeCell ref="I41:M41"/>
  </mergeCells>
  <pageMargins left="0.78740157499999996" right="0.78740157499999996" top="0.984251969" bottom="0.984251969" header="0.49212598499999999" footer="0.49212598499999999"/>
  <pageSetup orientation="portrait" horizontalDpi="4294967294" verticalDpi="1200" r:id="rId1"/>
  <headerFooter alignWithMargins="0"/>
  <cellWatches>
    <cellWatch r="G12"/>
  </cellWatche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DE3FF-1F02-4529-9F07-90F6A28F8C7B}">
  <dimension ref="A1:T110"/>
  <sheetViews>
    <sheetView topLeftCell="A38" zoomScale="110" zoomScaleNormal="110" workbookViewId="0">
      <selection activeCell="H23" sqref="H23"/>
    </sheetView>
  </sheetViews>
  <sheetFormatPr defaultColWidth="9.140625" defaultRowHeight="12.75" x14ac:dyDescent="0.2"/>
  <cols>
    <col min="1" max="1" width="12.140625" style="1" customWidth="1"/>
    <col min="2" max="2" width="9.140625" style="1"/>
    <col min="3" max="3" width="13.140625" style="1" customWidth="1"/>
    <col min="4" max="4" width="12.42578125" style="1" customWidth="1"/>
    <col min="5" max="5" width="7.7109375" style="1" customWidth="1"/>
    <col min="6" max="6" width="9.28515625" style="1" bestFit="1" customWidth="1"/>
    <col min="7" max="7" width="7.5703125" style="1" bestFit="1" customWidth="1"/>
    <col min="8" max="16384" width="9.140625" style="1"/>
  </cols>
  <sheetData>
    <row r="1" spans="1:14" ht="23.25" x14ac:dyDescent="0.2">
      <c r="A1" s="32" t="s">
        <v>14</v>
      </c>
      <c r="B1" s="32"/>
      <c r="C1" s="32"/>
      <c r="D1" s="32"/>
      <c r="E1" s="32"/>
      <c r="F1" s="32"/>
    </row>
    <row r="2" spans="1:14" x14ac:dyDescent="0.2">
      <c r="J2" s="30" t="s">
        <v>14</v>
      </c>
      <c r="K2" s="30"/>
      <c r="L2" s="30"/>
      <c r="M2" s="30"/>
      <c r="N2" s="30"/>
    </row>
    <row r="3" spans="1:14" ht="15" x14ac:dyDescent="0.2">
      <c r="A3" s="5" t="s">
        <v>15</v>
      </c>
    </row>
    <row r="4" spans="1:14" ht="15" x14ac:dyDescent="0.2">
      <c r="A4" s="5" t="s">
        <v>16</v>
      </c>
    </row>
    <row r="6" spans="1:14" ht="13.5" thickBot="1" x14ac:dyDescent="0.25"/>
    <row r="7" spans="1:14" ht="15.75" thickBot="1" x14ac:dyDescent="0.25">
      <c r="A7" s="2" t="s">
        <v>17</v>
      </c>
      <c r="B7" s="2" t="s">
        <v>18</v>
      </c>
      <c r="C7" s="2" t="s">
        <v>19</v>
      </c>
      <c r="D7" s="2" t="s">
        <v>20</v>
      </c>
      <c r="E7" s="2" t="s">
        <v>21</v>
      </c>
      <c r="F7" s="2" t="s">
        <v>5</v>
      </c>
      <c r="H7" s="6" t="s">
        <v>18</v>
      </c>
      <c r="K7" s="7"/>
    </row>
    <row r="8" spans="1:14" ht="15" x14ac:dyDescent="0.25">
      <c r="A8" s="8">
        <v>45056</v>
      </c>
      <c r="B8" s="9" t="s">
        <v>22</v>
      </c>
      <c r="C8" s="1">
        <v>12.5</v>
      </c>
      <c r="D8" s="34">
        <v>5.5E-2</v>
      </c>
      <c r="E8" s="1">
        <v>5</v>
      </c>
      <c r="F8" s="38">
        <f>C8*E8*(1-D8)</f>
        <v>59.0625</v>
      </c>
      <c r="G8" s="29" t="s">
        <v>72</v>
      </c>
      <c r="H8" s="10" t="s">
        <v>22</v>
      </c>
    </row>
    <row r="9" spans="1:14" x14ac:dyDescent="0.2">
      <c r="A9" s="8">
        <v>45057</v>
      </c>
      <c r="B9" s="1" t="s">
        <v>23</v>
      </c>
      <c r="C9" s="1">
        <v>1.2</v>
      </c>
      <c r="D9" s="34">
        <v>0.155</v>
      </c>
      <c r="E9" s="1">
        <v>2</v>
      </c>
      <c r="F9" s="36">
        <f t="shared" ref="F9:F12" si="0">C9*E9-C9*E9*D9</f>
        <v>2.028</v>
      </c>
      <c r="G9" s="37" t="s">
        <v>71</v>
      </c>
      <c r="H9" s="11" t="s">
        <v>23</v>
      </c>
    </row>
    <row r="10" spans="1:14" x14ac:dyDescent="0.2">
      <c r="A10" s="8">
        <v>45058</v>
      </c>
      <c r="B10" s="1" t="s">
        <v>24</v>
      </c>
      <c r="C10" s="1">
        <v>1</v>
      </c>
      <c r="D10" s="34">
        <v>6.3E-2</v>
      </c>
      <c r="E10" s="1">
        <v>17</v>
      </c>
      <c r="F10" s="35">
        <f t="shared" si="0"/>
        <v>15.929</v>
      </c>
      <c r="H10" s="11" t="s">
        <v>24</v>
      </c>
    </row>
    <row r="11" spans="1:14" ht="15" x14ac:dyDescent="0.25">
      <c r="A11" s="8">
        <v>45059</v>
      </c>
      <c r="B11" s="9" t="s">
        <v>25</v>
      </c>
      <c r="C11" s="1">
        <v>12.39</v>
      </c>
      <c r="D11" s="34">
        <v>5.3999999999999999E-2</v>
      </c>
      <c r="E11" s="1">
        <v>13</v>
      </c>
      <c r="F11" s="35">
        <f t="shared" si="0"/>
        <v>152.37222</v>
      </c>
      <c r="H11" s="11" t="s">
        <v>25</v>
      </c>
    </row>
    <row r="12" spans="1:14" ht="15" customHeight="1" x14ac:dyDescent="0.2">
      <c r="A12" s="8">
        <v>45060</v>
      </c>
      <c r="B12" s="1" t="s">
        <v>22</v>
      </c>
      <c r="C12" s="1">
        <v>1.6</v>
      </c>
      <c r="D12" s="34">
        <v>8.1699999999999995E-2</v>
      </c>
      <c r="E12" s="1">
        <v>12</v>
      </c>
      <c r="F12" s="35">
        <f t="shared" si="0"/>
        <v>17.631360000000004</v>
      </c>
    </row>
    <row r="13" spans="1:14" ht="14.25" customHeight="1" x14ac:dyDescent="0.2">
      <c r="A13" s="8"/>
    </row>
    <row r="14" spans="1:14" s="13" customFormat="1" ht="15.75" x14ac:dyDescent="0.25">
      <c r="A14" s="12" t="s">
        <v>26</v>
      </c>
    </row>
    <row r="15" spans="1:14" s="13" customFormat="1" ht="15.75" x14ac:dyDescent="0.25">
      <c r="A15" s="12" t="s">
        <v>27</v>
      </c>
    </row>
    <row r="16" spans="1:14" ht="15.75" x14ac:dyDescent="0.25">
      <c r="A16" s="12" t="s">
        <v>28</v>
      </c>
    </row>
    <row r="20" spans="1:1" x14ac:dyDescent="0.2">
      <c r="A20" s="28">
        <v>500</v>
      </c>
    </row>
    <row r="35" spans="15:20" ht="32.25" customHeight="1" x14ac:dyDescent="0.2">
      <c r="O35" s="33" t="s">
        <v>66</v>
      </c>
      <c r="P35" s="33"/>
      <c r="Q35" s="33"/>
      <c r="R35" s="33"/>
      <c r="S35" s="33"/>
      <c r="T35" s="33"/>
    </row>
    <row r="58" spans="10:15" x14ac:dyDescent="0.2">
      <c r="J58" s="30" t="s">
        <v>65</v>
      </c>
      <c r="K58" s="30"/>
      <c r="L58" s="30"/>
      <c r="M58" s="30"/>
      <c r="N58" s="30"/>
      <c r="O58" s="30"/>
    </row>
    <row r="68" spans="10:15" x14ac:dyDescent="0.2">
      <c r="J68" s="30" t="s">
        <v>68</v>
      </c>
      <c r="K68" s="30"/>
      <c r="L68" s="30"/>
      <c r="M68" s="30"/>
      <c r="N68" s="30"/>
      <c r="O68" s="30"/>
    </row>
    <row r="83" spans="10:15" x14ac:dyDescent="0.2">
      <c r="J83" s="30" t="s">
        <v>67</v>
      </c>
      <c r="K83" s="30"/>
      <c r="L83" s="30"/>
      <c r="M83" s="30"/>
      <c r="N83" s="30"/>
      <c r="O83" s="30"/>
    </row>
    <row r="92" spans="10:15" x14ac:dyDescent="0.2">
      <c r="J92" s="30" t="s">
        <v>69</v>
      </c>
      <c r="K92" s="30"/>
      <c r="L92" s="30"/>
      <c r="M92" s="30"/>
      <c r="N92" s="30"/>
      <c r="O92" s="30"/>
    </row>
    <row r="110" spans="10:15" x14ac:dyDescent="0.2">
      <c r="J110" s="30" t="s">
        <v>70</v>
      </c>
      <c r="K110" s="30"/>
      <c r="L110" s="30"/>
      <c r="M110" s="30"/>
      <c r="N110" s="30"/>
      <c r="O110" s="30"/>
    </row>
  </sheetData>
  <mergeCells count="8">
    <mergeCell ref="J92:O92"/>
    <mergeCell ref="J110:O110"/>
    <mergeCell ref="A1:F1"/>
    <mergeCell ref="J2:N2"/>
    <mergeCell ref="J58:O58"/>
    <mergeCell ref="O35:T35"/>
    <mergeCell ref="J83:O83"/>
    <mergeCell ref="J68:O68"/>
  </mergeCells>
  <dataValidations xWindow="417" yWindow="413" count="6">
    <dataValidation type="date" allowBlank="1" showInputMessage="1" showErrorMessage="1" errorTitle="Erro" error="Está tentando digitando uma data inválida." promptTitle="Digite a Data" prompt="A data deve estar entre 10/05/2023 e 25/05/2023" sqref="A8:A13" xr:uid="{A92A8B0E-E645-4143-96B8-271CE0E26D3C}">
      <formula1>45056</formula1>
      <formula2>45066</formula2>
    </dataValidation>
    <dataValidation type="list" allowBlank="1" showInputMessage="1" showErrorMessage="1" sqref="B13" xr:uid="{7F5701CE-44A6-4E25-8582-1606A4761EFB}">
      <formula1>$H$8:$H$11</formula1>
    </dataValidation>
    <dataValidation type="list" allowBlank="1" showInputMessage="1" showErrorMessage="1" promptTitle="Escolha um produto" prompt="O produto deve ser selecionado na lista" sqref="B8:B12" xr:uid="{DEC49E3F-753D-4F63-B611-A833AA2DF65C}">
      <formula1>$H$8:$H$11</formula1>
    </dataValidation>
    <dataValidation type="decimal" allowBlank="1" showInputMessage="1" showErrorMessage="1" errorTitle="Informar Valor Válido" promptTitle="Insira o preço" prompt="Informe o preço do produto." sqref="C8:C12" xr:uid="{E75ADE35-C74D-423C-8BB6-47F48B52AFF4}">
      <formula1>1</formula1>
      <formula2>100</formula2>
    </dataValidation>
    <dataValidation type="decimal" allowBlank="1" showInputMessage="1" showErrorMessage="1" promptTitle="Informe o % desconto" prompt="Percentual do desconto deve estar entre 5% e 20%" sqref="D8:D12" xr:uid="{7C3280DA-D518-482F-B35D-00634A3B0457}">
      <formula1>0.05</formula1>
      <formula2>0.2</formula2>
    </dataValidation>
    <dataValidation type="whole" allowBlank="1" showInputMessage="1" showErrorMessage="1" promptTitle="Informe a quantidade" prompt="Informe a quantidade da compra, entre 1 e 20." sqref="E8:E12" xr:uid="{74217FB8-E1ED-4BB8-83AA-1C540F9A8536}">
      <formula1>1</formula1>
      <formula2>20</formula2>
    </dataValidation>
  </dataValidations>
  <pageMargins left="0.78740157499999996" right="0.78740157499999996" top="0.984251969" bottom="0.984251969" header="0.49212598499999999" footer="0.49212598499999999"/>
  <pageSetup orientation="portrait" horizontalDpi="4294967294" verticalDpi="1693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75C19-C100-4723-9B6F-94864DE338EA}">
  <dimension ref="A1:T58"/>
  <sheetViews>
    <sheetView tabSelected="1" topLeftCell="A35" zoomScaleNormal="100" workbookViewId="0">
      <selection activeCell="J36" sqref="J36"/>
    </sheetView>
  </sheetViews>
  <sheetFormatPr defaultColWidth="9.140625" defaultRowHeight="12.75" x14ac:dyDescent="0.2"/>
  <cols>
    <col min="1" max="2" width="9.5703125" style="1" bestFit="1" customWidth="1"/>
    <col min="3" max="3" width="9.85546875" style="1" bestFit="1" customWidth="1"/>
    <col min="4" max="4" width="13.85546875" style="1" bestFit="1" customWidth="1"/>
    <col min="5" max="5" width="5.42578125" style="1" bestFit="1" customWidth="1"/>
    <col min="6" max="6" width="9.140625" style="1" bestFit="1" customWidth="1"/>
    <col min="7" max="7" width="6.28515625" style="1" customWidth="1"/>
    <col min="8" max="8" width="13.85546875" style="1" bestFit="1" customWidth="1"/>
    <col min="9" max="9" width="9.140625" style="1"/>
    <col min="10" max="10" width="9.85546875" style="1" bestFit="1" customWidth="1"/>
    <col min="11" max="11" width="13.85546875" style="1" bestFit="1" customWidth="1"/>
    <col min="12" max="13" width="9.140625" style="1"/>
    <col min="14" max="14" width="9.140625" style="39"/>
    <col min="15" max="16" width="9.140625" style="1"/>
    <col min="17" max="17" width="9.28515625" style="1" bestFit="1" customWidth="1"/>
    <col min="18" max="18" width="13.85546875" style="1" bestFit="1" customWidth="1"/>
    <col min="19" max="16384" width="9.140625" style="1"/>
  </cols>
  <sheetData>
    <row r="1" spans="1:20" ht="23.25" x14ac:dyDescent="0.2">
      <c r="A1" s="32" t="s">
        <v>29</v>
      </c>
      <c r="B1" s="32"/>
      <c r="C1" s="32"/>
      <c r="D1" s="32"/>
      <c r="E1" s="32"/>
      <c r="F1" s="32"/>
    </row>
    <row r="4" spans="1:20" ht="15" x14ac:dyDescent="0.2">
      <c r="A4" s="14" t="s">
        <v>30</v>
      </c>
      <c r="B4" s="14" t="s">
        <v>31</v>
      </c>
      <c r="C4" s="14" t="s">
        <v>32</v>
      </c>
      <c r="D4" s="14" t="s">
        <v>33</v>
      </c>
      <c r="E4" s="14" t="s">
        <v>34</v>
      </c>
      <c r="F4" s="15" t="s">
        <v>35</v>
      </c>
      <c r="H4" s="2" t="s">
        <v>30</v>
      </c>
      <c r="O4" s="2" t="s">
        <v>32</v>
      </c>
    </row>
    <row r="5" spans="1:20" x14ac:dyDescent="0.2">
      <c r="A5" s="16" t="s">
        <v>36</v>
      </c>
      <c r="B5" s="16" t="s">
        <v>37</v>
      </c>
      <c r="C5" s="16" t="s">
        <v>38</v>
      </c>
      <c r="D5" s="16" t="s">
        <v>39</v>
      </c>
      <c r="E5" s="16">
        <v>2014</v>
      </c>
      <c r="F5" s="17">
        <v>23000</v>
      </c>
      <c r="H5" s="42" t="s">
        <v>36</v>
      </c>
      <c r="O5" s="42" t="s">
        <v>38</v>
      </c>
    </row>
    <row r="6" spans="1:20" x14ac:dyDescent="0.2">
      <c r="A6" s="18" t="s">
        <v>36</v>
      </c>
      <c r="B6" s="18" t="s">
        <v>37</v>
      </c>
      <c r="C6" s="18" t="s">
        <v>40</v>
      </c>
      <c r="D6" s="18" t="s">
        <v>39</v>
      </c>
      <c r="E6" s="18">
        <v>2014</v>
      </c>
      <c r="F6" s="19">
        <v>21500</v>
      </c>
      <c r="O6" s="42" t="s">
        <v>42</v>
      </c>
    </row>
    <row r="7" spans="1:20" ht="15" x14ac:dyDescent="0.2">
      <c r="A7" s="16" t="s">
        <v>36</v>
      </c>
      <c r="B7" s="16" t="s">
        <v>41</v>
      </c>
      <c r="C7" s="16" t="s">
        <v>42</v>
      </c>
      <c r="D7" s="16" t="s">
        <v>43</v>
      </c>
      <c r="E7" s="16">
        <v>2012</v>
      </c>
      <c r="F7" s="17">
        <v>20000</v>
      </c>
      <c r="H7" s="2" t="s">
        <v>30</v>
      </c>
      <c r="I7" s="2" t="s">
        <v>31</v>
      </c>
      <c r="J7" s="2" t="s">
        <v>32</v>
      </c>
      <c r="K7" s="2" t="s">
        <v>33</v>
      </c>
      <c r="L7" s="2" t="s">
        <v>34</v>
      </c>
      <c r="M7" s="2" t="s">
        <v>35</v>
      </c>
      <c r="N7" s="40"/>
      <c r="O7" s="43" t="s">
        <v>47</v>
      </c>
    </row>
    <row r="8" spans="1:20" x14ac:dyDescent="0.2">
      <c r="A8" s="18" t="s">
        <v>36</v>
      </c>
      <c r="B8" s="18" t="s">
        <v>44</v>
      </c>
      <c r="C8" s="18" t="s">
        <v>45</v>
      </c>
      <c r="D8" s="18" t="s">
        <v>39</v>
      </c>
      <c r="E8" s="18">
        <v>2014</v>
      </c>
      <c r="F8" s="19">
        <v>35000</v>
      </c>
      <c r="H8" s="42" t="s">
        <v>36</v>
      </c>
      <c r="I8" s="42" t="s">
        <v>37</v>
      </c>
      <c r="J8" s="42" t="s">
        <v>38</v>
      </c>
      <c r="K8" s="42" t="s">
        <v>39</v>
      </c>
      <c r="L8" s="42">
        <v>2014</v>
      </c>
      <c r="M8" s="21">
        <v>23000</v>
      </c>
      <c r="N8" s="41"/>
    </row>
    <row r="9" spans="1:20" ht="15" x14ac:dyDescent="0.2">
      <c r="A9" s="16" t="s">
        <v>36</v>
      </c>
      <c r="B9" s="16" t="s">
        <v>44</v>
      </c>
      <c r="C9" s="16" t="s">
        <v>38</v>
      </c>
      <c r="D9" s="16" t="s">
        <v>39</v>
      </c>
      <c r="E9" s="16">
        <v>2013</v>
      </c>
      <c r="F9" s="17">
        <v>32000</v>
      </c>
      <c r="H9" s="43" t="s">
        <v>36</v>
      </c>
      <c r="I9" s="43" t="s">
        <v>37</v>
      </c>
      <c r="J9" s="43" t="s">
        <v>40</v>
      </c>
      <c r="K9" s="43" t="s">
        <v>39</v>
      </c>
      <c r="L9" s="43">
        <v>2014</v>
      </c>
      <c r="M9" s="44">
        <v>21500</v>
      </c>
      <c r="N9" s="41"/>
      <c r="O9" s="2" t="s">
        <v>30</v>
      </c>
      <c r="P9" s="2" t="s">
        <v>31</v>
      </c>
      <c r="Q9" s="2" t="s">
        <v>32</v>
      </c>
      <c r="R9" s="2" t="s">
        <v>33</v>
      </c>
      <c r="S9" s="2" t="s">
        <v>34</v>
      </c>
      <c r="T9" s="2" t="s">
        <v>35</v>
      </c>
    </row>
    <row r="10" spans="1:20" x14ac:dyDescent="0.2">
      <c r="A10" s="18" t="s">
        <v>36</v>
      </c>
      <c r="B10" s="18" t="s">
        <v>46</v>
      </c>
      <c r="C10" s="18" t="s">
        <v>47</v>
      </c>
      <c r="D10" s="18" t="s">
        <v>39</v>
      </c>
      <c r="E10" s="18">
        <v>2013</v>
      </c>
      <c r="F10" s="19">
        <v>35000</v>
      </c>
      <c r="H10" s="42" t="s">
        <v>36</v>
      </c>
      <c r="I10" s="42" t="s">
        <v>41</v>
      </c>
      <c r="J10" s="42" t="s">
        <v>42</v>
      </c>
      <c r="K10" s="42" t="s">
        <v>43</v>
      </c>
      <c r="L10" s="42">
        <v>2012</v>
      </c>
      <c r="M10" s="21">
        <v>20000</v>
      </c>
      <c r="N10" s="41"/>
      <c r="O10" s="42" t="s">
        <v>36</v>
      </c>
      <c r="P10" s="42" t="s">
        <v>37</v>
      </c>
      <c r="Q10" s="42" t="s">
        <v>38</v>
      </c>
      <c r="R10" s="42" t="s">
        <v>39</v>
      </c>
      <c r="S10" s="42">
        <v>2014</v>
      </c>
      <c r="T10" s="21">
        <v>23000</v>
      </c>
    </row>
    <row r="11" spans="1:20" x14ac:dyDescent="0.2">
      <c r="A11" s="16" t="s">
        <v>36</v>
      </c>
      <c r="B11" s="16" t="s">
        <v>46</v>
      </c>
      <c r="C11" s="16" t="s">
        <v>45</v>
      </c>
      <c r="D11" s="16" t="s">
        <v>43</v>
      </c>
      <c r="E11" s="16">
        <v>2012</v>
      </c>
      <c r="F11" s="17">
        <v>30000</v>
      </c>
      <c r="H11" s="43" t="s">
        <v>36</v>
      </c>
      <c r="I11" s="43" t="s">
        <v>44</v>
      </c>
      <c r="J11" s="43" t="s">
        <v>45</v>
      </c>
      <c r="K11" s="43" t="s">
        <v>39</v>
      </c>
      <c r="L11" s="43">
        <v>2014</v>
      </c>
      <c r="M11" s="44">
        <v>35000</v>
      </c>
      <c r="N11" s="41"/>
      <c r="O11" s="42" t="s">
        <v>36</v>
      </c>
      <c r="P11" s="42" t="s">
        <v>41</v>
      </c>
      <c r="Q11" s="42" t="s">
        <v>42</v>
      </c>
      <c r="R11" s="42" t="s">
        <v>43</v>
      </c>
      <c r="S11" s="42">
        <v>2012</v>
      </c>
      <c r="T11" s="21">
        <v>20000</v>
      </c>
    </row>
    <row r="12" spans="1:20" x14ac:dyDescent="0.2">
      <c r="A12" s="18" t="s">
        <v>48</v>
      </c>
      <c r="B12" s="18" t="s">
        <v>49</v>
      </c>
      <c r="C12" s="18" t="s">
        <v>45</v>
      </c>
      <c r="D12" s="18" t="s">
        <v>43</v>
      </c>
      <c r="E12" s="18">
        <v>2013</v>
      </c>
      <c r="F12" s="19">
        <v>23000</v>
      </c>
      <c r="H12" s="42" t="s">
        <v>36</v>
      </c>
      <c r="I12" s="42" t="s">
        <v>44</v>
      </c>
      <c r="J12" s="42" t="s">
        <v>38</v>
      </c>
      <c r="K12" s="42" t="s">
        <v>39</v>
      </c>
      <c r="L12" s="42">
        <v>2013</v>
      </c>
      <c r="M12" s="21">
        <v>32000</v>
      </c>
      <c r="N12" s="41"/>
      <c r="O12" s="42" t="s">
        <v>36</v>
      </c>
      <c r="P12" s="42" t="s">
        <v>44</v>
      </c>
      <c r="Q12" s="42" t="s">
        <v>38</v>
      </c>
      <c r="R12" s="42" t="s">
        <v>39</v>
      </c>
      <c r="S12" s="42">
        <v>2013</v>
      </c>
      <c r="T12" s="21">
        <v>32000</v>
      </c>
    </row>
    <row r="13" spans="1:20" x14ac:dyDescent="0.2">
      <c r="A13" s="16" t="s">
        <v>48</v>
      </c>
      <c r="B13" s="16" t="s">
        <v>49</v>
      </c>
      <c r="C13" s="16" t="s">
        <v>47</v>
      </c>
      <c r="D13" s="16" t="s">
        <v>43</v>
      </c>
      <c r="E13" s="16">
        <v>2011</v>
      </c>
      <c r="F13" s="17">
        <v>20000</v>
      </c>
      <c r="H13" s="43" t="s">
        <v>36</v>
      </c>
      <c r="I13" s="43" t="s">
        <v>46</v>
      </c>
      <c r="J13" s="43" t="s">
        <v>47</v>
      </c>
      <c r="K13" s="43" t="s">
        <v>39</v>
      </c>
      <c r="L13" s="43">
        <v>2013</v>
      </c>
      <c r="M13" s="44">
        <v>35000</v>
      </c>
      <c r="N13" s="41"/>
      <c r="O13" s="43" t="s">
        <v>36</v>
      </c>
      <c r="P13" s="43" t="s">
        <v>46</v>
      </c>
      <c r="Q13" s="43" t="s">
        <v>47</v>
      </c>
      <c r="R13" s="43" t="s">
        <v>39</v>
      </c>
      <c r="S13" s="43">
        <v>2013</v>
      </c>
      <c r="T13" s="44">
        <v>35000</v>
      </c>
    </row>
    <row r="14" spans="1:20" x14ac:dyDescent="0.2">
      <c r="A14" s="18" t="s">
        <v>48</v>
      </c>
      <c r="B14" s="18" t="s">
        <v>50</v>
      </c>
      <c r="C14" s="18" t="s">
        <v>42</v>
      </c>
      <c r="D14" s="18" t="s">
        <v>39</v>
      </c>
      <c r="E14" s="18">
        <v>2012</v>
      </c>
      <c r="F14" s="19">
        <v>28000</v>
      </c>
      <c r="H14" s="42" t="s">
        <v>36</v>
      </c>
      <c r="I14" s="42" t="s">
        <v>46</v>
      </c>
      <c r="J14" s="42" t="s">
        <v>45</v>
      </c>
      <c r="K14" s="42" t="s">
        <v>43</v>
      </c>
      <c r="L14" s="42">
        <v>2012</v>
      </c>
      <c r="M14" s="21">
        <v>30000</v>
      </c>
      <c r="N14" s="41"/>
      <c r="O14" s="42" t="s">
        <v>48</v>
      </c>
      <c r="P14" s="42" t="s">
        <v>49</v>
      </c>
      <c r="Q14" s="42" t="s">
        <v>47</v>
      </c>
      <c r="R14" s="42" t="s">
        <v>43</v>
      </c>
      <c r="S14" s="42">
        <v>2011</v>
      </c>
      <c r="T14" s="21">
        <v>20000</v>
      </c>
    </row>
    <row r="15" spans="1:20" x14ac:dyDescent="0.2">
      <c r="A15" s="16" t="s">
        <v>48</v>
      </c>
      <c r="B15" s="16" t="s">
        <v>50</v>
      </c>
      <c r="C15" s="16" t="s">
        <v>38</v>
      </c>
      <c r="D15" s="16" t="s">
        <v>39</v>
      </c>
      <c r="E15" s="16">
        <v>2010</v>
      </c>
      <c r="F15" s="17">
        <v>20000</v>
      </c>
      <c r="O15" s="43" t="s">
        <v>48</v>
      </c>
      <c r="P15" s="43" t="s">
        <v>50</v>
      </c>
      <c r="Q15" s="43" t="s">
        <v>42</v>
      </c>
      <c r="R15" s="43" t="s">
        <v>39</v>
      </c>
      <c r="S15" s="43">
        <v>2012</v>
      </c>
      <c r="T15" s="44">
        <v>28000</v>
      </c>
    </row>
    <row r="16" spans="1:20" x14ac:dyDescent="0.2">
      <c r="A16" s="18" t="s">
        <v>48</v>
      </c>
      <c r="B16" s="18" t="s">
        <v>51</v>
      </c>
      <c r="C16" s="18" t="s">
        <v>38</v>
      </c>
      <c r="D16" s="18" t="s">
        <v>39</v>
      </c>
      <c r="E16" s="18">
        <v>2011</v>
      </c>
      <c r="F16" s="19">
        <v>40000</v>
      </c>
      <c r="O16" s="42" t="s">
        <v>48</v>
      </c>
      <c r="P16" s="42" t="s">
        <v>50</v>
      </c>
      <c r="Q16" s="42" t="s">
        <v>38</v>
      </c>
      <c r="R16" s="42" t="s">
        <v>39</v>
      </c>
      <c r="S16" s="42">
        <v>2010</v>
      </c>
      <c r="T16" s="21">
        <v>20000</v>
      </c>
    </row>
    <row r="17" spans="1:20" ht="15" x14ac:dyDescent="0.2">
      <c r="A17" s="16" t="s">
        <v>48</v>
      </c>
      <c r="B17" s="16" t="s">
        <v>51</v>
      </c>
      <c r="C17" s="16" t="s">
        <v>45</v>
      </c>
      <c r="D17" s="16" t="s">
        <v>39</v>
      </c>
      <c r="E17" s="16">
        <v>2010</v>
      </c>
      <c r="F17" s="17">
        <v>38000</v>
      </c>
      <c r="H17" s="2" t="s">
        <v>33</v>
      </c>
      <c r="I17" s="2" t="s">
        <v>34</v>
      </c>
      <c r="O17" s="43" t="s">
        <v>48</v>
      </c>
      <c r="P17" s="43" t="s">
        <v>51</v>
      </c>
      <c r="Q17" s="43" t="s">
        <v>38</v>
      </c>
      <c r="R17" s="43" t="s">
        <v>39</v>
      </c>
      <c r="S17" s="43">
        <v>2011</v>
      </c>
      <c r="T17" s="44">
        <v>40000</v>
      </c>
    </row>
    <row r="18" spans="1:20" x14ac:dyDescent="0.2">
      <c r="A18" s="18" t="s">
        <v>52</v>
      </c>
      <c r="B18" s="18" t="s">
        <v>53</v>
      </c>
      <c r="C18" s="18" t="s">
        <v>54</v>
      </c>
      <c r="D18" s="18" t="s">
        <v>43</v>
      </c>
      <c r="E18" s="18">
        <v>2013</v>
      </c>
      <c r="F18" s="19">
        <v>18500</v>
      </c>
      <c r="H18" s="42" t="s">
        <v>39</v>
      </c>
      <c r="I18" s="11" t="s">
        <v>73</v>
      </c>
      <c r="J18" s="46" t="s">
        <v>78</v>
      </c>
      <c r="O18" s="43" t="s">
        <v>52</v>
      </c>
      <c r="P18" s="43" t="s">
        <v>53</v>
      </c>
      <c r="Q18" s="43" t="s">
        <v>38</v>
      </c>
      <c r="R18" s="43" t="s">
        <v>39</v>
      </c>
      <c r="S18" s="43">
        <v>2012</v>
      </c>
      <c r="T18" s="44">
        <v>25300</v>
      </c>
    </row>
    <row r="19" spans="1:20" x14ac:dyDescent="0.2">
      <c r="A19" s="16" t="s">
        <v>52</v>
      </c>
      <c r="B19" s="16" t="s">
        <v>55</v>
      </c>
      <c r="C19" s="16" t="s">
        <v>54</v>
      </c>
      <c r="D19" s="16" t="s">
        <v>43</v>
      </c>
      <c r="E19" s="16">
        <v>2010</v>
      </c>
      <c r="F19" s="17">
        <v>27500</v>
      </c>
      <c r="O19" s="42" t="s">
        <v>52</v>
      </c>
      <c r="P19" s="42" t="s">
        <v>55</v>
      </c>
      <c r="Q19" s="42" t="s">
        <v>38</v>
      </c>
      <c r="R19" s="42" t="s">
        <v>39</v>
      </c>
      <c r="S19" s="42">
        <v>2011</v>
      </c>
      <c r="T19" s="21">
        <v>28500</v>
      </c>
    </row>
    <row r="20" spans="1:20" ht="15" x14ac:dyDescent="0.2">
      <c r="A20" s="18" t="s">
        <v>52</v>
      </c>
      <c r="B20" s="18" t="s">
        <v>53</v>
      </c>
      <c r="C20" s="18" t="s">
        <v>38</v>
      </c>
      <c r="D20" s="18" t="s">
        <v>39</v>
      </c>
      <c r="E20" s="18">
        <v>2012</v>
      </c>
      <c r="F20" s="19">
        <v>25300</v>
      </c>
      <c r="H20" s="2" t="s">
        <v>30</v>
      </c>
      <c r="I20" s="2" t="s">
        <v>31</v>
      </c>
      <c r="J20" s="2" t="s">
        <v>32</v>
      </c>
      <c r="K20" s="2" t="s">
        <v>33</v>
      </c>
      <c r="L20" s="2" t="s">
        <v>34</v>
      </c>
      <c r="M20" s="2" t="s">
        <v>35</v>
      </c>
      <c r="O20" s="43" t="s">
        <v>56</v>
      </c>
      <c r="P20" s="43" t="s">
        <v>57</v>
      </c>
      <c r="Q20" s="43" t="s">
        <v>38</v>
      </c>
      <c r="R20" s="43" t="s">
        <v>39</v>
      </c>
      <c r="S20" s="43">
        <v>2012</v>
      </c>
      <c r="T20" s="44">
        <v>38500</v>
      </c>
    </row>
    <row r="21" spans="1:20" x14ac:dyDescent="0.2">
      <c r="A21" s="16" t="s">
        <v>52</v>
      </c>
      <c r="B21" s="16" t="s">
        <v>55</v>
      </c>
      <c r="C21" s="16" t="s">
        <v>38</v>
      </c>
      <c r="D21" s="16" t="s">
        <v>39</v>
      </c>
      <c r="E21" s="16">
        <v>2011</v>
      </c>
      <c r="F21" s="17">
        <v>28500</v>
      </c>
      <c r="H21" s="42" t="s">
        <v>36</v>
      </c>
      <c r="I21" s="42" t="s">
        <v>37</v>
      </c>
      <c r="J21" s="42" t="s">
        <v>38</v>
      </c>
      <c r="K21" s="42" t="s">
        <v>39</v>
      </c>
      <c r="L21" s="42">
        <v>2014</v>
      </c>
      <c r="M21" s="21">
        <v>23000</v>
      </c>
      <c r="O21" s="42" t="s">
        <v>56</v>
      </c>
      <c r="P21" s="42" t="s">
        <v>57</v>
      </c>
      <c r="Q21" s="42" t="s">
        <v>47</v>
      </c>
      <c r="R21" s="42" t="s">
        <v>39</v>
      </c>
      <c r="S21" s="42">
        <v>2011</v>
      </c>
      <c r="T21" s="21">
        <v>36500</v>
      </c>
    </row>
    <row r="22" spans="1:20" x14ac:dyDescent="0.2">
      <c r="A22" s="18" t="s">
        <v>56</v>
      </c>
      <c r="B22" s="18" t="s">
        <v>57</v>
      </c>
      <c r="C22" s="18" t="s">
        <v>38</v>
      </c>
      <c r="D22" s="18" t="s">
        <v>39</v>
      </c>
      <c r="E22" s="18">
        <v>2012</v>
      </c>
      <c r="F22" s="19">
        <v>38500</v>
      </c>
      <c r="H22" s="43" t="s">
        <v>36</v>
      </c>
      <c r="I22" s="43" t="s">
        <v>37</v>
      </c>
      <c r="J22" s="43" t="s">
        <v>40</v>
      </c>
      <c r="K22" s="43" t="s">
        <v>39</v>
      </c>
      <c r="L22" s="43">
        <v>2014</v>
      </c>
      <c r="M22" s="44">
        <v>21500</v>
      </c>
      <c r="O22" s="42" t="s">
        <v>56</v>
      </c>
      <c r="P22" s="42" t="s">
        <v>58</v>
      </c>
      <c r="Q22" s="42" t="s">
        <v>47</v>
      </c>
      <c r="R22" s="42" t="s">
        <v>43</v>
      </c>
      <c r="S22" s="42">
        <v>2011</v>
      </c>
      <c r="T22" s="21">
        <v>22000</v>
      </c>
    </row>
    <row r="23" spans="1:20" x14ac:dyDescent="0.2">
      <c r="A23" s="16" t="s">
        <v>56</v>
      </c>
      <c r="B23" s="16" t="s">
        <v>57</v>
      </c>
      <c r="C23" s="16" t="s">
        <v>47</v>
      </c>
      <c r="D23" s="16" t="s">
        <v>39</v>
      </c>
      <c r="E23" s="16">
        <v>2011</v>
      </c>
      <c r="F23" s="17">
        <v>36500</v>
      </c>
      <c r="H23" s="43" t="s">
        <v>36</v>
      </c>
      <c r="I23" s="43" t="s">
        <v>44</v>
      </c>
      <c r="J23" s="43" t="s">
        <v>45</v>
      </c>
      <c r="K23" s="43" t="s">
        <v>39</v>
      </c>
      <c r="L23" s="43">
        <v>2014</v>
      </c>
      <c r="M23" s="44">
        <v>35000</v>
      </c>
    </row>
    <row r="24" spans="1:20" x14ac:dyDescent="0.2">
      <c r="A24" s="18" t="s">
        <v>56</v>
      </c>
      <c r="B24" s="18" t="s">
        <v>58</v>
      </c>
      <c r="C24" s="18" t="s">
        <v>54</v>
      </c>
      <c r="D24" s="18" t="s">
        <v>43</v>
      </c>
      <c r="E24" s="18">
        <v>2010</v>
      </c>
      <c r="F24" s="19">
        <v>20000</v>
      </c>
      <c r="H24" s="42" t="s">
        <v>36</v>
      </c>
      <c r="I24" s="42" t="s">
        <v>44</v>
      </c>
      <c r="J24" s="42" t="s">
        <v>38</v>
      </c>
      <c r="K24" s="42" t="s">
        <v>39</v>
      </c>
      <c r="L24" s="42">
        <v>2013</v>
      </c>
      <c r="M24" s="21">
        <v>32000</v>
      </c>
    </row>
    <row r="25" spans="1:20" x14ac:dyDescent="0.2">
      <c r="A25" s="20" t="s">
        <v>56</v>
      </c>
      <c r="B25" s="20" t="s">
        <v>58</v>
      </c>
      <c r="C25" s="20" t="s">
        <v>47</v>
      </c>
      <c r="D25" s="20" t="s">
        <v>43</v>
      </c>
      <c r="E25" s="20">
        <v>2011</v>
      </c>
      <c r="F25" s="21">
        <v>22000</v>
      </c>
      <c r="H25" s="43" t="s">
        <v>36</v>
      </c>
      <c r="I25" s="43" t="s">
        <v>46</v>
      </c>
      <c r="J25" s="43" t="s">
        <v>47</v>
      </c>
      <c r="K25" s="43" t="s">
        <v>39</v>
      </c>
      <c r="L25" s="43">
        <v>2013</v>
      </c>
      <c r="M25" s="44">
        <v>35000</v>
      </c>
      <c r="O25" s="45" t="s">
        <v>74</v>
      </c>
      <c r="P25" s="45"/>
      <c r="Q25" s="45"/>
      <c r="R25" s="45"/>
      <c r="S25" s="45"/>
      <c r="T25" s="45"/>
    </row>
    <row r="26" spans="1:20" x14ac:dyDescent="0.2">
      <c r="A26" s="18" t="s">
        <v>36</v>
      </c>
      <c r="B26" s="18" t="s">
        <v>44</v>
      </c>
      <c r="C26" s="18" t="s">
        <v>45</v>
      </c>
      <c r="D26" s="18" t="s">
        <v>39</v>
      </c>
      <c r="E26" s="18">
        <v>2014</v>
      </c>
      <c r="F26" s="19">
        <v>35000</v>
      </c>
      <c r="H26" s="43" t="s">
        <v>48</v>
      </c>
      <c r="I26" s="43" t="s">
        <v>50</v>
      </c>
      <c r="J26" s="43" t="s">
        <v>42</v>
      </c>
      <c r="K26" s="43" t="s">
        <v>39</v>
      </c>
      <c r="L26" s="43">
        <v>2012</v>
      </c>
      <c r="M26" s="44">
        <v>28000</v>
      </c>
    </row>
    <row r="27" spans="1:20" x14ac:dyDescent="0.2">
      <c r="H27" s="43" t="s">
        <v>48</v>
      </c>
      <c r="I27" s="43" t="s">
        <v>51</v>
      </c>
      <c r="J27" s="43" t="s">
        <v>38</v>
      </c>
      <c r="K27" s="43" t="s">
        <v>39</v>
      </c>
      <c r="L27" s="43">
        <v>2011</v>
      </c>
      <c r="M27" s="44">
        <v>40000</v>
      </c>
    </row>
    <row r="28" spans="1:20" x14ac:dyDescent="0.2">
      <c r="H28" s="43" t="s">
        <v>52</v>
      </c>
      <c r="I28" s="43" t="s">
        <v>53</v>
      </c>
      <c r="J28" s="43" t="s">
        <v>38</v>
      </c>
      <c r="K28" s="43" t="s">
        <v>39</v>
      </c>
      <c r="L28" s="43">
        <v>2012</v>
      </c>
      <c r="M28" s="44">
        <v>25300</v>
      </c>
    </row>
    <row r="29" spans="1:20" x14ac:dyDescent="0.2">
      <c r="H29" s="42" t="s">
        <v>52</v>
      </c>
      <c r="I29" s="42" t="s">
        <v>55</v>
      </c>
      <c r="J29" s="42" t="s">
        <v>38</v>
      </c>
      <c r="K29" s="42" t="s">
        <v>39</v>
      </c>
      <c r="L29" s="42">
        <v>2011</v>
      </c>
      <c r="M29" s="21">
        <v>28500</v>
      </c>
    </row>
    <row r="30" spans="1:20" x14ac:dyDescent="0.2">
      <c r="H30" s="43" t="s">
        <v>56</v>
      </c>
      <c r="I30" s="43" t="s">
        <v>57</v>
      </c>
      <c r="J30" s="43" t="s">
        <v>38</v>
      </c>
      <c r="K30" s="43" t="s">
        <v>39</v>
      </c>
      <c r="L30" s="43">
        <v>2012</v>
      </c>
      <c r="M30" s="44">
        <v>38500</v>
      </c>
    </row>
    <row r="31" spans="1:20" x14ac:dyDescent="0.2">
      <c r="H31" s="42" t="s">
        <v>56</v>
      </c>
      <c r="I31" s="42" t="s">
        <v>57</v>
      </c>
      <c r="J31" s="42" t="s">
        <v>47</v>
      </c>
      <c r="K31" s="42" t="s">
        <v>39</v>
      </c>
      <c r="L31" s="42">
        <v>2011</v>
      </c>
      <c r="M31" s="21">
        <v>36500</v>
      </c>
    </row>
    <row r="33" spans="1:20" ht="15" x14ac:dyDescent="0.2">
      <c r="A33" s="14" t="s">
        <v>31</v>
      </c>
    </row>
    <row r="34" spans="1:20" x14ac:dyDescent="0.2">
      <c r="A34" s="18" t="s">
        <v>44</v>
      </c>
    </row>
    <row r="36" spans="1:20" ht="15" x14ac:dyDescent="0.2">
      <c r="A36" s="14" t="s">
        <v>30</v>
      </c>
      <c r="B36" s="14" t="s">
        <v>31</v>
      </c>
      <c r="C36" s="14" t="s">
        <v>32</v>
      </c>
      <c r="D36" s="14" t="s">
        <v>33</v>
      </c>
      <c r="E36" s="14" t="s">
        <v>34</v>
      </c>
      <c r="F36" s="15" t="s">
        <v>35</v>
      </c>
    </row>
    <row r="37" spans="1:20" x14ac:dyDescent="0.2">
      <c r="A37" s="18" t="s">
        <v>36</v>
      </c>
      <c r="B37" s="18" t="s">
        <v>44</v>
      </c>
      <c r="C37" s="18" t="s">
        <v>45</v>
      </c>
      <c r="D37" s="18" t="s">
        <v>39</v>
      </c>
      <c r="E37" s="18">
        <v>2014</v>
      </c>
      <c r="F37" s="19">
        <v>35000</v>
      </c>
    </row>
    <row r="38" spans="1:20" x14ac:dyDescent="0.2">
      <c r="A38" s="16" t="s">
        <v>36</v>
      </c>
      <c r="B38" s="16" t="s">
        <v>44</v>
      </c>
      <c r="C38" s="16" t="s">
        <v>38</v>
      </c>
      <c r="D38" s="16" t="s">
        <v>39</v>
      </c>
      <c r="E38" s="16">
        <v>2013</v>
      </c>
      <c r="F38" s="17">
        <v>32000</v>
      </c>
    </row>
    <row r="43" spans="1:20" ht="15" x14ac:dyDescent="0.2">
      <c r="H43" s="2" t="s">
        <v>30</v>
      </c>
    </row>
    <row r="44" spans="1:20" x14ac:dyDescent="0.2">
      <c r="H44" s="1" t="s">
        <v>75</v>
      </c>
      <c r="I44" s="46" t="s">
        <v>78</v>
      </c>
    </row>
    <row r="45" spans="1:20" ht="15" x14ac:dyDescent="0.2">
      <c r="H45" s="2" t="s">
        <v>30</v>
      </c>
      <c r="I45" s="2" t="s">
        <v>31</v>
      </c>
      <c r="J45" s="2" t="s">
        <v>32</v>
      </c>
      <c r="K45" s="2" t="s">
        <v>33</v>
      </c>
      <c r="L45" s="2" t="s">
        <v>34</v>
      </c>
      <c r="M45" s="2" t="s">
        <v>35</v>
      </c>
      <c r="O45" s="14" t="s">
        <v>34</v>
      </c>
      <c r="P45" s="14" t="s">
        <v>34</v>
      </c>
    </row>
    <row r="46" spans="1:20" x14ac:dyDescent="0.2">
      <c r="H46" s="42" t="s">
        <v>36</v>
      </c>
      <c r="I46" s="42" t="s">
        <v>37</v>
      </c>
      <c r="J46" s="42" t="s">
        <v>38</v>
      </c>
      <c r="K46" s="42" t="s">
        <v>39</v>
      </c>
      <c r="L46" s="42">
        <v>2014</v>
      </c>
      <c r="M46" s="21">
        <v>23000</v>
      </c>
      <c r="O46" s="1" t="s">
        <v>76</v>
      </c>
      <c r="P46" s="1" t="s">
        <v>77</v>
      </c>
      <c r="Q46" s="46" t="s">
        <v>78</v>
      </c>
    </row>
    <row r="47" spans="1:20" x14ac:dyDescent="0.2">
      <c r="H47" s="43" t="s">
        <v>36</v>
      </c>
      <c r="I47" s="43" t="s">
        <v>37</v>
      </c>
      <c r="J47" s="43" t="s">
        <v>40</v>
      </c>
      <c r="K47" s="43" t="s">
        <v>39</v>
      </c>
      <c r="L47" s="43">
        <v>2014</v>
      </c>
      <c r="M47" s="44">
        <v>21500</v>
      </c>
    </row>
    <row r="48" spans="1:20" ht="15" x14ac:dyDescent="0.2">
      <c r="H48" s="42" t="s">
        <v>36</v>
      </c>
      <c r="I48" s="42" t="s">
        <v>41</v>
      </c>
      <c r="J48" s="42" t="s">
        <v>42</v>
      </c>
      <c r="K48" s="42" t="s">
        <v>43</v>
      </c>
      <c r="L48" s="42">
        <v>2012</v>
      </c>
      <c r="M48" s="21">
        <v>20000</v>
      </c>
      <c r="O48" s="14" t="s">
        <v>30</v>
      </c>
      <c r="P48" s="14" t="s">
        <v>31</v>
      </c>
      <c r="Q48" s="14" t="s">
        <v>32</v>
      </c>
      <c r="R48" s="14" t="s">
        <v>33</v>
      </c>
      <c r="S48" s="14" t="s">
        <v>34</v>
      </c>
      <c r="T48" s="15" t="s">
        <v>35</v>
      </c>
    </row>
    <row r="49" spans="8:20" x14ac:dyDescent="0.2">
      <c r="H49" s="43" t="s">
        <v>36</v>
      </c>
      <c r="I49" s="43" t="s">
        <v>44</v>
      </c>
      <c r="J49" s="43" t="s">
        <v>45</v>
      </c>
      <c r="K49" s="43" t="s">
        <v>39</v>
      </c>
      <c r="L49" s="43">
        <v>2014</v>
      </c>
      <c r="M49" s="44">
        <v>35000</v>
      </c>
      <c r="O49" s="16" t="s">
        <v>36</v>
      </c>
      <c r="P49" s="16" t="s">
        <v>41</v>
      </c>
      <c r="Q49" s="16" t="s">
        <v>42</v>
      </c>
      <c r="R49" s="16" t="s">
        <v>43</v>
      </c>
      <c r="S49" s="16">
        <v>2012</v>
      </c>
      <c r="T49" s="17">
        <v>20000</v>
      </c>
    </row>
    <row r="50" spans="8:20" x14ac:dyDescent="0.2">
      <c r="H50" s="42" t="s">
        <v>36</v>
      </c>
      <c r="I50" s="42" t="s">
        <v>44</v>
      </c>
      <c r="J50" s="42" t="s">
        <v>38</v>
      </c>
      <c r="K50" s="42" t="s">
        <v>39</v>
      </c>
      <c r="L50" s="42">
        <v>2013</v>
      </c>
      <c r="M50" s="21">
        <v>32000</v>
      </c>
      <c r="O50" s="16" t="s">
        <v>36</v>
      </c>
      <c r="P50" s="16" t="s">
        <v>46</v>
      </c>
      <c r="Q50" s="16" t="s">
        <v>45</v>
      </c>
      <c r="R50" s="16" t="s">
        <v>43</v>
      </c>
      <c r="S50" s="16">
        <v>2012</v>
      </c>
      <c r="T50" s="17">
        <v>30000</v>
      </c>
    </row>
    <row r="51" spans="8:20" x14ac:dyDescent="0.2">
      <c r="H51" s="43" t="s">
        <v>36</v>
      </c>
      <c r="I51" s="43" t="s">
        <v>46</v>
      </c>
      <c r="J51" s="43" t="s">
        <v>47</v>
      </c>
      <c r="K51" s="43" t="s">
        <v>39</v>
      </c>
      <c r="L51" s="43">
        <v>2013</v>
      </c>
      <c r="M51" s="44">
        <v>35000</v>
      </c>
      <c r="O51" s="16" t="s">
        <v>48</v>
      </c>
      <c r="P51" s="16" t="s">
        <v>49</v>
      </c>
      <c r="Q51" s="16" t="s">
        <v>47</v>
      </c>
      <c r="R51" s="16" t="s">
        <v>43</v>
      </c>
      <c r="S51" s="16">
        <v>2011</v>
      </c>
      <c r="T51" s="17">
        <v>20000</v>
      </c>
    </row>
    <row r="52" spans="8:20" x14ac:dyDescent="0.2">
      <c r="H52" s="42" t="s">
        <v>36</v>
      </c>
      <c r="I52" s="42" t="s">
        <v>46</v>
      </c>
      <c r="J52" s="42" t="s">
        <v>45</v>
      </c>
      <c r="K52" s="42" t="s">
        <v>43</v>
      </c>
      <c r="L52" s="42">
        <v>2012</v>
      </c>
      <c r="M52" s="21">
        <v>30000</v>
      </c>
      <c r="O52" s="18" t="s">
        <v>48</v>
      </c>
      <c r="P52" s="18" t="s">
        <v>50</v>
      </c>
      <c r="Q52" s="18" t="s">
        <v>42</v>
      </c>
      <c r="R52" s="18" t="s">
        <v>39</v>
      </c>
      <c r="S52" s="18">
        <v>2012</v>
      </c>
      <c r="T52" s="19">
        <v>28000</v>
      </c>
    </row>
    <row r="53" spans="8:20" x14ac:dyDescent="0.2">
      <c r="H53" s="43" t="s">
        <v>48</v>
      </c>
      <c r="I53" s="43" t="s">
        <v>49</v>
      </c>
      <c r="J53" s="43" t="s">
        <v>45</v>
      </c>
      <c r="K53" s="43" t="s">
        <v>43</v>
      </c>
      <c r="L53" s="43">
        <v>2013</v>
      </c>
      <c r="M53" s="44">
        <v>23000</v>
      </c>
      <c r="O53" s="18" t="s">
        <v>48</v>
      </c>
      <c r="P53" s="18" t="s">
        <v>51</v>
      </c>
      <c r="Q53" s="18" t="s">
        <v>38</v>
      </c>
      <c r="R53" s="18" t="s">
        <v>39</v>
      </c>
      <c r="S53" s="18">
        <v>2011</v>
      </c>
      <c r="T53" s="19">
        <v>40000</v>
      </c>
    </row>
    <row r="54" spans="8:20" x14ac:dyDescent="0.2">
      <c r="H54" s="42" t="s">
        <v>48</v>
      </c>
      <c r="I54" s="42" t="s">
        <v>49</v>
      </c>
      <c r="J54" s="42" t="s">
        <v>47</v>
      </c>
      <c r="K54" s="42" t="s">
        <v>43</v>
      </c>
      <c r="L54" s="42">
        <v>2011</v>
      </c>
      <c r="M54" s="21">
        <v>20000</v>
      </c>
      <c r="O54" s="18" t="s">
        <v>52</v>
      </c>
      <c r="P54" s="18" t="s">
        <v>53</v>
      </c>
      <c r="Q54" s="18" t="s">
        <v>38</v>
      </c>
      <c r="R54" s="18" t="s">
        <v>39</v>
      </c>
      <c r="S54" s="18">
        <v>2012</v>
      </c>
      <c r="T54" s="19">
        <v>25300</v>
      </c>
    </row>
    <row r="55" spans="8:20" x14ac:dyDescent="0.2">
      <c r="H55" s="43" t="s">
        <v>48</v>
      </c>
      <c r="I55" s="43" t="s">
        <v>50</v>
      </c>
      <c r="J55" s="43" t="s">
        <v>42</v>
      </c>
      <c r="K55" s="43" t="s">
        <v>39</v>
      </c>
      <c r="L55" s="43">
        <v>2012</v>
      </c>
      <c r="M55" s="44">
        <v>28000</v>
      </c>
      <c r="O55" s="16" t="s">
        <v>52</v>
      </c>
      <c r="P55" s="16" t="s">
        <v>55</v>
      </c>
      <c r="Q55" s="16" t="s">
        <v>38</v>
      </c>
      <c r="R55" s="16" t="s">
        <v>39</v>
      </c>
      <c r="S55" s="16">
        <v>2011</v>
      </c>
      <c r="T55" s="17">
        <v>28500</v>
      </c>
    </row>
    <row r="56" spans="8:20" x14ac:dyDescent="0.2">
      <c r="H56" s="42" t="s">
        <v>48</v>
      </c>
      <c r="I56" s="42" t="s">
        <v>50</v>
      </c>
      <c r="J56" s="42" t="s">
        <v>38</v>
      </c>
      <c r="K56" s="42" t="s">
        <v>39</v>
      </c>
      <c r="L56" s="42">
        <v>2010</v>
      </c>
      <c r="M56" s="21">
        <v>20000</v>
      </c>
      <c r="O56" s="18" t="s">
        <v>56</v>
      </c>
      <c r="P56" s="18" t="s">
        <v>57</v>
      </c>
      <c r="Q56" s="18" t="s">
        <v>38</v>
      </c>
      <c r="R56" s="18" t="s">
        <v>39</v>
      </c>
      <c r="S56" s="18">
        <v>2012</v>
      </c>
      <c r="T56" s="19">
        <v>38500</v>
      </c>
    </row>
    <row r="57" spans="8:20" x14ac:dyDescent="0.2">
      <c r="H57" s="43" t="s">
        <v>48</v>
      </c>
      <c r="I57" s="43" t="s">
        <v>51</v>
      </c>
      <c r="J57" s="43" t="s">
        <v>38</v>
      </c>
      <c r="K57" s="43" t="s">
        <v>39</v>
      </c>
      <c r="L57" s="43">
        <v>2011</v>
      </c>
      <c r="M57" s="44">
        <v>40000</v>
      </c>
      <c r="O57" s="16" t="s">
        <v>56</v>
      </c>
      <c r="P57" s="16" t="s">
        <v>57</v>
      </c>
      <c r="Q57" s="16" t="s">
        <v>47</v>
      </c>
      <c r="R57" s="16" t="s">
        <v>39</v>
      </c>
      <c r="S57" s="16">
        <v>2011</v>
      </c>
      <c r="T57" s="17">
        <v>36500</v>
      </c>
    </row>
    <row r="58" spans="8:20" x14ac:dyDescent="0.2">
      <c r="H58" s="42" t="s">
        <v>48</v>
      </c>
      <c r="I58" s="42" t="s">
        <v>51</v>
      </c>
      <c r="J58" s="42" t="s">
        <v>45</v>
      </c>
      <c r="K58" s="42" t="s">
        <v>39</v>
      </c>
      <c r="L58" s="42">
        <v>2010</v>
      </c>
      <c r="M58" s="21">
        <v>38000</v>
      </c>
      <c r="O58" s="20" t="s">
        <v>56</v>
      </c>
      <c r="P58" s="20" t="s">
        <v>58</v>
      </c>
      <c r="Q58" s="20" t="s">
        <v>47</v>
      </c>
      <c r="R58" s="20" t="s">
        <v>43</v>
      </c>
      <c r="S58" s="20">
        <v>2011</v>
      </c>
      <c r="T58" s="21">
        <v>22000</v>
      </c>
    </row>
  </sheetData>
  <mergeCells count="2">
    <mergeCell ref="A1:F1"/>
    <mergeCell ref="O25:T25"/>
  </mergeCells>
  <pageMargins left="0.78740157499999996" right="0.78740157499999996" top="0.984251969" bottom="0.984251969" header="0.49212598499999999" footer="0.49212598499999999"/>
  <pageSetup paperSize="9" orientation="portrait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4</vt:i4>
      </vt:variant>
    </vt:vector>
  </HeadingPairs>
  <TitlesOfParts>
    <vt:vector size="7" baseType="lpstr">
      <vt:lpstr>AUDITORIA</vt:lpstr>
      <vt:lpstr>Validação de Dados</vt:lpstr>
      <vt:lpstr>Filtro avançado</vt:lpstr>
      <vt:lpstr>'Filtro avançado'!Area_de_extracao</vt:lpstr>
      <vt:lpstr>'Filtro avançado'!Criterios</vt:lpstr>
      <vt:lpstr>total_dolar</vt:lpstr>
      <vt:lpstr>valor_dolar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ANAHY DAS GRACAS CAMPANA DI PAULA</dc:creator>
  <cp:lastModifiedBy>YURI DA SILVA MENDES</cp:lastModifiedBy>
  <dcterms:created xsi:type="dcterms:W3CDTF">2023-06-03T12:04:51Z</dcterms:created>
  <dcterms:modified xsi:type="dcterms:W3CDTF">2023-06-03T20:17:58Z</dcterms:modified>
</cp:coreProperties>
</file>